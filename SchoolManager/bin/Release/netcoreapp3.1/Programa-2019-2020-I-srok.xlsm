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oyan\Desktop\Stoyan\Work\bahti proekta chovek\SchoolManager\bin\Release\netcoreapp3.1\"/>
    </mc:Choice>
  </mc:AlternateContent>
  <xr:revisionPtr revIDLastSave="0" documentId="13_ncr:1_{FB3CC4FB-0E1A-4A7B-8BF7-53C2F53A151D}" xr6:coauthVersionLast="46" xr6:coauthVersionMax="46" xr10:uidLastSave="{00000000-0000-0000-0000-000000000000}"/>
  <bookViews>
    <workbookView xWindow="-118" yWindow="-118" windowWidth="25370" windowHeight="13759" tabRatio="915" activeTab="4" xr2:uid="{00000000-000D-0000-FFFF-FFFF00000000}"/>
  </bookViews>
  <sheets>
    <sheet name="Списък" sheetId="2" r:id="rId1"/>
    <sheet name="Програма-предмети" sheetId="5" state="hidden" r:id="rId2"/>
    <sheet name="Програма-кодове" sheetId="1" r:id="rId3"/>
    <sheet name="Седмична заетост" sheetId="13" r:id="rId4"/>
    <sheet name="По класове - предмети" sheetId="22" r:id="rId5"/>
    <sheet name="Кабинети" sheetId="21" r:id="rId6"/>
    <sheet name="Програма-имена+кабинети" sheetId="3" r:id="rId7"/>
    <sheet name="По класове" sheetId="20" r:id="rId8"/>
    <sheet name="Седмична заетост-обр" sheetId="14" r:id="rId9"/>
    <sheet name="коеф" sheetId="15" state="hidden" r:id="rId10"/>
    <sheet name="ХЕИ" sheetId="19" r:id="rId11"/>
    <sheet name="Общо" sheetId="12" r:id="rId12"/>
  </sheets>
  <definedNames>
    <definedName name="_xlnm.Print_Area" localSheetId="2">'Програма-кодове'!$A$1:$AD$36</definedName>
    <definedName name="_xlnm.Print_Area" localSheetId="1">'Програма-предмети'!$A$1:$F$277</definedName>
    <definedName name="_xlnm.Print_Area" localSheetId="3">'Седмична заетост'!$A$1:$AZ$37</definedName>
    <definedName name="_xlnm.Print_Area" localSheetId="8">'Седмична заетост-обр'!$A$1:$AK$52</definedName>
  </definedNames>
  <calcPr calcId="191029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3" l="1"/>
  <c r="G26" i="3" s="1"/>
  <c r="F27" i="3"/>
  <c r="G27" i="3" s="1"/>
  <c r="H26" i="3" l="1"/>
  <c r="C107" i="20" s="1"/>
  <c r="H27" i="3"/>
  <c r="I27" i="3" s="1"/>
  <c r="D108" i="20" s="1"/>
  <c r="C98" i="20"/>
  <c r="F136" i="3"/>
  <c r="F137" i="3"/>
  <c r="E167" i="19"/>
  <c r="E166" i="19"/>
  <c r="E158" i="19"/>
  <c r="E157" i="19"/>
  <c r="C124" i="19"/>
  <c r="C125" i="19"/>
  <c r="C115" i="19"/>
  <c r="C116" i="19"/>
  <c r="H143" i="3"/>
  <c r="H142" i="3"/>
  <c r="F143" i="3"/>
  <c r="F142" i="3"/>
  <c r="C108" i="20" l="1"/>
  <c r="I26" i="3"/>
  <c r="D107" i="20" s="1"/>
  <c r="C99" i="20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AT50" i="13" l="1"/>
  <c r="BB50" i="13" l="1"/>
  <c r="BB49" i="13"/>
  <c r="BB48" i="13"/>
  <c r="BB47" i="13"/>
  <c r="BB46" i="13"/>
  <c r="BA50" i="13"/>
  <c r="BA49" i="13"/>
  <c r="BA48" i="13"/>
  <c r="BA47" i="13"/>
  <c r="BA46" i="13"/>
  <c r="AZ49" i="13"/>
  <c r="E63" i="2" l="1"/>
  <c r="AE38" i="1" l="1"/>
  <c r="B50" i="13" l="1"/>
  <c r="B49" i="13"/>
  <c r="B48" i="13"/>
  <c r="B47" i="13"/>
  <c r="B46" i="13"/>
  <c r="BM2" i="13" l="1"/>
  <c r="BM1" i="13"/>
  <c r="E27" i="2" l="1"/>
  <c r="BN1" i="13"/>
  <c r="BN2" i="13"/>
  <c r="BN37" i="13" s="1"/>
  <c r="E72" i="2"/>
  <c r="E71" i="2"/>
  <c r="BN34" i="13" l="1"/>
  <c r="BN30" i="13"/>
  <c r="BN26" i="13"/>
  <c r="BN22" i="13"/>
  <c r="BN18" i="13"/>
  <c r="BN14" i="13"/>
  <c r="BN10" i="13"/>
  <c r="BN6" i="13"/>
  <c r="BN3" i="13"/>
  <c r="BN33" i="13"/>
  <c r="BN29" i="13"/>
  <c r="BN25" i="13"/>
  <c r="BN21" i="13"/>
  <c r="BN17" i="13"/>
  <c r="BN13" i="13"/>
  <c r="BN9" i="13"/>
  <c r="BN5" i="13"/>
  <c r="BN36" i="13"/>
  <c r="BN32" i="13"/>
  <c r="BN28" i="13"/>
  <c r="BN24" i="13"/>
  <c r="BN20" i="13"/>
  <c r="BN16" i="13"/>
  <c r="BN12" i="13"/>
  <c r="BN8" i="13"/>
  <c r="BN4" i="13"/>
  <c r="BN35" i="13"/>
  <c r="BN31" i="13"/>
  <c r="BN27" i="13"/>
  <c r="BN23" i="13"/>
  <c r="BN19" i="13"/>
  <c r="BN15" i="13"/>
  <c r="BN11" i="13"/>
  <c r="BN7" i="13"/>
  <c r="E2" i="2"/>
  <c r="C40" i="19" l="1"/>
  <c r="CF1" i="13" l="1"/>
  <c r="CF2" i="13"/>
  <c r="M1" i="13" l="1"/>
  <c r="G98" i="19" l="1"/>
  <c r="F98" i="19"/>
  <c r="B52" i="14" l="1"/>
  <c r="B51" i="14"/>
  <c r="B3" i="14"/>
  <c r="C1" i="13"/>
  <c r="C2" i="13"/>
  <c r="C49" i="19" l="1"/>
  <c r="B22" i="14" l="1"/>
  <c r="B23" i="14"/>
  <c r="AC50" i="13" l="1"/>
  <c r="AC49" i="13"/>
  <c r="AC48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BT1" i="13" l="1"/>
  <c r="BT2" i="13"/>
  <c r="BT6" i="13" s="1"/>
  <c r="BT29" i="13" l="1"/>
  <c r="BT13" i="13"/>
  <c r="BT36" i="13"/>
  <c r="BT20" i="13"/>
  <c r="BT4" i="13"/>
  <c r="BT35" i="13"/>
  <c r="BT27" i="13"/>
  <c r="BT11" i="13"/>
  <c r="BT34" i="13"/>
  <c r="BT26" i="13"/>
  <c r="BT18" i="13"/>
  <c r="BT10" i="13"/>
  <c r="BT37" i="13"/>
  <c r="BT21" i="13"/>
  <c r="BT5" i="13"/>
  <c r="BT28" i="13"/>
  <c r="BT12" i="13"/>
  <c r="BT19" i="13"/>
  <c r="BT33" i="13"/>
  <c r="BT25" i="13"/>
  <c r="BT17" i="13"/>
  <c r="BT9" i="13"/>
  <c r="BT31" i="13"/>
  <c r="BT23" i="13"/>
  <c r="BT15" i="13"/>
  <c r="BT7" i="13"/>
  <c r="BT32" i="13"/>
  <c r="BT24" i="13"/>
  <c r="BT16" i="13"/>
  <c r="BT8" i="13"/>
  <c r="BT3" i="13"/>
  <c r="BT30" i="13"/>
  <c r="BT22" i="13"/>
  <c r="BT14" i="13"/>
  <c r="AS41" i="13"/>
  <c r="BG48" i="13" l="1"/>
  <c r="BF48" i="13"/>
  <c r="BE48" i="13"/>
  <c r="BD48" i="13"/>
  <c r="BC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50" i="13"/>
  <c r="O49" i="13"/>
  <c r="O48" i="13"/>
  <c r="O47" i="13"/>
  <c r="O46" i="13"/>
  <c r="N50" i="13"/>
  <c r="N49" i="13"/>
  <c r="N48" i="13"/>
  <c r="N47" i="13"/>
  <c r="N46" i="13"/>
  <c r="M50" i="13"/>
  <c r="M49" i="13"/>
  <c r="M48" i="13"/>
  <c r="M47" i="13"/>
  <c r="M46" i="13"/>
  <c r="L50" i="13"/>
  <c r="L49" i="13"/>
  <c r="L48" i="13"/>
  <c r="L47" i="13"/>
  <c r="L46" i="13"/>
  <c r="K50" i="13"/>
  <c r="K49" i="13"/>
  <c r="K48" i="13"/>
  <c r="K47" i="13"/>
  <c r="K46" i="13"/>
  <c r="J50" i="13"/>
  <c r="J49" i="13"/>
  <c r="J48" i="13"/>
  <c r="J47" i="13"/>
  <c r="J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0" i="13"/>
  <c r="E68" i="2"/>
  <c r="F68" i="2" s="1"/>
  <c r="G68" i="2" s="1"/>
  <c r="E69" i="2"/>
  <c r="F69" i="2" s="1"/>
  <c r="BQ1" i="13"/>
  <c r="BQ2" i="13"/>
  <c r="F72" i="2"/>
  <c r="G72" i="2" s="1"/>
  <c r="F71" i="2"/>
  <c r="G71" i="2" s="1"/>
  <c r="AX49" i="13"/>
  <c r="E79" i="2"/>
  <c r="F79" i="2" s="1"/>
  <c r="CD2" i="13"/>
  <c r="CD1" i="13"/>
  <c r="CE2" i="13"/>
  <c r="CE1" i="13"/>
  <c r="E77" i="2"/>
  <c r="F77" i="2" s="1"/>
  <c r="G77" i="2" s="1"/>
  <c r="E78" i="2"/>
  <c r="F78" i="2" s="1"/>
  <c r="G78" i="2" s="1"/>
  <c r="E16" i="2"/>
  <c r="F16" i="2" s="1"/>
  <c r="G16" i="2" s="1"/>
  <c r="BV1" i="13"/>
  <c r="BV2" i="13"/>
  <c r="BV26" i="13" s="1"/>
  <c r="BS1" i="13"/>
  <c r="BS2" i="13"/>
  <c r="BS36" i="13" s="1"/>
  <c r="E60" i="2"/>
  <c r="E56" i="2"/>
  <c r="AZ1" i="13"/>
  <c r="V1" i="13"/>
  <c r="V2" i="13"/>
  <c r="E21" i="2"/>
  <c r="F21" i="2" s="1"/>
  <c r="G21" i="2" s="1"/>
  <c r="CF4" i="13"/>
  <c r="CF5" i="13"/>
  <c r="CF6" i="13"/>
  <c r="CF7" i="13"/>
  <c r="CF8" i="13"/>
  <c r="CF9" i="13"/>
  <c r="CF10" i="13"/>
  <c r="CF11" i="13"/>
  <c r="CF12" i="13"/>
  <c r="CF13" i="13"/>
  <c r="CF14" i="13"/>
  <c r="CF15" i="13"/>
  <c r="CF16" i="13"/>
  <c r="CF17" i="13"/>
  <c r="CF18" i="13"/>
  <c r="CF19" i="13"/>
  <c r="CF20" i="13"/>
  <c r="CF21" i="13"/>
  <c r="CF22" i="13"/>
  <c r="CF23" i="13"/>
  <c r="CF24" i="13"/>
  <c r="CF25" i="13"/>
  <c r="CF26" i="13"/>
  <c r="CF27" i="13"/>
  <c r="CF28" i="13"/>
  <c r="CF29" i="13"/>
  <c r="CF30" i="13"/>
  <c r="CF31" i="13"/>
  <c r="CF32" i="13"/>
  <c r="CF33" i="13"/>
  <c r="CF34" i="13"/>
  <c r="CF35" i="13"/>
  <c r="CF36" i="13"/>
  <c r="CF37" i="13"/>
  <c r="CF3" i="13"/>
  <c r="AR50" i="13"/>
  <c r="AR49" i="13"/>
  <c r="AR47" i="13"/>
  <c r="AR46" i="13"/>
  <c r="AQ50" i="13"/>
  <c r="AQ49" i="13"/>
  <c r="AQ47" i="13"/>
  <c r="AI46" i="13"/>
  <c r="E67" i="2"/>
  <c r="F67" i="2" s="1"/>
  <c r="G215" i="19"/>
  <c r="E66" i="2"/>
  <c r="F66" i="2" s="1"/>
  <c r="G66" i="2" s="1"/>
  <c r="E65" i="2"/>
  <c r="F65" i="2" s="1"/>
  <c r="G65" i="2" s="1"/>
  <c r="C41" i="19"/>
  <c r="V46" i="13"/>
  <c r="BG1" i="13"/>
  <c r="BG2" i="13"/>
  <c r="BG4" i="13" s="1"/>
  <c r="BG46" i="13"/>
  <c r="BG47" i="13"/>
  <c r="BG49" i="13"/>
  <c r="BG50" i="13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F157" i="19"/>
  <c r="G157" i="19"/>
  <c r="C158" i="19"/>
  <c r="D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F166" i="19"/>
  <c r="G166" i="19"/>
  <c r="C167" i="19"/>
  <c r="D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C3" i="20" s="1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G5" i="3" s="1"/>
  <c r="D23" i="20" s="1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C31" i="20" s="1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I14" i="3" s="1"/>
  <c r="D59" i="20" s="1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C21" i="3" s="1"/>
  <c r="D75" i="20" s="1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C78" i="20" s="1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D98" i="20"/>
  <c r="J26" i="3"/>
  <c r="C116" i="20" s="1"/>
  <c r="B27" i="3"/>
  <c r="C27" i="3" s="1"/>
  <c r="D81" i="20" s="1"/>
  <c r="D27" i="3"/>
  <c r="C90" i="20" s="1"/>
  <c r="D99" i="20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G33" i="3" s="1"/>
  <c r="D141" i="20" s="1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C125" i="20" s="1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C144" i="20" s="1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K39" i="3" s="1"/>
  <c r="D201" i="20" s="1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C219" i="20" s="1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C247" i="20" s="1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I52" i="3" s="1"/>
  <c r="D241" i="20" s="1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I54" i="3" s="1"/>
  <c r="D243" i="20" s="1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E64" i="3" s="1"/>
  <c r="G18" i="20" s="1"/>
  <c r="F64" i="3"/>
  <c r="G64" i="3" s="1"/>
  <c r="G27" i="20" s="1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F48" i="20" s="1"/>
  <c r="H67" i="3"/>
  <c r="I67" i="3" s="1"/>
  <c r="G57" i="20" s="1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F72" i="20" s="1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F76" i="20" s="1"/>
  <c r="D77" i="3"/>
  <c r="E77" i="3" s="1"/>
  <c r="G85" i="20" s="1"/>
  <c r="F77" i="3"/>
  <c r="G77" i="3" s="1"/>
  <c r="G94" i="20" s="1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F113" i="20" s="1"/>
  <c r="B79" i="3"/>
  <c r="C79" i="3" s="1"/>
  <c r="G78" i="20" s="1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F97" i="20" s="1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F148" i="20" s="1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E88" i="3" s="1"/>
  <c r="G132" i="20" s="1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I94" i="3" s="1"/>
  <c r="G192" i="20" s="1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F185" i="20" s="1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I99" i="3" s="1"/>
  <c r="G197" i="20" s="1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220" i="20" s="1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F250" i="20" s="1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225" i="20" s="1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C119" i="3" s="1"/>
  <c r="J9" i="20" s="1"/>
  <c r="D119" i="3"/>
  <c r="I18" i="20" s="1"/>
  <c r="F119" i="3"/>
  <c r="I27" i="20" s="1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I57" i="20" s="1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I51" i="20" s="1"/>
  <c r="H125" i="3"/>
  <c r="I125" i="3" s="1"/>
  <c r="J60" i="20" s="1"/>
  <c r="J125" i="3"/>
  <c r="I69" i="20" s="1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I35" i="20" s="1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I72" i="20" s="1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C132" i="3" s="1"/>
  <c r="J76" i="20" s="1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I104" i="20" s="1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I88" i="20" s="1"/>
  <c r="F135" i="3"/>
  <c r="G135" i="3" s="1"/>
  <c r="J97" i="20" s="1"/>
  <c r="H135" i="3"/>
  <c r="J135" i="3"/>
  <c r="B136" i="3"/>
  <c r="I80" i="20" s="1"/>
  <c r="D136" i="3"/>
  <c r="E136" i="3" s="1"/>
  <c r="J89" i="20" s="1"/>
  <c r="G136" i="3"/>
  <c r="J98" i="20" s="1"/>
  <c r="H136" i="3"/>
  <c r="I136" i="3" s="1"/>
  <c r="J107" i="20" s="1"/>
  <c r="J136" i="3"/>
  <c r="K136" i="3" s="1"/>
  <c r="J116" i="20" s="1"/>
  <c r="B137" i="3"/>
  <c r="I81" i="20" s="1"/>
  <c r="D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G142" i="3"/>
  <c r="J140" i="20" s="1"/>
  <c r="J142" i="3"/>
  <c r="I158" i="20" s="1"/>
  <c r="B143" i="3"/>
  <c r="C143" i="3" s="1"/>
  <c r="J123" i="20" s="1"/>
  <c r="D143" i="3"/>
  <c r="G143" i="3"/>
  <c r="J141" i="20" s="1"/>
  <c r="I143" i="3"/>
  <c r="J150" i="20" s="1"/>
  <c r="J143" i="3"/>
  <c r="B144" i="3"/>
  <c r="C144" i="3" s="1"/>
  <c r="J124" i="20" s="1"/>
  <c r="D144" i="3"/>
  <c r="I133" i="20" s="1"/>
  <c r="F144" i="3"/>
  <c r="I142" i="20" s="1"/>
  <c r="H144" i="3"/>
  <c r="I144" i="3" s="1"/>
  <c r="J151" i="20" s="1"/>
  <c r="J144" i="3"/>
  <c r="I160" i="20" s="1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E146" i="3" s="1"/>
  <c r="J135" i="20" s="1"/>
  <c r="F146" i="3"/>
  <c r="G146" i="3" s="1"/>
  <c r="J144" i="20" s="1"/>
  <c r="H146" i="3"/>
  <c r="I146" i="3" s="1"/>
  <c r="J153" i="20" s="1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E149" i="3" s="1"/>
  <c r="J174" i="20" s="1"/>
  <c r="F149" i="3"/>
  <c r="I183" i="20" s="1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E154" i="3" s="1"/>
  <c r="J179" i="20" s="1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C159" i="3" s="1"/>
  <c r="J211" i="20" s="1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I239" i="20" s="1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I223" i="20" s="1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K163" i="3" s="1"/>
  <c r="J251" i="20" s="1"/>
  <c r="B164" i="3"/>
  <c r="I216" i="20" s="1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G178" i="3" s="1"/>
  <c r="M49" i="20" s="1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L51" i="20" s="1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L70" i="20" s="1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I183" i="3" s="1"/>
  <c r="M63" i="20" s="1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C188" i="3" s="1"/>
  <c r="M77" i="20" s="1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E191" i="3" s="1"/>
  <c r="M89" i="20" s="1"/>
  <c r="F191" i="3"/>
  <c r="G191" i="3" s="1"/>
  <c r="M98" i="20" s="1"/>
  <c r="H191" i="3"/>
  <c r="L107" i="20" s="1"/>
  <c r="J191" i="3"/>
  <c r="L116" i="20" s="1"/>
  <c r="B192" i="3"/>
  <c r="D192" i="3"/>
  <c r="E192" i="3" s="1"/>
  <c r="M90" i="20" s="1"/>
  <c r="F192" i="3"/>
  <c r="L99" i="20" s="1"/>
  <c r="H192" i="3"/>
  <c r="I192" i="3" s="1"/>
  <c r="M108" i="20" s="1"/>
  <c r="J192" i="3"/>
  <c r="L117" i="20" s="1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G196" i="3" s="1"/>
  <c r="M139" i="20" s="1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L123" i="20" s="1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E207" i="3" s="1"/>
  <c r="M177" i="20" s="1"/>
  <c r="F207" i="3"/>
  <c r="L186" i="20" s="1"/>
  <c r="H207" i="3"/>
  <c r="I207" i="3" s="1"/>
  <c r="M195" i="20" s="1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L188" i="20" s="1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L207" i="20" s="1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E215" i="3" s="1"/>
  <c r="M221" i="20" s="1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L232" i="20" s="1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E225" i="3" s="1"/>
  <c r="P14" i="20" s="1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E227" i="3" s="1"/>
  <c r="P16" i="20" s="1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O34" i="20" s="1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O103" i="20" s="1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E243" i="3" s="1"/>
  <c r="P87" i="20" s="1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O115" i="20" s="1"/>
  <c r="B245" i="3"/>
  <c r="O80" i="20" s="1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O148" i="20" s="1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C254" i="3" s="1"/>
  <c r="P125" i="20" s="1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K261" i="3" s="1"/>
  <c r="P204" i="20" s="1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O246" i="20" s="1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O230" i="20" s="1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I1" i="13"/>
  <c r="BJ1" i="13"/>
  <c r="BK1" i="13"/>
  <c r="BL1" i="13"/>
  <c r="BO1" i="13"/>
  <c r="BP1" i="13"/>
  <c r="BR1" i="13"/>
  <c r="BW1" i="13"/>
  <c r="BX1" i="13"/>
  <c r="BY1" i="13"/>
  <c r="BZ1" i="13"/>
  <c r="CA1" i="13"/>
  <c r="CB1" i="13"/>
  <c r="CC1" i="13"/>
  <c r="D2" i="13"/>
  <c r="E2" i="13"/>
  <c r="E34" i="13" s="1"/>
  <c r="F2" i="13"/>
  <c r="F33" i="13" s="1"/>
  <c r="G2" i="13"/>
  <c r="H2" i="13"/>
  <c r="H20" i="13" s="1"/>
  <c r="I2" i="13"/>
  <c r="I27" i="13" s="1"/>
  <c r="J2" i="13"/>
  <c r="K2" i="13"/>
  <c r="L2" i="13"/>
  <c r="L34" i="13" s="1"/>
  <c r="M2" i="13"/>
  <c r="M31" i="13" s="1"/>
  <c r="N2" i="13"/>
  <c r="N24" i="13" s="1"/>
  <c r="O2" i="13"/>
  <c r="P2" i="13"/>
  <c r="Q2" i="13"/>
  <c r="R2" i="13"/>
  <c r="S2" i="13"/>
  <c r="T2" i="13"/>
  <c r="U2" i="13"/>
  <c r="U21" i="13" s="1"/>
  <c r="W2" i="13"/>
  <c r="W28" i="13" s="1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L8" i="13" s="1"/>
  <c r="AM2" i="13"/>
  <c r="AM22" i="13" s="1"/>
  <c r="AN2" i="13"/>
  <c r="AN19" i="13" s="1"/>
  <c r="AO2" i="13"/>
  <c r="AP2" i="13"/>
  <c r="AQ2" i="13"/>
  <c r="AR2" i="13"/>
  <c r="AS2" i="13"/>
  <c r="AT2" i="13"/>
  <c r="AT16" i="13" s="1"/>
  <c r="AU2" i="13"/>
  <c r="AV2" i="13"/>
  <c r="AW2" i="13"/>
  <c r="AW10" i="13" s="1"/>
  <c r="AX2" i="13"/>
  <c r="AY2" i="13"/>
  <c r="AY10" i="13" s="1"/>
  <c r="AZ2" i="13"/>
  <c r="BA2" i="13"/>
  <c r="BA7" i="13" s="1"/>
  <c r="BB2" i="13"/>
  <c r="BB24" i="13" s="1"/>
  <c r="BC2" i="13"/>
  <c r="BC37" i="13" s="1"/>
  <c r="BD2" i="13"/>
  <c r="BD6" i="13" s="1"/>
  <c r="BE2" i="13"/>
  <c r="BE12" i="13" s="1"/>
  <c r="BF2" i="13"/>
  <c r="BF9" i="13" s="1"/>
  <c r="BH2" i="13"/>
  <c r="BH28" i="13" s="1"/>
  <c r="BM36" i="13"/>
  <c r="BI2" i="13"/>
  <c r="BI7" i="13" s="1"/>
  <c r="BJ2" i="13"/>
  <c r="BJ31" i="13" s="1"/>
  <c r="BK2" i="13"/>
  <c r="BK9" i="13" s="1"/>
  <c r="BL2" i="13"/>
  <c r="BL7" i="13" s="1"/>
  <c r="BO2" i="13"/>
  <c r="BP2" i="13"/>
  <c r="BR2" i="13"/>
  <c r="BR6" i="13" s="1"/>
  <c r="BW2" i="13"/>
  <c r="BW37" i="13" s="1"/>
  <c r="BX2" i="13"/>
  <c r="BX37" i="13" s="1"/>
  <c r="BY2" i="13"/>
  <c r="BY31" i="13" s="1"/>
  <c r="BZ2" i="13"/>
  <c r="BZ11" i="13" s="1"/>
  <c r="CA2" i="13"/>
  <c r="CA6" i="13" s="1"/>
  <c r="CB2" i="13"/>
  <c r="CB27" i="13" s="1"/>
  <c r="CC2" i="13"/>
  <c r="CC28" i="13" s="1"/>
  <c r="V24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E46" i="13"/>
  <c r="BF46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BE47" i="13"/>
  <c r="BF47" i="13"/>
  <c r="C48" i="13"/>
  <c r="D48" i="13"/>
  <c r="E48" i="13"/>
  <c r="F48" i="13"/>
  <c r="G48" i="13"/>
  <c r="H48" i="13"/>
  <c r="I48" i="13"/>
  <c r="P48" i="13"/>
  <c r="Q48" i="13"/>
  <c r="R48" i="13"/>
  <c r="S48" i="13"/>
  <c r="T48" i="13"/>
  <c r="U48" i="13"/>
  <c r="V48" i="13"/>
  <c r="W48" i="13"/>
  <c r="X48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E49" i="13"/>
  <c r="BF49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BE50" i="13"/>
  <c r="BF50" i="13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5" i="2"/>
  <c r="E57" i="2"/>
  <c r="E58" i="2"/>
  <c r="E59" i="2"/>
  <c r="F59" i="2" s="1"/>
  <c r="G59" i="2" s="1"/>
  <c r="E61" i="2"/>
  <c r="E62" i="2"/>
  <c r="F63" i="2"/>
  <c r="G63" i="2" s="1"/>
  <c r="E64" i="2"/>
  <c r="F64" i="2" s="1"/>
  <c r="G64" i="2" s="1"/>
  <c r="E70" i="2"/>
  <c r="E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E5" i="13"/>
  <c r="CE12" i="13"/>
  <c r="BX18" i="13"/>
  <c r="CE30" i="13"/>
  <c r="CE19" i="13"/>
  <c r="L31" i="13"/>
  <c r="CE33" i="13"/>
  <c r="V33" i="13"/>
  <c r="BG23" i="13"/>
  <c r="BG32" i="13"/>
  <c r="BG24" i="13"/>
  <c r="E10" i="13"/>
  <c r="L3" i="13"/>
  <c r="CE4" i="13"/>
  <c r="CE20" i="13"/>
  <c r="CE3" i="13"/>
  <c r="CE10" i="13"/>
  <c r="CE9" i="13"/>
  <c r="CE6" i="13"/>
  <c r="CE24" i="13"/>
  <c r="CE23" i="13"/>
  <c r="CE13" i="13"/>
  <c r="BA36" i="13"/>
  <c r="BA21" i="13"/>
  <c r="BX7" i="13"/>
  <c r="BX5" i="13"/>
  <c r="BK7" i="13"/>
  <c r="BK28" i="13"/>
  <c r="D37" i="13"/>
  <c r="BV29" i="13"/>
  <c r="BV10" i="13"/>
  <c r="BA33" i="13"/>
  <c r="BK32" i="13"/>
  <c r="BA32" i="13"/>
  <c r="BA30" i="13"/>
  <c r="BA19" i="13"/>
  <c r="BA6" i="13"/>
  <c r="AT36" i="13"/>
  <c r="AK7" i="13"/>
  <c r="AK16" i="13"/>
  <c r="U31" i="13"/>
  <c r="BA23" i="13"/>
  <c r="BA12" i="13"/>
  <c r="AR37" i="13"/>
  <c r="AK13" i="13"/>
  <c r="BA18" i="13"/>
  <c r="L6" i="13"/>
  <c r="L10" i="13"/>
  <c r="L9" i="13"/>
  <c r="L7" i="13"/>
  <c r="L21" i="13"/>
  <c r="L26" i="13"/>
  <c r="L16" i="13"/>
  <c r="L19" i="13"/>
  <c r="L23" i="13"/>
  <c r="L30" i="13"/>
  <c r="L37" i="13"/>
  <c r="L8" i="13"/>
  <c r="L33" i="13"/>
  <c r="L20" i="13"/>
  <c r="AK32" i="13"/>
  <c r="D20" i="13"/>
  <c r="AM37" i="13"/>
  <c r="E19" i="13"/>
  <c r="E3" i="13"/>
  <c r="E20" i="13"/>
  <c r="CE18" i="13"/>
  <c r="CE28" i="13"/>
  <c r="CE22" i="13"/>
  <c r="CE16" i="13"/>
  <c r="CE11" i="13"/>
  <c r="CE36" i="13"/>
  <c r="CE26" i="13"/>
  <c r="CE8" i="13"/>
  <c r="CE21" i="13"/>
  <c r="CE7" i="13"/>
  <c r="CE37" i="13"/>
  <c r="CE29" i="13"/>
  <c r="CE31" i="13"/>
  <c r="CE34" i="13"/>
  <c r="CE15" i="13"/>
  <c r="CE14" i="13"/>
  <c r="CE27" i="13"/>
  <c r="CE35" i="13"/>
  <c r="CE25" i="13"/>
  <c r="CE32" i="13"/>
  <c r="BZ3" i="13"/>
  <c r="BA27" i="13"/>
  <c r="BA25" i="13"/>
  <c r="BA37" i="13"/>
  <c r="CE17" i="13"/>
  <c r="BV6" i="13"/>
  <c r="BV4" i="13"/>
  <c r="BV7" i="13"/>
  <c r="BV8" i="13"/>
  <c r="BV25" i="13"/>
  <c r="BV9" i="13"/>
  <c r="BV3" i="13"/>
  <c r="F5" i="13"/>
  <c r="BA17" i="13"/>
  <c r="BA16" i="13"/>
  <c r="N12" i="13"/>
  <c r="BA14" i="13"/>
  <c r="BA13" i="13"/>
  <c r="BA10" i="13"/>
  <c r="BA34" i="13"/>
  <c r="BA15" i="13"/>
  <c r="BA3" i="13"/>
  <c r="BA26" i="13"/>
  <c r="BA22" i="13"/>
  <c r="BA35" i="13"/>
  <c r="N26" i="13"/>
  <c r="BA4" i="13"/>
  <c r="BA28" i="13"/>
  <c r="BA31" i="13"/>
  <c r="BA11" i="13"/>
  <c r="BA24" i="13"/>
  <c r="BA20" i="13"/>
  <c r="BA8" i="13"/>
  <c r="N16" i="13"/>
  <c r="BA29" i="13"/>
  <c r="BG37" i="13"/>
  <c r="BG12" i="13"/>
  <c r="BX10" i="13"/>
  <c r="BX6" i="13"/>
  <c r="L25" i="13"/>
  <c r="AS37" i="13"/>
  <c r="BX31" i="13"/>
  <c r="M3" i="13"/>
  <c r="BX15" i="13"/>
  <c r="D25" i="13"/>
  <c r="BX32" i="13"/>
  <c r="L17" i="13"/>
  <c r="AK11" i="13"/>
  <c r="AK8" i="13"/>
  <c r="U20" i="13"/>
  <c r="U32" i="13"/>
  <c r="U11" i="13"/>
  <c r="BX22" i="13"/>
  <c r="BX28" i="13"/>
  <c r="BX26" i="13"/>
  <c r="BX12" i="13"/>
  <c r="BX24" i="13"/>
  <c r="BX4" i="13"/>
  <c r="BX36" i="13"/>
  <c r="BX17" i="13"/>
  <c r="BX16" i="13"/>
  <c r="BX20" i="13"/>
  <c r="BX21" i="13"/>
  <c r="BX35" i="13"/>
  <c r="BX9" i="13"/>
  <c r="BX13" i="13"/>
  <c r="BX25" i="13"/>
  <c r="BX8" i="13"/>
  <c r="BX14" i="13"/>
  <c r="BX23" i="13"/>
  <c r="BX3" i="13"/>
  <c r="BX33" i="13"/>
  <c r="BX11" i="13"/>
  <c r="BX29" i="13"/>
  <c r="AO15" i="13"/>
  <c r="AK23" i="13"/>
  <c r="AK26" i="13"/>
  <c r="AK27" i="13"/>
  <c r="AK35" i="13"/>
  <c r="AK12" i="13"/>
  <c r="AK18" i="13"/>
  <c r="AK34" i="13"/>
  <c r="AK10" i="13"/>
  <c r="AK37" i="13"/>
  <c r="AK6" i="13"/>
  <c r="AK36" i="13"/>
  <c r="AK31" i="13"/>
  <c r="AK24" i="13"/>
  <c r="AK25" i="13"/>
  <c r="AK3" i="13"/>
  <c r="AK33" i="13"/>
  <c r="AK22" i="13"/>
  <c r="AK20" i="13"/>
  <c r="AK4" i="13"/>
  <c r="AK5" i="13"/>
  <c r="AK28" i="13"/>
  <c r="AK15" i="13"/>
  <c r="AK17" i="13"/>
  <c r="AK29" i="13"/>
  <c r="AK30" i="13"/>
  <c r="BM12" i="13"/>
  <c r="D27" i="13"/>
  <c r="D4" i="13"/>
  <c r="D24" i="13"/>
  <c r="D12" i="13"/>
  <c r="D7" i="13"/>
  <c r="D10" i="13"/>
  <c r="D16" i="13"/>
  <c r="D29" i="13"/>
  <c r="D11" i="13"/>
  <c r="D3" i="13"/>
  <c r="D26" i="13"/>
  <c r="D8" i="13"/>
  <c r="D32" i="13"/>
  <c r="D33" i="13"/>
  <c r="D19" i="13"/>
  <c r="D23" i="13"/>
  <c r="D6" i="13"/>
  <c r="D30" i="13"/>
  <c r="D36" i="13"/>
  <c r="D17" i="13"/>
  <c r="D34" i="13"/>
  <c r="D18" i="13"/>
  <c r="D35" i="13"/>
  <c r="D31" i="13"/>
  <c r="D5" i="13"/>
  <c r="BZ37" i="13"/>
  <c r="AK19" i="13"/>
  <c r="L24" i="13"/>
  <c r="L15" i="13"/>
  <c r="L27" i="13"/>
  <c r="BX30" i="13"/>
  <c r="BX34" i="13"/>
  <c r="BX19" i="13"/>
  <c r="N17" i="13"/>
  <c r="F94" i="20"/>
  <c r="C59" i="20"/>
  <c r="I153" i="20"/>
  <c r="O14" i="20"/>
  <c r="CD21" i="13"/>
  <c r="CD5" i="13"/>
  <c r="CD11" i="13"/>
  <c r="CD30" i="13"/>
  <c r="CD6" i="13"/>
  <c r="CD24" i="13"/>
  <c r="CD34" i="13"/>
  <c r="CD9" i="13"/>
  <c r="CD29" i="13"/>
  <c r="G73" i="3"/>
  <c r="G54" i="20" s="1"/>
  <c r="BC21" i="13"/>
  <c r="W19" i="13"/>
  <c r="V5" i="13"/>
  <c r="V17" i="13"/>
  <c r="V15" i="13"/>
  <c r="V13" i="13"/>
  <c r="V32" i="13"/>
  <c r="W33" i="13"/>
  <c r="V18" i="13"/>
  <c r="V14" i="13"/>
  <c r="V37" i="13"/>
  <c r="V16" i="13"/>
  <c r="BC14" i="13"/>
  <c r="W4" i="13"/>
  <c r="V6" i="13"/>
  <c r="V22" i="13"/>
  <c r="V10" i="13"/>
  <c r="V36" i="13"/>
  <c r="AM36" i="13"/>
  <c r="V3" i="13"/>
  <c r="V23" i="13"/>
  <c r="V27" i="13"/>
  <c r="V35" i="13"/>
  <c r="X6" i="13"/>
  <c r="AM18" i="13"/>
  <c r="V7" i="13"/>
  <c r="V25" i="13"/>
  <c r="V26" i="13"/>
  <c r="V11" i="13"/>
  <c r="BI5" i="13"/>
  <c r="AM6" i="13"/>
  <c r="V12" i="13"/>
  <c r="V31" i="13"/>
  <c r="AS6" i="13"/>
  <c r="AS16" i="13"/>
  <c r="AS15" i="13"/>
  <c r="AS32" i="13"/>
  <c r="AS18" i="13"/>
  <c r="AS4" i="13"/>
  <c r="AS3" i="13"/>
  <c r="AS17" i="13"/>
  <c r="AS8" i="13"/>
  <c r="AS9" i="13"/>
  <c r="AS36" i="13"/>
  <c r="AS10" i="13"/>
  <c r="AS23" i="13"/>
  <c r="G36" i="13"/>
  <c r="AS30" i="13"/>
  <c r="AS34" i="13"/>
  <c r="AS26" i="13"/>
  <c r="AS7" i="13"/>
  <c r="C159" i="20"/>
  <c r="C251" i="20"/>
  <c r="C95" i="20"/>
  <c r="K33" i="13"/>
  <c r="K36" i="13"/>
  <c r="K18" i="13"/>
  <c r="CD4" i="13"/>
  <c r="AJ4" i="13" s="1"/>
  <c r="CD35" i="13"/>
  <c r="CD33" i="13"/>
  <c r="CD27" i="13"/>
  <c r="CD28" i="13"/>
  <c r="CD8" i="13"/>
  <c r="CD37" i="13"/>
  <c r="CD31" i="13"/>
  <c r="CD36" i="13"/>
  <c r="CD13" i="13"/>
  <c r="CD15" i="13"/>
  <c r="CD12" i="13"/>
  <c r="CD3" i="13"/>
  <c r="CD22" i="13"/>
  <c r="CD16" i="13"/>
  <c r="CD26" i="13"/>
  <c r="CD32" i="13"/>
  <c r="CD14" i="13"/>
  <c r="CD18" i="13"/>
  <c r="CD19" i="13"/>
  <c r="CD25" i="13"/>
  <c r="CD7" i="13"/>
  <c r="CD10" i="13"/>
  <c r="CD23" i="13"/>
  <c r="CD20" i="13"/>
  <c r="CD17" i="13"/>
  <c r="BB21" i="13"/>
  <c r="BB37" i="13"/>
  <c r="BB14" i="13"/>
  <c r="BB23" i="13"/>
  <c r="BB36" i="13"/>
  <c r="BB7" i="13"/>
  <c r="BI28" i="13"/>
  <c r="BI19" i="13"/>
  <c r="BI23" i="13"/>
  <c r="BI13" i="13"/>
  <c r="BI3" i="13"/>
  <c r="BI36" i="13"/>
  <c r="BI21" i="13"/>
  <c r="BI27" i="13"/>
  <c r="BI4" i="13"/>
  <c r="BI31" i="13"/>
  <c r="BI8" i="13"/>
  <c r="BI20" i="13"/>
  <c r="BI17" i="13"/>
  <c r="BI16" i="13"/>
  <c r="BI15" i="13"/>
  <c r="BI33" i="13"/>
  <c r="BI22" i="13"/>
  <c r="BI10" i="13"/>
  <c r="BI24" i="13"/>
  <c r="BI37" i="13"/>
  <c r="BI26" i="13"/>
  <c r="BI9" i="13"/>
  <c r="BI29" i="13"/>
  <c r="BI6" i="13"/>
  <c r="BI30" i="13"/>
  <c r="BI25" i="13"/>
  <c r="BI34" i="13"/>
  <c r="BI35" i="13"/>
  <c r="BI18" i="13"/>
  <c r="BI32" i="13"/>
  <c r="BI12" i="13"/>
  <c r="AN3" i="13"/>
  <c r="AN4" i="13"/>
  <c r="Y4" i="13"/>
  <c r="Y25" i="13"/>
  <c r="BI11" i="13"/>
  <c r="Y51" i="13"/>
  <c r="AB51" i="13"/>
  <c r="BY13" i="13"/>
  <c r="BY34" i="13"/>
  <c r="BY8" i="13"/>
  <c r="BY25" i="13"/>
  <c r="BY17" i="13" l="1"/>
  <c r="BB28" i="13"/>
  <c r="BB6" i="13"/>
  <c r="BB35" i="13"/>
  <c r="BB3" i="13"/>
  <c r="U14" i="13"/>
  <c r="F12" i="20"/>
  <c r="E7" i="13"/>
  <c r="AP12" i="13"/>
  <c r="AP19" i="13"/>
  <c r="Z17" i="13"/>
  <c r="Z26" i="13"/>
  <c r="Z27" i="13"/>
  <c r="Z22" i="13"/>
  <c r="Z24" i="13"/>
  <c r="Q11" i="13"/>
  <c r="Q26" i="13"/>
  <c r="Q27" i="13"/>
  <c r="Q28" i="13"/>
  <c r="Q29" i="13"/>
  <c r="BY10" i="13"/>
  <c r="BB20" i="13"/>
  <c r="BB25" i="13"/>
  <c r="AL35" i="13"/>
  <c r="U25" i="13"/>
  <c r="E26" i="13"/>
  <c r="AO12" i="13"/>
  <c r="AO19" i="13"/>
  <c r="Y28" i="13"/>
  <c r="Y29" i="13"/>
  <c r="V19" i="13"/>
  <c r="V20" i="13"/>
  <c r="X24" i="13"/>
  <c r="X9" i="13"/>
  <c r="BY29" i="13"/>
  <c r="BB4" i="13"/>
  <c r="BJ7" i="13"/>
  <c r="BJ29" i="13"/>
  <c r="U9" i="13"/>
  <c r="E25" i="13"/>
  <c r="I140" i="20"/>
  <c r="I149" i="20"/>
  <c r="U26" i="13"/>
  <c r="U5" i="13"/>
  <c r="BY23" i="13"/>
  <c r="E11" i="13"/>
  <c r="AS12" i="13"/>
  <c r="AS19" i="13"/>
  <c r="D21" i="13"/>
  <c r="D22" i="13"/>
  <c r="E143" i="3"/>
  <c r="J132" i="20" s="1"/>
  <c r="I150" i="20"/>
  <c r="I141" i="20"/>
  <c r="AT12" i="13"/>
  <c r="AT19" i="13"/>
  <c r="M28" i="13"/>
  <c r="M29" i="13"/>
  <c r="M14" i="13"/>
  <c r="M33" i="13"/>
  <c r="BY16" i="13"/>
  <c r="BY33" i="13"/>
  <c r="BB29" i="13"/>
  <c r="BB11" i="13"/>
  <c r="BY24" i="13"/>
  <c r="BB16" i="13"/>
  <c r="BB30" i="13"/>
  <c r="AL17" i="13"/>
  <c r="G35" i="3"/>
  <c r="D143" i="20" s="1"/>
  <c r="AT23" i="13"/>
  <c r="CA9" i="13"/>
  <c r="BY3" i="13"/>
  <c r="AR12" i="13"/>
  <c r="AR19" i="13"/>
  <c r="K21" i="13"/>
  <c r="K22" i="13"/>
  <c r="AX10" i="13"/>
  <c r="AX32" i="13"/>
  <c r="AX9" i="13"/>
  <c r="Z11" i="13"/>
  <c r="Z3" i="13"/>
  <c r="J29" i="13"/>
  <c r="J19" i="13"/>
  <c r="J20" i="13"/>
  <c r="Y6" i="13"/>
  <c r="Y8" i="13"/>
  <c r="H17" i="13"/>
  <c r="H18" i="13"/>
  <c r="V21" i="13"/>
  <c r="V34" i="13"/>
  <c r="AN12" i="13"/>
  <c r="X35" i="13"/>
  <c r="X22" i="13"/>
  <c r="G34" i="13"/>
  <c r="G22" i="13"/>
  <c r="G21" i="13"/>
  <c r="G20" i="13"/>
  <c r="G32" i="13"/>
  <c r="G9" i="13"/>
  <c r="AM19" i="13"/>
  <c r="AM34" i="13"/>
  <c r="AM4" i="13"/>
  <c r="F7" i="13"/>
  <c r="F20" i="13"/>
  <c r="BR30" i="13"/>
  <c r="AL11" i="13"/>
  <c r="AL5" i="13"/>
  <c r="AL15" i="13"/>
  <c r="AL16" i="13"/>
  <c r="U28" i="13"/>
  <c r="U16" i="13"/>
  <c r="BR22" i="13"/>
  <c r="AK9" i="13"/>
  <c r="AK14" i="13"/>
  <c r="AK21" i="13"/>
  <c r="L5" i="13"/>
  <c r="L4" i="13"/>
  <c r="K20" i="13"/>
  <c r="AJ21" i="13"/>
  <c r="AJ22" i="13"/>
  <c r="P6" i="13"/>
  <c r="P7" i="13"/>
  <c r="O36" i="13"/>
  <c r="O34" i="13"/>
  <c r="O7" i="13"/>
  <c r="K27" i="13"/>
  <c r="K34" i="13"/>
  <c r="K6" i="13"/>
  <c r="CA16" i="13"/>
  <c r="F158" i="20"/>
  <c r="X34" i="13"/>
  <c r="CA14" i="13"/>
  <c r="O21" i="13"/>
  <c r="O33" i="13"/>
  <c r="X31" i="13"/>
  <c r="X36" i="13"/>
  <c r="CA8" i="13"/>
  <c r="CA22" i="13"/>
  <c r="X20" i="13"/>
  <c r="AN16" i="13"/>
  <c r="CA28" i="13"/>
  <c r="E94" i="3"/>
  <c r="G174" i="20" s="1"/>
  <c r="C39" i="20"/>
  <c r="C35" i="20"/>
  <c r="C51" i="20"/>
  <c r="CA29" i="13"/>
  <c r="W24" i="13"/>
  <c r="W17" i="13"/>
  <c r="AL20" i="13"/>
  <c r="AL19" i="13"/>
  <c r="AR21" i="13"/>
  <c r="AR22" i="13"/>
  <c r="AY6" i="13"/>
  <c r="AY12" i="13"/>
  <c r="AY15" i="13"/>
  <c r="AX34" i="13"/>
  <c r="AX28" i="13"/>
  <c r="AX27" i="13"/>
  <c r="Z13" i="13"/>
  <c r="Z35" i="13"/>
  <c r="Z36" i="13"/>
  <c r="Z33" i="13"/>
  <c r="Z34" i="13"/>
  <c r="I12" i="13"/>
  <c r="I13" i="13"/>
  <c r="I14" i="13"/>
  <c r="P10" i="13"/>
  <c r="P11" i="13"/>
  <c r="P12" i="13"/>
  <c r="P3" i="13"/>
  <c r="P5" i="13"/>
  <c r="P4" i="13"/>
  <c r="H7" i="13"/>
  <c r="H31" i="13"/>
  <c r="H32" i="13"/>
  <c r="H33" i="13"/>
  <c r="F60" i="2"/>
  <c r="G60" i="2" s="1"/>
  <c r="E47" i="2"/>
  <c r="F47" i="2" s="1"/>
  <c r="G47" i="2" s="1"/>
  <c r="AM25" i="13"/>
  <c r="AM14" i="13"/>
  <c r="AM30" i="13"/>
  <c r="AM8" i="13"/>
  <c r="W18" i="13"/>
  <c r="W6" i="13"/>
  <c r="AM3" i="13"/>
  <c r="N30" i="13"/>
  <c r="BK25" i="13"/>
  <c r="BZ36" i="13"/>
  <c r="N8" i="13"/>
  <c r="N10" i="13"/>
  <c r="F32" i="13"/>
  <c r="AM10" i="13"/>
  <c r="W21" i="13"/>
  <c r="BK10" i="13"/>
  <c r="BK35" i="13"/>
  <c r="BK4" i="13"/>
  <c r="W16" i="13"/>
  <c r="BC13" i="13"/>
  <c r="AM26" i="13"/>
  <c r="W7" i="13"/>
  <c r="BC30" i="13"/>
  <c r="BC3" i="13"/>
  <c r="BC22" i="13"/>
  <c r="F30" i="13"/>
  <c r="BZ21" i="13"/>
  <c r="BZ32" i="13"/>
  <c r="F35" i="13"/>
  <c r="N31" i="13"/>
  <c r="F16" i="13"/>
  <c r="N18" i="13"/>
  <c r="F21" i="13"/>
  <c r="BZ29" i="13"/>
  <c r="BK13" i="13"/>
  <c r="BK36" i="13"/>
  <c r="AM7" i="13"/>
  <c r="W15" i="13"/>
  <c r="BC24" i="13"/>
  <c r="BC8" i="13"/>
  <c r="W31" i="13"/>
  <c r="BC12" i="13"/>
  <c r="W26" i="13"/>
  <c r="AM13" i="13"/>
  <c r="BC18" i="13"/>
  <c r="BC10" i="13"/>
  <c r="BZ13" i="13"/>
  <c r="F6" i="13"/>
  <c r="N34" i="13"/>
  <c r="W30" i="13"/>
  <c r="W22" i="13"/>
  <c r="BC9" i="13"/>
  <c r="W14" i="13"/>
  <c r="AM28" i="13"/>
  <c r="AM9" i="13"/>
  <c r="BK21" i="13"/>
  <c r="BZ19" i="13"/>
  <c r="BC17" i="13"/>
  <c r="F9" i="13"/>
  <c r="N36" i="13"/>
  <c r="F27" i="13"/>
  <c r="N9" i="13"/>
  <c r="F12" i="13"/>
  <c r="BZ14" i="13"/>
  <c r="AI14" i="13" s="1"/>
  <c r="F11" i="13"/>
  <c r="BK18" i="13"/>
  <c r="W35" i="13"/>
  <c r="BK19" i="13"/>
  <c r="BK26" i="13"/>
  <c r="BC26" i="13"/>
  <c r="BC11" i="13"/>
  <c r="BZ8" i="13"/>
  <c r="AI8" i="13" s="1"/>
  <c r="BZ12" i="13"/>
  <c r="F36" i="13"/>
  <c r="N4" i="13"/>
  <c r="F17" i="13"/>
  <c r="N27" i="13"/>
  <c r="BK11" i="13"/>
  <c r="BK14" i="13"/>
  <c r="BZ20" i="13"/>
  <c r="W23" i="13"/>
  <c r="W27" i="13"/>
  <c r="BC28" i="13"/>
  <c r="W10" i="13"/>
  <c r="AM33" i="13"/>
  <c r="BC4" i="13"/>
  <c r="BK33" i="13"/>
  <c r="F22" i="13"/>
  <c r="BZ26" i="13"/>
  <c r="F31" i="13"/>
  <c r="W13" i="13"/>
  <c r="BK24" i="13"/>
  <c r="BK12" i="13"/>
  <c r="N35" i="13"/>
  <c r="AM23" i="13"/>
  <c r="W32" i="13"/>
  <c r="BC16" i="13"/>
  <c r="W9" i="13"/>
  <c r="BC20" i="13"/>
  <c r="BC6" i="13"/>
  <c r="BC19" i="13"/>
  <c r="BK15" i="13"/>
  <c r="N37" i="13"/>
  <c r="F24" i="13"/>
  <c r="F26" i="13"/>
  <c r="W3" i="13"/>
  <c r="BK5" i="13"/>
  <c r="N22" i="13"/>
  <c r="N23" i="13"/>
  <c r="AM15" i="13"/>
  <c r="AM11" i="13"/>
  <c r="BC33" i="13"/>
  <c r="W5" i="13"/>
  <c r="BC32" i="13"/>
  <c r="BK6" i="13"/>
  <c r="AM20" i="13"/>
  <c r="F25" i="13"/>
  <c r="AM35" i="13"/>
  <c r="N21" i="13"/>
  <c r="N11" i="13"/>
  <c r="F8" i="13"/>
  <c r="F10" i="13"/>
  <c r="W29" i="13"/>
  <c r="BK34" i="13"/>
  <c r="BK17" i="13"/>
  <c r="C30" i="13"/>
  <c r="J10" i="13"/>
  <c r="J16" i="13"/>
  <c r="J15" i="13"/>
  <c r="N20" i="13"/>
  <c r="W20" i="13"/>
  <c r="BC25" i="13"/>
  <c r="BC7" i="13"/>
  <c r="W37" i="13"/>
  <c r="AM29" i="13"/>
  <c r="BC15" i="13"/>
  <c r="BC34" i="13"/>
  <c r="W34" i="13"/>
  <c r="BC27" i="13"/>
  <c r="BC36" i="13"/>
  <c r="W12" i="13"/>
  <c r="BC35" i="13"/>
  <c r="BC23" i="13"/>
  <c r="W8" i="13"/>
  <c r="AM21" i="13"/>
  <c r="AM17" i="13"/>
  <c r="BC31" i="13"/>
  <c r="W11" i="13"/>
  <c r="AM12" i="13"/>
  <c r="AM24" i="13"/>
  <c r="N7" i="13"/>
  <c r="BK30" i="13"/>
  <c r="BZ6" i="13"/>
  <c r="BZ15" i="13"/>
  <c r="BC29" i="13"/>
  <c r="BC5" i="13"/>
  <c r="F19" i="13"/>
  <c r="N32" i="13"/>
  <c r="F23" i="13"/>
  <c r="N6" i="13"/>
  <c r="N5" i="13"/>
  <c r="F3" i="13"/>
  <c r="F34" i="13"/>
  <c r="BZ9" i="13"/>
  <c r="AI9" i="13" s="1"/>
  <c r="BZ34" i="13"/>
  <c r="F4" i="13"/>
  <c r="F28" i="13"/>
  <c r="C23" i="13"/>
  <c r="W25" i="13"/>
  <c r="BK27" i="13"/>
  <c r="BK3" i="13"/>
  <c r="BK23" i="13"/>
  <c r="BK22" i="13"/>
  <c r="BK31" i="13"/>
  <c r="AT33" i="13"/>
  <c r="AT35" i="13"/>
  <c r="AT27" i="13"/>
  <c r="AT29" i="13"/>
  <c r="AT25" i="13"/>
  <c r="AT22" i="13"/>
  <c r="AT11" i="13"/>
  <c r="AT13" i="13"/>
  <c r="AT5" i="13"/>
  <c r="AT14" i="13"/>
  <c r="AT31" i="13"/>
  <c r="AT28" i="13"/>
  <c r="AT24" i="13"/>
  <c r="AT21" i="13"/>
  <c r="AT20" i="13"/>
  <c r="AP35" i="13"/>
  <c r="AP27" i="13"/>
  <c r="AP29" i="13"/>
  <c r="AP25" i="13"/>
  <c r="AP22" i="13"/>
  <c r="AP11" i="13"/>
  <c r="AP13" i="13"/>
  <c r="AP5" i="13"/>
  <c r="AP28" i="13"/>
  <c r="AP24" i="13"/>
  <c r="AP21" i="13"/>
  <c r="AP20" i="13"/>
  <c r="AP31" i="13"/>
  <c r="AP14" i="13"/>
  <c r="Q16" i="13"/>
  <c r="Q15" i="13"/>
  <c r="Q36" i="13"/>
  <c r="C37" i="13"/>
  <c r="AS33" i="13"/>
  <c r="AS29" i="13"/>
  <c r="AS13" i="13"/>
  <c r="AS5" i="13"/>
  <c r="AS31" i="13"/>
  <c r="AS28" i="13"/>
  <c r="AS24" i="13"/>
  <c r="AS21" i="13"/>
  <c r="AS20" i="13"/>
  <c r="AS14" i="13"/>
  <c r="AS35" i="13"/>
  <c r="AS27" i="13"/>
  <c r="AS25" i="13"/>
  <c r="AS22" i="13"/>
  <c r="AS11" i="13"/>
  <c r="AO35" i="13"/>
  <c r="AO27" i="13"/>
  <c r="AO29" i="13"/>
  <c r="AO25" i="13"/>
  <c r="AO22" i="13"/>
  <c r="AO11" i="13"/>
  <c r="AO13" i="13"/>
  <c r="AO5" i="13"/>
  <c r="AO14" i="13"/>
  <c r="AO31" i="13"/>
  <c r="AO28" i="13"/>
  <c r="AO24" i="13"/>
  <c r="AO21" i="13"/>
  <c r="AO20" i="13"/>
  <c r="Y12" i="13"/>
  <c r="Y10" i="13"/>
  <c r="Y11" i="13"/>
  <c r="AR16" i="13"/>
  <c r="AR31" i="13"/>
  <c r="AR28" i="13"/>
  <c r="AR24" i="13"/>
  <c r="AR20" i="13"/>
  <c r="AR14" i="13"/>
  <c r="AR35" i="13"/>
  <c r="AR27" i="13"/>
  <c r="AR29" i="13"/>
  <c r="AR25" i="13"/>
  <c r="AR11" i="13"/>
  <c r="AR13" i="13"/>
  <c r="AR5" i="13"/>
  <c r="AN35" i="13"/>
  <c r="AN27" i="13"/>
  <c r="AN25" i="13"/>
  <c r="AN22" i="13"/>
  <c r="AN11" i="13"/>
  <c r="AN31" i="13"/>
  <c r="AN28" i="13"/>
  <c r="AN24" i="13"/>
  <c r="AN21" i="13"/>
  <c r="AN20" i="13"/>
  <c r="AN14" i="13"/>
  <c r="AN13" i="13"/>
  <c r="AN5" i="13"/>
  <c r="AN29" i="13"/>
  <c r="G51" i="3"/>
  <c r="D231" i="20" s="1"/>
  <c r="C21" i="13"/>
  <c r="C27" i="13"/>
  <c r="C33" i="13"/>
  <c r="L124" i="20"/>
  <c r="C34" i="13"/>
  <c r="C25" i="13"/>
  <c r="C6" i="13"/>
  <c r="C14" i="13"/>
  <c r="C32" i="13"/>
  <c r="E32" i="2"/>
  <c r="F32" i="2" s="1"/>
  <c r="G32" i="2" s="1"/>
  <c r="E82" i="3"/>
  <c r="G90" i="20" s="1"/>
  <c r="BL31" i="13"/>
  <c r="G9" i="3"/>
  <c r="D27" i="20" s="1"/>
  <c r="C35" i="13"/>
  <c r="C7" i="3"/>
  <c r="D7" i="20" s="1"/>
  <c r="C8" i="13"/>
  <c r="C4" i="13"/>
  <c r="C11" i="13"/>
  <c r="C22" i="13"/>
  <c r="C29" i="13"/>
  <c r="C26" i="13"/>
  <c r="C12" i="13"/>
  <c r="AB12" i="13"/>
  <c r="C3" i="13"/>
  <c r="C31" i="13"/>
  <c r="C13" i="13"/>
  <c r="C7" i="13"/>
  <c r="C28" i="13"/>
  <c r="C10" i="13"/>
  <c r="C18" i="13"/>
  <c r="C24" i="13"/>
  <c r="C36" i="13"/>
  <c r="AB36" i="13"/>
  <c r="C17" i="13"/>
  <c r="C16" i="13"/>
  <c r="C20" i="13"/>
  <c r="C19" i="13"/>
  <c r="C15" i="13"/>
  <c r="C13" i="20"/>
  <c r="F198" i="20"/>
  <c r="E33" i="2"/>
  <c r="F33" i="2" s="1"/>
  <c r="G33" i="2" s="1"/>
  <c r="F57" i="2"/>
  <c r="G57" i="2" s="1"/>
  <c r="E29" i="2"/>
  <c r="F29" i="2" s="1"/>
  <c r="G29" i="2" s="1"/>
  <c r="AC6" i="13"/>
  <c r="AD6" i="13"/>
  <c r="F56" i="2"/>
  <c r="G56" i="2" s="1"/>
  <c r="E30" i="2"/>
  <c r="F30" i="2" s="1"/>
  <c r="G30" i="2" s="1"/>
  <c r="BM30" i="13"/>
  <c r="AB30" i="13" s="1"/>
  <c r="BM23" i="13"/>
  <c r="AB23" i="13" s="1"/>
  <c r="BM20" i="13"/>
  <c r="AB20" i="13" s="1"/>
  <c r="BM13" i="13"/>
  <c r="AB13" i="13" s="1"/>
  <c r="E26" i="2"/>
  <c r="F26" i="2" s="1"/>
  <c r="G26" i="2" s="1"/>
  <c r="BL30" i="13"/>
  <c r="BL5" i="13"/>
  <c r="BL37" i="13"/>
  <c r="BL28" i="13"/>
  <c r="BL18" i="13"/>
  <c r="BL29" i="13"/>
  <c r="O225" i="20"/>
  <c r="K49" i="3"/>
  <c r="D247" i="20" s="1"/>
  <c r="F210" i="20"/>
  <c r="I104" i="3"/>
  <c r="G238" i="20" s="1"/>
  <c r="E32" i="3"/>
  <c r="D131" i="20" s="1"/>
  <c r="K41" i="3"/>
  <c r="D203" i="20" s="1"/>
  <c r="C23" i="20"/>
  <c r="K125" i="3"/>
  <c r="J69" i="20" s="1"/>
  <c r="K199" i="3"/>
  <c r="M160" i="20" s="1"/>
  <c r="I201" i="20"/>
  <c r="C187" i="20"/>
  <c r="C229" i="3"/>
  <c r="P9" i="20" s="1"/>
  <c r="C87" i="3"/>
  <c r="G122" i="20" s="1"/>
  <c r="C115" i="20"/>
  <c r="K107" i="3"/>
  <c r="G250" i="20" s="1"/>
  <c r="C13" i="3"/>
  <c r="D31" i="20" s="1"/>
  <c r="F34" i="20"/>
  <c r="K91" i="3"/>
  <c r="G162" i="20" s="1"/>
  <c r="F78" i="20"/>
  <c r="C113" i="3"/>
  <c r="J3" i="20" s="1"/>
  <c r="F166" i="20"/>
  <c r="C45" i="3"/>
  <c r="D171" i="20" s="1"/>
  <c r="I53" i="20"/>
  <c r="E24" i="3"/>
  <c r="D87" i="20" s="1"/>
  <c r="F50" i="20"/>
  <c r="E116" i="3"/>
  <c r="J15" i="20" s="1"/>
  <c r="O185" i="20"/>
  <c r="C53" i="3"/>
  <c r="D215" i="20" s="1"/>
  <c r="I246" i="3"/>
  <c r="P108" i="20" s="1"/>
  <c r="F178" i="20"/>
  <c r="C3" i="3"/>
  <c r="D3" i="20" s="1"/>
  <c r="G119" i="3"/>
  <c r="J27" i="20" s="1"/>
  <c r="E8" i="3"/>
  <c r="D17" i="20" s="1"/>
  <c r="G61" i="3"/>
  <c r="G24" i="20" s="1"/>
  <c r="C243" i="20"/>
  <c r="K250" i="3"/>
  <c r="P157" i="20" s="1"/>
  <c r="K67" i="3"/>
  <c r="G66" i="20" s="1"/>
  <c r="I22" i="3"/>
  <c r="D103" i="20" s="1"/>
  <c r="C237" i="3"/>
  <c r="P36" i="20" s="1"/>
  <c r="E16" i="3"/>
  <c r="D43" i="20" s="1"/>
  <c r="F138" i="20"/>
  <c r="I30" i="3"/>
  <c r="D147" i="20" s="1"/>
  <c r="I88" i="3"/>
  <c r="G150" i="20" s="1"/>
  <c r="E40" i="3"/>
  <c r="D175" i="20" s="1"/>
  <c r="AH12" i="13"/>
  <c r="K30" i="13"/>
  <c r="K7" i="13"/>
  <c r="BM24" i="13"/>
  <c r="AB24" i="13" s="1"/>
  <c r="BM14" i="13"/>
  <c r="AB14" i="13" s="1"/>
  <c r="BM25" i="13"/>
  <c r="AB25" i="13" s="1"/>
  <c r="BM22" i="13"/>
  <c r="AB22" i="13" s="1"/>
  <c r="BG16" i="13"/>
  <c r="K14" i="13"/>
  <c r="K12" i="13"/>
  <c r="K4" i="13"/>
  <c r="K10" i="13"/>
  <c r="K26" i="13"/>
  <c r="K5" i="13"/>
  <c r="J6" i="13"/>
  <c r="BM11" i="13"/>
  <c r="AB11" i="13" s="1"/>
  <c r="BM31" i="13"/>
  <c r="AB31" i="13" s="1"/>
  <c r="BM7" i="13"/>
  <c r="AB7" i="13" s="1"/>
  <c r="BM9" i="13"/>
  <c r="BM19" i="13"/>
  <c r="AB19" i="13" s="1"/>
  <c r="BG17" i="13"/>
  <c r="BG6" i="13"/>
  <c r="BM29" i="13"/>
  <c r="AB29" i="13" s="1"/>
  <c r="AR30" i="13"/>
  <c r="BG22" i="13"/>
  <c r="BG35" i="13"/>
  <c r="L22" i="13"/>
  <c r="L28" i="13"/>
  <c r="L11" i="13"/>
  <c r="L14" i="13"/>
  <c r="L36" i="13"/>
  <c r="L12" i="13"/>
  <c r="L13" i="13"/>
  <c r="L35" i="13"/>
  <c r="L29" i="13"/>
  <c r="D28" i="13"/>
  <c r="D14" i="13"/>
  <c r="D13" i="13"/>
  <c r="D15" i="13"/>
  <c r="K37" i="13"/>
  <c r="K29" i="13"/>
  <c r="K35" i="13"/>
  <c r="K32" i="13"/>
  <c r="BW22" i="13"/>
  <c r="AU22" i="13" s="1"/>
  <c r="BS35" i="13"/>
  <c r="BS18" i="13"/>
  <c r="BW16" i="13"/>
  <c r="AU16" i="13" s="1"/>
  <c r="BM35" i="13"/>
  <c r="AB35" i="13" s="1"/>
  <c r="BM16" i="13"/>
  <c r="AB16" i="13" s="1"/>
  <c r="BM15" i="13"/>
  <c r="AB15" i="13" s="1"/>
  <c r="BG36" i="13"/>
  <c r="BG30" i="13"/>
  <c r="BG8" i="13"/>
  <c r="BG10" i="13"/>
  <c r="BG7" i="13"/>
  <c r="BP28" i="13"/>
  <c r="BP14" i="13"/>
  <c r="BP22" i="13"/>
  <c r="BP23" i="13"/>
  <c r="BP30" i="13"/>
  <c r="BP16" i="13"/>
  <c r="BP24" i="13"/>
  <c r="BP10" i="13"/>
  <c r="BP31" i="13"/>
  <c r="BP17" i="13"/>
  <c r="BP25" i="13"/>
  <c r="BP11" i="13"/>
  <c r="BP3" i="13"/>
  <c r="BP21" i="13"/>
  <c r="BP7" i="13"/>
  <c r="BP8" i="13"/>
  <c r="BP15" i="13"/>
  <c r="BP36" i="13"/>
  <c r="BP32" i="13"/>
  <c r="BP18" i="13"/>
  <c r="BP4" i="13"/>
  <c r="BP12" i="13"/>
  <c r="BP26" i="13"/>
  <c r="BP20" i="13"/>
  <c r="BP27" i="13"/>
  <c r="BP9" i="13"/>
  <c r="BP37" i="13"/>
  <c r="BP33" i="13"/>
  <c r="BP19" i="13"/>
  <c r="BP5" i="13"/>
  <c r="BP13" i="13"/>
  <c r="BP34" i="13"/>
  <c r="BP6" i="13"/>
  <c r="BP35" i="13"/>
  <c r="BP29" i="13"/>
  <c r="Q22" i="13"/>
  <c r="Q13" i="13"/>
  <c r="Q33" i="13"/>
  <c r="K25" i="13"/>
  <c r="K24" i="13"/>
  <c r="BM6" i="13"/>
  <c r="AB6" i="13" s="1"/>
  <c r="K8" i="13"/>
  <c r="K23" i="13"/>
  <c r="BW29" i="13"/>
  <c r="AU29" i="13" s="1"/>
  <c r="BM32" i="13"/>
  <c r="AB32" i="13" s="1"/>
  <c r="BM34" i="13"/>
  <c r="AB34" i="13" s="1"/>
  <c r="BM10" i="13"/>
  <c r="AB10" i="13" s="1"/>
  <c r="BM17" i="13"/>
  <c r="AB17" i="13" s="1"/>
  <c r="J27" i="13"/>
  <c r="BG14" i="13"/>
  <c r="BG9" i="13"/>
  <c r="J5" i="13"/>
  <c r="BG29" i="13"/>
  <c r="BG5" i="13"/>
  <c r="BG3" i="13"/>
  <c r="BO37" i="13"/>
  <c r="BO30" i="13"/>
  <c r="BO23" i="13"/>
  <c r="BO13" i="13"/>
  <c r="BO21" i="13"/>
  <c r="BO10" i="13"/>
  <c r="BO8" i="13"/>
  <c r="BO31" i="13"/>
  <c r="BO24" i="13"/>
  <c r="BO14" i="13"/>
  <c r="BO22" i="13"/>
  <c r="BO11" i="13"/>
  <c r="BO27" i="13"/>
  <c r="BO18" i="13"/>
  <c r="BO19" i="13"/>
  <c r="BO12" i="13"/>
  <c r="BO32" i="13"/>
  <c r="BO25" i="13"/>
  <c r="BO15" i="13"/>
  <c r="BO4" i="13"/>
  <c r="BO3" i="13"/>
  <c r="BO6" i="13"/>
  <c r="BO35" i="13"/>
  <c r="BO7" i="13"/>
  <c r="BO29" i="13"/>
  <c r="BO9" i="13"/>
  <c r="BO33" i="13"/>
  <c r="BO26" i="13"/>
  <c r="BO16" i="13"/>
  <c r="BO5" i="13"/>
  <c r="BO34" i="13"/>
  <c r="BO17" i="13"/>
  <c r="BO28" i="13"/>
  <c r="BO36" i="13"/>
  <c r="BO20" i="13"/>
  <c r="P20" i="13"/>
  <c r="P27" i="13"/>
  <c r="P24" i="13"/>
  <c r="P25" i="13"/>
  <c r="P31" i="13"/>
  <c r="H13" i="13"/>
  <c r="H6" i="13"/>
  <c r="H5" i="13"/>
  <c r="BQ27" i="13"/>
  <c r="BQ4" i="13"/>
  <c r="BQ5" i="13"/>
  <c r="BQ13" i="13"/>
  <c r="BQ21" i="13"/>
  <c r="BQ29" i="13"/>
  <c r="BQ37" i="13"/>
  <c r="BQ6" i="13"/>
  <c r="BQ14" i="13"/>
  <c r="BQ22" i="13"/>
  <c r="BQ30" i="13"/>
  <c r="BQ3" i="13"/>
  <c r="BQ25" i="13"/>
  <c r="BQ18" i="13"/>
  <c r="BQ35" i="13"/>
  <c r="BQ12" i="13"/>
  <c r="BQ7" i="13"/>
  <c r="BQ15" i="13"/>
  <c r="BQ23" i="13"/>
  <c r="BQ31" i="13"/>
  <c r="BQ17" i="13"/>
  <c r="BQ26" i="13"/>
  <c r="BQ19" i="13"/>
  <c r="BQ20" i="13"/>
  <c r="BQ36" i="13"/>
  <c r="BU36" i="13" s="1"/>
  <c r="BQ8" i="13"/>
  <c r="BQ16" i="13"/>
  <c r="BQ24" i="13"/>
  <c r="BQ32" i="13"/>
  <c r="BQ9" i="13"/>
  <c r="BQ33" i="13"/>
  <c r="BQ10" i="13"/>
  <c r="BQ34" i="13"/>
  <c r="BQ11" i="13"/>
  <c r="BQ28" i="13"/>
  <c r="K19" i="13"/>
  <c r="BG21" i="13"/>
  <c r="K9" i="13"/>
  <c r="K28" i="13"/>
  <c r="BM5" i="13"/>
  <c r="BM37" i="13"/>
  <c r="AB37" i="13" s="1"/>
  <c r="BM33" i="13"/>
  <c r="AB33" i="13" s="1"/>
  <c r="BM21" i="13"/>
  <c r="AB21" i="13" s="1"/>
  <c r="BG31" i="13"/>
  <c r="BG27" i="13"/>
  <c r="BH3" i="13"/>
  <c r="BW18" i="13"/>
  <c r="AU18" i="13" s="1"/>
  <c r="BG34" i="13"/>
  <c r="BG25" i="13"/>
  <c r="O13" i="13"/>
  <c r="O26" i="13"/>
  <c r="O14" i="13"/>
  <c r="O15" i="13"/>
  <c r="G14" i="13"/>
  <c r="G15" i="13"/>
  <c r="V4" i="13"/>
  <c r="V9" i="13"/>
  <c r="V8" i="13"/>
  <c r="K11" i="13"/>
  <c r="K13" i="13"/>
  <c r="BH12" i="13"/>
  <c r="BW26" i="13"/>
  <c r="AU26" i="13" s="1"/>
  <c r="K31" i="13"/>
  <c r="K3" i="13"/>
  <c r="K15" i="13"/>
  <c r="BH13" i="13"/>
  <c r="BM28" i="13"/>
  <c r="AB28" i="13" s="1"/>
  <c r="BM8" i="13"/>
  <c r="AB8" i="13" s="1"/>
  <c r="BM3" i="13"/>
  <c r="AB3" i="13" s="1"/>
  <c r="BM18" i="13"/>
  <c r="AB18" i="13" s="1"/>
  <c r="BG15" i="13"/>
  <c r="BG11" i="13"/>
  <c r="J8" i="13"/>
  <c r="AY31" i="13"/>
  <c r="BG28" i="13"/>
  <c r="BG20" i="13"/>
  <c r="N19" i="13"/>
  <c r="N14" i="13"/>
  <c r="N15" i="13"/>
  <c r="N28" i="13"/>
  <c r="N13" i="13"/>
  <c r="N29" i="13"/>
  <c r="F18" i="13"/>
  <c r="F15" i="13"/>
  <c r="F13" i="13"/>
  <c r="F14" i="13"/>
  <c r="BG18" i="13"/>
  <c r="BG26" i="13"/>
  <c r="BG19" i="13"/>
  <c r="K16" i="13"/>
  <c r="K17" i="13"/>
  <c r="BM4" i="13"/>
  <c r="AB4" i="13" s="1"/>
  <c r="BM26" i="13"/>
  <c r="AB26" i="13" s="1"/>
  <c r="BM27" i="13"/>
  <c r="AB27" i="13" s="1"/>
  <c r="BG13" i="13"/>
  <c r="BR37" i="13"/>
  <c r="AR36" i="13"/>
  <c r="BG33" i="13"/>
  <c r="M9" i="13"/>
  <c r="M32" i="13"/>
  <c r="E33" i="13"/>
  <c r="E13" i="13"/>
  <c r="E14" i="13"/>
  <c r="E15" i="13"/>
  <c r="F58" i="2"/>
  <c r="G58" i="2" s="1"/>
  <c r="E31" i="2"/>
  <c r="F31" i="2" s="1"/>
  <c r="G31" i="2" s="1"/>
  <c r="F55" i="2"/>
  <c r="G55" i="2" s="1"/>
  <c r="O243" i="20"/>
  <c r="K201" i="3"/>
  <c r="M162" i="20" s="1"/>
  <c r="K77" i="3"/>
  <c r="G112" i="20" s="1"/>
  <c r="BB26" i="13"/>
  <c r="BB22" i="13"/>
  <c r="BB10" i="13"/>
  <c r="BB34" i="13"/>
  <c r="C6" i="3"/>
  <c r="D6" i="20" s="1"/>
  <c r="E48" i="3"/>
  <c r="D219" i="20" s="1"/>
  <c r="F51" i="2"/>
  <c r="G51" i="2" s="1"/>
  <c r="E19" i="2"/>
  <c r="F19" i="2" s="1"/>
  <c r="G19" i="2" s="1"/>
  <c r="C75" i="20"/>
  <c r="C105" i="20"/>
  <c r="I24" i="20"/>
  <c r="AJ17" i="13"/>
  <c r="G189" i="3"/>
  <c r="M96" i="20" s="1"/>
  <c r="F27" i="20"/>
  <c r="K86" i="3"/>
  <c r="G157" i="20" s="1"/>
  <c r="L95" i="20"/>
  <c r="O105" i="20"/>
  <c r="G273" i="3"/>
  <c r="P234" i="20" s="1"/>
  <c r="K146" i="3"/>
  <c r="J162" i="20" s="1"/>
  <c r="G125" i="3"/>
  <c r="J51" i="20" s="1"/>
  <c r="E104" i="3"/>
  <c r="G220" i="20" s="1"/>
  <c r="C255" i="3"/>
  <c r="P126" i="20" s="1"/>
  <c r="I189" i="3"/>
  <c r="M105" i="20" s="1"/>
  <c r="L233" i="20"/>
  <c r="C22" i="20"/>
  <c r="F179" i="20"/>
  <c r="I31" i="3"/>
  <c r="D148" i="20" s="1"/>
  <c r="I97" i="3"/>
  <c r="G195" i="20" s="1"/>
  <c r="AJ19" i="13"/>
  <c r="E190" i="3"/>
  <c r="M88" i="20" s="1"/>
  <c r="G252" i="3"/>
  <c r="P141" i="20" s="1"/>
  <c r="I96" i="3"/>
  <c r="G194" i="20" s="1"/>
  <c r="I225" i="20"/>
  <c r="O125" i="20"/>
  <c r="K191" i="3"/>
  <c r="M116" i="20" s="1"/>
  <c r="E206" i="3"/>
  <c r="M176" i="20" s="1"/>
  <c r="K215" i="3"/>
  <c r="M248" i="20" s="1"/>
  <c r="E106" i="3"/>
  <c r="G222" i="20" s="1"/>
  <c r="E240" i="3"/>
  <c r="P84" i="20" s="1"/>
  <c r="I204" i="3"/>
  <c r="M192" i="20" s="1"/>
  <c r="G268" i="3"/>
  <c r="P229" i="20" s="1"/>
  <c r="E174" i="3"/>
  <c r="M18" i="20" s="1"/>
  <c r="BG51" i="13"/>
  <c r="L6" i="20"/>
  <c r="C262" i="3"/>
  <c r="P169" i="20" s="1"/>
  <c r="C245" i="3"/>
  <c r="P80" i="20" s="1"/>
  <c r="G243" i="3"/>
  <c r="P96" i="20" s="1"/>
  <c r="I180" i="3"/>
  <c r="M60" i="20" s="1"/>
  <c r="I97" i="20"/>
  <c r="C270" i="3"/>
  <c r="P213" i="20" s="1"/>
  <c r="O197" i="20"/>
  <c r="G235" i="3"/>
  <c r="P52" i="20" s="1"/>
  <c r="L216" i="20"/>
  <c r="K241" i="3"/>
  <c r="P112" i="20" s="1"/>
  <c r="I196" i="3"/>
  <c r="M148" i="20" s="1"/>
  <c r="I185" i="20"/>
  <c r="L44" i="20"/>
  <c r="C137" i="3"/>
  <c r="J81" i="20" s="1"/>
  <c r="O25" i="20"/>
  <c r="L32" i="20"/>
  <c r="G217" i="3"/>
  <c r="M232" i="20" s="1"/>
  <c r="I122" i="3"/>
  <c r="J57" i="20" s="1"/>
  <c r="O40" i="20"/>
  <c r="G209" i="3"/>
  <c r="M188" i="20" s="1"/>
  <c r="E132" i="3"/>
  <c r="J85" i="20" s="1"/>
  <c r="K141" i="3"/>
  <c r="J157" i="20" s="1"/>
  <c r="I113" i="20"/>
  <c r="I72" i="3"/>
  <c r="G62" i="20" s="1"/>
  <c r="L144" i="20"/>
  <c r="I229" i="20"/>
  <c r="C161" i="3"/>
  <c r="J213" i="20" s="1"/>
  <c r="K207" i="3"/>
  <c r="M204" i="20" s="1"/>
  <c r="C187" i="3"/>
  <c r="M76" i="20" s="1"/>
  <c r="L22" i="20"/>
  <c r="G109" i="3"/>
  <c r="G234" i="20" s="1"/>
  <c r="L72" i="20"/>
  <c r="F106" i="20"/>
  <c r="E140" i="3"/>
  <c r="J129" i="20" s="1"/>
  <c r="I125" i="20"/>
  <c r="AJ25" i="13"/>
  <c r="G3" i="13"/>
  <c r="AL33" i="13"/>
  <c r="AL4" i="13"/>
  <c r="AL9" i="13"/>
  <c r="G27" i="13"/>
  <c r="BW6" i="13"/>
  <c r="AU6" i="13" s="1"/>
  <c r="BW5" i="13"/>
  <c r="AU5" i="13" s="1"/>
  <c r="G35" i="13"/>
  <c r="BW21" i="13"/>
  <c r="AU21" i="13" s="1"/>
  <c r="BJ26" i="13"/>
  <c r="BW14" i="13"/>
  <c r="AU14" i="13" s="1"/>
  <c r="BW32" i="13"/>
  <c r="AU32" i="13" s="1"/>
  <c r="BW30" i="13"/>
  <c r="I58" i="20"/>
  <c r="F9" i="20"/>
  <c r="AR32" i="13"/>
  <c r="M5" i="13"/>
  <c r="BV19" i="13"/>
  <c r="BV23" i="13"/>
  <c r="BV20" i="13"/>
  <c r="BV12" i="13"/>
  <c r="CA21" i="13"/>
  <c r="AR18" i="13"/>
  <c r="BW31" i="13"/>
  <c r="AU31" i="13" s="1"/>
  <c r="BV35" i="13"/>
  <c r="BV24" i="13"/>
  <c r="E4" i="13"/>
  <c r="Y9" i="13"/>
  <c r="Y7" i="13"/>
  <c r="M25" i="13"/>
  <c r="BV14" i="13"/>
  <c r="BV5" i="13"/>
  <c r="G30" i="13"/>
  <c r="BW36" i="13"/>
  <c r="AU36" i="13" s="1"/>
  <c r="BJ3" i="13"/>
  <c r="BW24" i="13"/>
  <c r="AU24" i="13" s="1"/>
  <c r="AR23" i="13"/>
  <c r="AR3" i="13"/>
  <c r="AR34" i="13"/>
  <c r="AR6" i="13"/>
  <c r="AR8" i="13"/>
  <c r="I186" i="20"/>
  <c r="G11" i="13"/>
  <c r="G16" i="13"/>
  <c r="BW33" i="13"/>
  <c r="AU33" i="13" s="1"/>
  <c r="BW28" i="13"/>
  <c r="AU28" i="13" s="1"/>
  <c r="BW10" i="13"/>
  <c r="AU10" i="13" s="1"/>
  <c r="BW8" i="13"/>
  <c r="AU8" i="13" s="1"/>
  <c r="BW12" i="13"/>
  <c r="AU12" i="13" s="1"/>
  <c r="BW20" i="13"/>
  <c r="AU20" i="13" s="1"/>
  <c r="G17" i="13"/>
  <c r="M17" i="13"/>
  <c r="BV16" i="13"/>
  <c r="BV15" i="13"/>
  <c r="BV31" i="13"/>
  <c r="BV13" i="13"/>
  <c r="AR7" i="13"/>
  <c r="AR26" i="13"/>
  <c r="AR9" i="13"/>
  <c r="BV17" i="13"/>
  <c r="BV28" i="13"/>
  <c r="AL18" i="13"/>
  <c r="AL22" i="13"/>
  <c r="G5" i="13"/>
  <c r="BW7" i="13"/>
  <c r="AU7" i="13" s="1"/>
  <c r="AL12" i="13"/>
  <c r="AL32" i="13"/>
  <c r="G24" i="13"/>
  <c r="BW35" i="13"/>
  <c r="AU35" i="13" s="1"/>
  <c r="BJ20" i="13"/>
  <c r="BW34" i="13"/>
  <c r="AU34" i="13" s="1"/>
  <c r="BW19" i="13"/>
  <c r="AU19" i="13" s="1"/>
  <c r="BW13" i="13"/>
  <c r="AU13" i="13" s="1"/>
  <c r="BJ34" i="13"/>
  <c r="BJ35" i="13"/>
  <c r="BW4" i="13"/>
  <c r="AU4" i="13" s="1"/>
  <c r="C204" i="20"/>
  <c r="G13" i="13"/>
  <c r="M22" i="13"/>
  <c r="M16" i="13"/>
  <c r="BV36" i="13"/>
  <c r="BV37" i="13"/>
  <c r="BV30" i="13"/>
  <c r="BV34" i="13"/>
  <c r="M30" i="13"/>
  <c r="BW25" i="13"/>
  <c r="AU25" i="13" s="1"/>
  <c r="AR4" i="13"/>
  <c r="BV11" i="13"/>
  <c r="BV21" i="13"/>
  <c r="AR15" i="13"/>
  <c r="AR10" i="13"/>
  <c r="BW27" i="13"/>
  <c r="BW17" i="13"/>
  <c r="AU17" i="13" s="1"/>
  <c r="BW11" i="13"/>
  <c r="AU11" i="13" s="1"/>
  <c r="AL29" i="13"/>
  <c r="AL27" i="13"/>
  <c r="AL37" i="13"/>
  <c r="BJ24" i="13"/>
  <c r="BW9" i="13"/>
  <c r="AU9" i="13" s="1"/>
  <c r="BW15" i="13"/>
  <c r="AU15" i="13" s="1"/>
  <c r="BJ22" i="13"/>
  <c r="BJ23" i="13"/>
  <c r="BW23" i="13"/>
  <c r="G128" i="3"/>
  <c r="J54" i="20" s="1"/>
  <c r="BV22" i="13"/>
  <c r="BV32" i="13"/>
  <c r="BV27" i="13"/>
  <c r="BV33" i="13"/>
  <c r="BW3" i="13"/>
  <c r="AU3" i="13" s="1"/>
  <c r="AR17" i="13"/>
  <c r="BV18" i="13"/>
  <c r="AJ26" i="13"/>
  <c r="F197" i="20"/>
  <c r="E109" i="3"/>
  <c r="G225" i="20" s="1"/>
  <c r="AO23" i="13"/>
  <c r="AO33" i="13"/>
  <c r="Y31" i="13"/>
  <c r="Y13" i="13"/>
  <c r="P17" i="13"/>
  <c r="P18" i="13"/>
  <c r="Z8" i="13"/>
  <c r="Z7" i="13"/>
  <c r="F53" i="20"/>
  <c r="AL14" i="13"/>
  <c r="BJ15" i="13"/>
  <c r="BJ25" i="13"/>
  <c r="BJ21" i="13"/>
  <c r="G96" i="3"/>
  <c r="G185" i="20" s="1"/>
  <c r="U30" i="13"/>
  <c r="U23" i="13"/>
  <c r="C138" i="20"/>
  <c r="M6" i="13"/>
  <c r="M19" i="13"/>
  <c r="E23" i="13"/>
  <c r="E22" i="13"/>
  <c r="E6" i="13"/>
  <c r="BJ10" i="13"/>
  <c r="AN33" i="13"/>
  <c r="X14" i="13"/>
  <c r="G26" i="13"/>
  <c r="BJ6" i="13"/>
  <c r="BJ14" i="13"/>
  <c r="BJ19" i="13"/>
  <c r="O204" i="20"/>
  <c r="O160" i="20"/>
  <c r="E27" i="3"/>
  <c r="D90" i="20" s="1"/>
  <c r="U3" i="13"/>
  <c r="U24" i="13"/>
  <c r="U37" i="13"/>
  <c r="M23" i="13"/>
  <c r="AL34" i="13"/>
  <c r="M21" i="13"/>
  <c r="M11" i="13"/>
  <c r="BJ9" i="13"/>
  <c r="E29" i="13"/>
  <c r="BY18" i="13"/>
  <c r="AT30" i="13"/>
  <c r="AT8" i="13"/>
  <c r="BY5" i="13"/>
  <c r="AP7" i="13"/>
  <c r="AP33" i="13"/>
  <c r="K244" i="3"/>
  <c r="P115" i="20" s="1"/>
  <c r="L9" i="20"/>
  <c r="I192" i="20"/>
  <c r="BY7" i="13"/>
  <c r="BY11" i="13"/>
  <c r="BY20" i="13"/>
  <c r="BB33" i="13"/>
  <c r="BB15" i="13"/>
  <c r="BB32" i="13"/>
  <c r="BB19" i="13"/>
  <c r="AL13" i="13"/>
  <c r="AL10" i="13"/>
  <c r="BJ16" i="13"/>
  <c r="BJ8" i="13"/>
  <c r="BJ32" i="13"/>
  <c r="BJ12" i="13"/>
  <c r="BJ5" i="13"/>
  <c r="BJ17" i="13"/>
  <c r="E61" i="3"/>
  <c r="G15" i="20" s="1"/>
  <c r="E268" i="3"/>
  <c r="P220" i="20" s="1"/>
  <c r="U22" i="13"/>
  <c r="U15" i="13"/>
  <c r="BY15" i="13"/>
  <c r="M20" i="13"/>
  <c r="M4" i="13"/>
  <c r="BY32" i="13"/>
  <c r="E24" i="13"/>
  <c r="E27" i="13"/>
  <c r="E30" i="13"/>
  <c r="U36" i="13"/>
  <c r="AT37" i="13"/>
  <c r="BY30" i="13"/>
  <c r="M37" i="13"/>
  <c r="C62" i="20"/>
  <c r="BB27" i="13"/>
  <c r="BB12" i="13"/>
  <c r="BB9" i="13"/>
  <c r="BB8" i="13"/>
  <c r="I250" i="3"/>
  <c r="P148" i="20" s="1"/>
  <c r="AL31" i="13"/>
  <c r="AL36" i="13"/>
  <c r="AL23" i="13"/>
  <c r="BB13" i="13"/>
  <c r="BJ13" i="13"/>
  <c r="BJ11" i="13"/>
  <c r="E135" i="3"/>
  <c r="J88" i="20" s="1"/>
  <c r="U18" i="13"/>
  <c r="U13" i="13"/>
  <c r="M35" i="13"/>
  <c r="M36" i="13"/>
  <c r="M24" i="13"/>
  <c r="BY36" i="13"/>
  <c r="AL7" i="13"/>
  <c r="E21" i="13"/>
  <c r="E35" i="13"/>
  <c r="E8" i="13"/>
  <c r="AT10" i="13"/>
  <c r="U4" i="13"/>
  <c r="AT32" i="13"/>
  <c r="BY35" i="13"/>
  <c r="AL6" i="13"/>
  <c r="AR33" i="13"/>
  <c r="O16" i="20"/>
  <c r="BY28" i="13"/>
  <c r="AV28" i="13" s="1"/>
  <c r="BY14" i="13"/>
  <c r="BY21" i="13"/>
  <c r="BY37" i="13"/>
  <c r="BY4" i="13"/>
  <c r="BB31" i="13"/>
  <c r="BB17" i="13"/>
  <c r="BB5" i="13"/>
  <c r="BB18" i="13"/>
  <c r="AJ18" i="13"/>
  <c r="F229" i="20"/>
  <c r="AL30" i="13"/>
  <c r="AL28" i="13"/>
  <c r="BJ18" i="13"/>
  <c r="BJ30" i="13"/>
  <c r="BJ36" i="13"/>
  <c r="BJ33" i="13"/>
  <c r="BJ37" i="13"/>
  <c r="I133" i="3"/>
  <c r="J104" i="20" s="1"/>
  <c r="BJ28" i="13"/>
  <c r="U6" i="13"/>
  <c r="U17" i="13"/>
  <c r="M34" i="13"/>
  <c r="M27" i="13"/>
  <c r="BY22" i="13"/>
  <c r="E37" i="13"/>
  <c r="E32" i="13"/>
  <c r="E31" i="13"/>
  <c r="BY27" i="13"/>
  <c r="AT26" i="13"/>
  <c r="E12" i="13"/>
  <c r="I132" i="20"/>
  <c r="Q14" i="13"/>
  <c r="I204" i="20"/>
  <c r="E169" i="3"/>
  <c r="M13" i="20" s="1"/>
  <c r="K144" i="3"/>
  <c r="J160" i="20" s="1"/>
  <c r="O248" i="20"/>
  <c r="G22" i="3"/>
  <c r="D94" i="20" s="1"/>
  <c r="K52" i="3"/>
  <c r="D250" i="20" s="1"/>
  <c r="E209" i="3"/>
  <c r="M179" i="20" s="1"/>
  <c r="I241" i="3"/>
  <c r="P103" i="20" s="1"/>
  <c r="K78" i="3"/>
  <c r="G113" i="20" s="1"/>
  <c r="C198" i="3"/>
  <c r="M123" i="20" s="1"/>
  <c r="F141" i="20"/>
  <c r="O144" i="20"/>
  <c r="K178" i="3"/>
  <c r="M67" i="20" s="1"/>
  <c r="L151" i="20"/>
  <c r="I188" i="20"/>
  <c r="I107" i="3"/>
  <c r="G241" i="20" s="1"/>
  <c r="BX27" i="13"/>
  <c r="BA5" i="13"/>
  <c r="P19" i="13"/>
  <c r="AX12" i="13"/>
  <c r="AX13" i="13"/>
  <c r="Q21" i="13"/>
  <c r="Q7" i="13"/>
  <c r="O188" i="20"/>
  <c r="I215" i="3"/>
  <c r="M239" i="20" s="1"/>
  <c r="C40" i="3"/>
  <c r="D166" i="20" s="1"/>
  <c r="F125" i="20"/>
  <c r="C58" i="3"/>
  <c r="G3" i="20" s="1"/>
  <c r="C24" i="3"/>
  <c r="D78" i="20" s="1"/>
  <c r="K236" i="3"/>
  <c r="P71" i="20" s="1"/>
  <c r="E35" i="3"/>
  <c r="D134" i="20" s="1"/>
  <c r="E85" i="3"/>
  <c r="G129" i="20" s="1"/>
  <c r="I48" i="20"/>
  <c r="C8" i="3"/>
  <c r="D8" i="20" s="1"/>
  <c r="AX16" i="13"/>
  <c r="L79" i="20"/>
  <c r="I120" i="20"/>
  <c r="G80" i="3"/>
  <c r="G97" i="20" s="1"/>
  <c r="G180" i="3"/>
  <c r="M51" i="20" s="1"/>
  <c r="I141" i="3"/>
  <c r="J148" i="20" s="1"/>
  <c r="L63" i="20"/>
  <c r="K128" i="3"/>
  <c r="J72" i="20" s="1"/>
  <c r="I191" i="3"/>
  <c r="M107" i="20" s="1"/>
  <c r="O120" i="20"/>
  <c r="C32" i="3"/>
  <c r="D122" i="20" s="1"/>
  <c r="C116" i="3"/>
  <c r="J6" i="20" s="1"/>
  <c r="F41" i="20"/>
  <c r="AM27" i="13"/>
  <c r="AM31" i="13"/>
  <c r="AM32" i="13"/>
  <c r="AL3" i="13"/>
  <c r="AL25" i="13"/>
  <c r="AL24" i="13"/>
  <c r="AL26" i="13"/>
  <c r="AL21" i="13"/>
  <c r="U29" i="13"/>
  <c r="U12" i="13"/>
  <c r="CC35" i="13"/>
  <c r="O216" i="20"/>
  <c r="C164" i="3"/>
  <c r="J216" i="20" s="1"/>
  <c r="K12" i="3"/>
  <c r="D66" i="20" s="1"/>
  <c r="CC30" i="13"/>
  <c r="E252" i="3"/>
  <c r="P132" i="20" s="1"/>
  <c r="I33" i="3"/>
  <c r="D150" i="20" s="1"/>
  <c r="CC17" i="13"/>
  <c r="Q17" i="13"/>
  <c r="O75" i="20"/>
  <c r="L211" i="20"/>
  <c r="K218" i="3"/>
  <c r="M251" i="20" s="1"/>
  <c r="L135" i="20"/>
  <c r="C238" i="20"/>
  <c r="O59" i="20"/>
  <c r="L223" i="20"/>
  <c r="E43" i="3"/>
  <c r="D178" i="20" s="1"/>
  <c r="F85" i="20"/>
  <c r="L139" i="20"/>
  <c r="O87" i="20"/>
  <c r="C98" i="3"/>
  <c r="G169" i="20" s="1"/>
  <c r="O232" i="20"/>
  <c r="K70" i="3"/>
  <c r="G69" i="20" s="1"/>
  <c r="O4" i="20"/>
  <c r="K36" i="3"/>
  <c r="D162" i="20" s="1"/>
  <c r="K210" i="3"/>
  <c r="M207" i="20" s="1"/>
  <c r="L195" i="20"/>
  <c r="E51" i="3"/>
  <c r="D222" i="20" s="1"/>
  <c r="I76" i="20"/>
  <c r="O176" i="20"/>
  <c r="C232" i="3"/>
  <c r="P31" i="20" s="1"/>
  <c r="L111" i="20"/>
  <c r="I116" i="20"/>
  <c r="I60" i="20"/>
  <c r="I91" i="3"/>
  <c r="G153" i="20" s="1"/>
  <c r="BA9" i="13"/>
  <c r="Q5" i="13"/>
  <c r="E235" i="3"/>
  <c r="P43" i="20" s="1"/>
  <c r="O192" i="20"/>
  <c r="C206" i="20"/>
  <c r="I220" i="20"/>
  <c r="C82" i="3"/>
  <c r="G81" i="20" s="1"/>
  <c r="I25" i="3"/>
  <c r="D106" i="20" s="1"/>
  <c r="I144" i="20"/>
  <c r="E5" i="3"/>
  <c r="D14" i="20" s="1"/>
  <c r="I41" i="3"/>
  <c r="D194" i="20" s="1"/>
  <c r="C182" i="3"/>
  <c r="M35" i="20" s="1"/>
  <c r="L39" i="20"/>
  <c r="I44" i="20"/>
  <c r="G14" i="3"/>
  <c r="D50" i="20" s="1"/>
  <c r="G54" i="3"/>
  <c r="D234" i="20" s="1"/>
  <c r="C48" i="3"/>
  <c r="D210" i="20" s="1"/>
  <c r="G204" i="3"/>
  <c r="M183" i="20" s="1"/>
  <c r="O99" i="20"/>
  <c r="F57" i="20"/>
  <c r="L25" i="20"/>
  <c r="G162" i="3"/>
  <c r="J232" i="20" s="1"/>
  <c r="K160" i="3"/>
  <c r="J248" i="20" s="1"/>
  <c r="I32" i="20"/>
  <c r="E119" i="3"/>
  <c r="J18" i="20" s="1"/>
  <c r="C106" i="3"/>
  <c r="G213" i="20" s="1"/>
  <c r="AJ12" i="13"/>
  <c r="AW17" i="13"/>
  <c r="AW34" i="13"/>
  <c r="AW18" i="13"/>
  <c r="AW19" i="13"/>
  <c r="O23" i="13"/>
  <c r="O25" i="13"/>
  <c r="AT4" i="13"/>
  <c r="AT6" i="13"/>
  <c r="AT7" i="13"/>
  <c r="E17" i="13"/>
  <c r="E18" i="13"/>
  <c r="AY19" i="13"/>
  <c r="AY17" i="13"/>
  <c r="AY34" i="13"/>
  <c r="AY18" i="13"/>
  <c r="AY35" i="13"/>
  <c r="AY36" i="13"/>
  <c r="AY11" i="13"/>
  <c r="AX17" i="13"/>
  <c r="AX18" i="13"/>
  <c r="AX19" i="13"/>
  <c r="Q6" i="13"/>
  <c r="K258" i="3"/>
  <c r="P201" i="20" s="1"/>
  <c r="O13" i="20"/>
  <c r="O68" i="20"/>
  <c r="AQ51" i="13"/>
  <c r="AN9" i="13"/>
  <c r="G18" i="13"/>
  <c r="O9" i="13"/>
  <c r="O5" i="13"/>
  <c r="X29" i="13"/>
  <c r="X37" i="13"/>
  <c r="G62" i="3"/>
  <c r="G25" i="20" s="1"/>
  <c r="G23" i="13"/>
  <c r="O19" i="13"/>
  <c r="O16" i="13"/>
  <c r="G19" i="13"/>
  <c r="O18" i="13"/>
  <c r="X7" i="13"/>
  <c r="L77" i="20"/>
  <c r="BL20" i="13"/>
  <c r="BL16" i="13"/>
  <c r="CA37" i="13"/>
  <c r="AI37" i="13" s="1"/>
  <c r="CA30" i="13"/>
  <c r="CA12" i="13"/>
  <c r="CA3" i="13"/>
  <c r="AI3" i="13" s="1"/>
  <c r="BD8" i="13"/>
  <c r="C48" i="20"/>
  <c r="AN7" i="13"/>
  <c r="G8" i="13"/>
  <c r="X28" i="13"/>
  <c r="X5" i="13"/>
  <c r="I246" i="20"/>
  <c r="BL6" i="13"/>
  <c r="CA4" i="13"/>
  <c r="CA23" i="13"/>
  <c r="CA35" i="13"/>
  <c r="G6" i="13"/>
  <c r="G7" i="13"/>
  <c r="X8" i="13"/>
  <c r="O57" i="20"/>
  <c r="C216" i="20"/>
  <c r="X21" i="13"/>
  <c r="E91" i="3"/>
  <c r="G135" i="20" s="1"/>
  <c r="I81" i="3"/>
  <c r="G107" i="20" s="1"/>
  <c r="E17" i="3"/>
  <c r="D44" i="20" s="1"/>
  <c r="F111" i="20"/>
  <c r="C271" i="3"/>
  <c r="P214" i="20" s="1"/>
  <c r="G31" i="13"/>
  <c r="X15" i="13"/>
  <c r="X26" i="13"/>
  <c r="C122" i="3"/>
  <c r="J30" i="20" s="1"/>
  <c r="C188" i="20"/>
  <c r="L193" i="20"/>
  <c r="X4" i="13"/>
  <c r="L189" i="20"/>
  <c r="G86" i="3"/>
  <c r="G139" i="20" s="1"/>
  <c r="I39" i="3"/>
  <c r="D192" i="20" s="1"/>
  <c r="C14" i="3"/>
  <c r="D32" i="20" s="1"/>
  <c r="K26" i="3"/>
  <c r="D116" i="20" s="1"/>
  <c r="BL24" i="13"/>
  <c r="CA24" i="13"/>
  <c r="CA19" i="13"/>
  <c r="CA36" i="13"/>
  <c r="CA32" i="13"/>
  <c r="BD21" i="13"/>
  <c r="BD9" i="13"/>
  <c r="J51" i="13"/>
  <c r="F51" i="20"/>
  <c r="F251" i="20"/>
  <c r="E33" i="3"/>
  <c r="D132" i="20" s="1"/>
  <c r="I197" i="3"/>
  <c r="M149" i="20" s="1"/>
  <c r="CA34" i="13"/>
  <c r="CA31" i="13"/>
  <c r="AN15" i="13"/>
  <c r="I155" i="3"/>
  <c r="J198" i="20" s="1"/>
  <c r="G33" i="13"/>
  <c r="X19" i="13"/>
  <c r="BE5" i="13"/>
  <c r="AN23" i="13"/>
  <c r="AN18" i="13"/>
  <c r="AN34" i="13"/>
  <c r="AN36" i="13"/>
  <c r="O8" i="13"/>
  <c r="O4" i="13"/>
  <c r="G10" i="13"/>
  <c r="O22" i="13"/>
  <c r="G25" i="13"/>
  <c r="X23" i="13"/>
  <c r="F223" i="20"/>
  <c r="E141" i="3"/>
  <c r="J130" i="20" s="1"/>
  <c r="G29" i="13"/>
  <c r="AN8" i="13"/>
  <c r="K18" i="3"/>
  <c r="D72" i="20" s="1"/>
  <c r="O27" i="13"/>
  <c r="O31" i="13"/>
  <c r="O12" i="13"/>
  <c r="O28" i="13"/>
  <c r="X30" i="13"/>
  <c r="X32" i="13"/>
  <c r="O30" i="13"/>
  <c r="K68" i="3"/>
  <c r="G67" i="20" s="1"/>
  <c r="O85" i="20"/>
  <c r="E67" i="3"/>
  <c r="G39" i="20" s="1"/>
  <c r="E49" i="3"/>
  <c r="D220" i="20" s="1"/>
  <c r="C180" i="3"/>
  <c r="M33" i="20" s="1"/>
  <c r="C16" i="20"/>
  <c r="I23" i="3"/>
  <c r="D104" i="20" s="1"/>
  <c r="I15" i="3"/>
  <c r="D60" i="20" s="1"/>
  <c r="F37" i="13"/>
  <c r="N33" i="13"/>
  <c r="N25" i="13"/>
  <c r="F29" i="13"/>
  <c r="BZ23" i="13"/>
  <c r="BL12" i="13"/>
  <c r="CA26" i="13"/>
  <c r="CA20" i="13"/>
  <c r="W36" i="13"/>
  <c r="BK37" i="13"/>
  <c r="CA25" i="13"/>
  <c r="CA13" i="13"/>
  <c r="BK8" i="13"/>
  <c r="BK20" i="13"/>
  <c r="BD32" i="13"/>
  <c r="X18" i="13"/>
  <c r="X12" i="13"/>
  <c r="X13" i="13"/>
  <c r="F167" i="20"/>
  <c r="X25" i="13"/>
  <c r="AN6" i="13"/>
  <c r="AN17" i="13"/>
  <c r="G36" i="3"/>
  <c r="D144" i="20" s="1"/>
  <c r="G12" i="13"/>
  <c r="O20" i="13"/>
  <c r="O37" i="13"/>
  <c r="O3" i="13"/>
  <c r="O32" i="13"/>
  <c r="X11" i="13"/>
  <c r="X16" i="13"/>
  <c r="X10" i="13"/>
  <c r="E117" i="3"/>
  <c r="J16" i="20" s="1"/>
  <c r="E125" i="3"/>
  <c r="J42" i="20" s="1"/>
  <c r="E25" i="3"/>
  <c r="D88" i="20" s="1"/>
  <c r="F13" i="20"/>
  <c r="C176" i="20"/>
  <c r="L89" i="20"/>
  <c r="L45" i="20"/>
  <c r="F95" i="20"/>
  <c r="C76" i="20"/>
  <c r="BL14" i="13"/>
  <c r="CA5" i="13"/>
  <c r="CA10" i="13"/>
  <c r="CA33" i="13"/>
  <c r="CA27" i="13"/>
  <c r="AY21" i="13"/>
  <c r="AY13" i="13"/>
  <c r="AN10" i="13"/>
  <c r="AN30" i="13"/>
  <c r="O29" i="13"/>
  <c r="O11" i="13"/>
  <c r="X17" i="13"/>
  <c r="AN37" i="13"/>
  <c r="AN32" i="13"/>
  <c r="AN26" i="13"/>
  <c r="O35" i="13"/>
  <c r="G28" i="13"/>
  <c r="G4" i="13"/>
  <c r="O6" i="13"/>
  <c r="G37" i="13"/>
  <c r="O17" i="13"/>
  <c r="O24" i="13"/>
  <c r="X27" i="13"/>
  <c r="X33" i="13"/>
  <c r="X3" i="13"/>
  <c r="O10" i="13"/>
  <c r="G52" i="3"/>
  <c r="D232" i="20" s="1"/>
  <c r="C30" i="3"/>
  <c r="D120" i="20" s="1"/>
  <c r="F63" i="20"/>
  <c r="F123" i="20"/>
  <c r="BL3" i="13"/>
  <c r="BL35" i="13"/>
  <c r="CA18" i="13"/>
  <c r="CA11" i="13"/>
  <c r="AI11" i="13" s="1"/>
  <c r="CA17" i="13"/>
  <c r="CA15" i="13"/>
  <c r="L167" i="20"/>
  <c r="L177" i="20"/>
  <c r="C195" i="3"/>
  <c r="M120" i="20" s="1"/>
  <c r="BK29" i="13"/>
  <c r="CA7" i="13"/>
  <c r="BK16" i="13"/>
  <c r="N3" i="13"/>
  <c r="C63" i="3"/>
  <c r="G8" i="20" s="1"/>
  <c r="U7" i="13"/>
  <c r="M12" i="13"/>
  <c r="M8" i="13"/>
  <c r="BY12" i="13"/>
  <c r="AV12" i="13" s="1"/>
  <c r="E28" i="13"/>
  <c r="E9" i="13"/>
  <c r="AT17" i="13"/>
  <c r="BY9" i="13"/>
  <c r="AT15" i="13"/>
  <c r="M18" i="13"/>
  <c r="BJ4" i="13"/>
  <c r="M10" i="13"/>
  <c r="M13" i="13"/>
  <c r="BJ27" i="13"/>
  <c r="E5" i="13"/>
  <c r="E16" i="13"/>
  <c r="AT34" i="13"/>
  <c r="AT9" i="13"/>
  <c r="AT3" i="13"/>
  <c r="BY26" i="13"/>
  <c r="U27" i="13"/>
  <c r="M26" i="13"/>
  <c r="M15" i="13"/>
  <c r="BY6" i="13"/>
  <c r="AT18" i="13"/>
  <c r="BY19" i="13"/>
  <c r="E36" i="13"/>
  <c r="M7" i="13"/>
  <c r="AJ30" i="13"/>
  <c r="O178" i="20"/>
  <c r="I197" i="20"/>
  <c r="I162" i="3"/>
  <c r="J241" i="20" s="1"/>
  <c r="I169" i="20"/>
  <c r="L220" i="20"/>
  <c r="AV51" i="13"/>
  <c r="AX51" i="13"/>
  <c r="I271" i="3"/>
  <c r="P241" i="20" s="1"/>
  <c r="F79" i="20"/>
  <c r="F207" i="20"/>
  <c r="I89" i="3"/>
  <c r="G151" i="20" s="1"/>
  <c r="BE51" i="13"/>
  <c r="E20" i="15"/>
  <c r="AH51" i="13"/>
  <c r="AM16" i="13"/>
  <c r="AM5" i="13"/>
  <c r="AU51" i="13"/>
  <c r="AJ10" i="13"/>
  <c r="I188" i="3"/>
  <c r="M104" i="20" s="1"/>
  <c r="R51" i="13"/>
  <c r="AP51" i="13"/>
  <c r="F61" i="2"/>
  <c r="F54" i="2"/>
  <c r="G54" i="2" s="1"/>
  <c r="E80" i="3"/>
  <c r="G88" i="20" s="1"/>
  <c r="O81" i="20"/>
  <c r="O113" i="20"/>
  <c r="L23" i="20"/>
  <c r="L237" i="20"/>
  <c r="K200" i="3"/>
  <c r="M161" i="20" s="1"/>
  <c r="G253" i="3"/>
  <c r="P142" i="20" s="1"/>
  <c r="I174" i="20"/>
  <c r="L158" i="20"/>
  <c r="C229" i="20"/>
  <c r="L249" i="20"/>
  <c r="I214" i="20"/>
  <c r="K259" i="3"/>
  <c r="P202" i="20" s="1"/>
  <c r="L49" i="20"/>
  <c r="C227" i="3"/>
  <c r="P7" i="20" s="1"/>
  <c r="K267" i="3"/>
  <c r="P246" i="20" s="1"/>
  <c r="F192" i="20"/>
  <c r="I9" i="20"/>
  <c r="I98" i="20"/>
  <c r="F18" i="20"/>
  <c r="G67" i="3"/>
  <c r="G48" i="20" s="1"/>
  <c r="I272" i="3"/>
  <c r="P242" i="20" s="1"/>
  <c r="K192" i="3"/>
  <c r="M117" i="20" s="1"/>
  <c r="C157" i="20"/>
  <c r="C204" i="3"/>
  <c r="M165" i="20" s="1"/>
  <c r="F211" i="20"/>
  <c r="G41" i="3"/>
  <c r="D185" i="20" s="1"/>
  <c r="F183" i="20"/>
  <c r="L205" i="20"/>
  <c r="I78" i="3"/>
  <c r="G104" i="20" s="1"/>
  <c r="L246" i="20"/>
  <c r="C146" i="3"/>
  <c r="J126" i="20" s="1"/>
  <c r="O174" i="20"/>
  <c r="K126" i="3"/>
  <c r="J70" i="20" s="1"/>
  <c r="E250" i="3"/>
  <c r="P130" i="20" s="1"/>
  <c r="G269" i="3"/>
  <c r="P230" i="20" s="1"/>
  <c r="C35" i="3"/>
  <c r="D125" i="20" s="1"/>
  <c r="L121" i="20"/>
  <c r="L133" i="20"/>
  <c r="L61" i="20"/>
  <c r="G17" i="3"/>
  <c r="D53" i="20" s="1"/>
  <c r="G144" i="3"/>
  <c r="J142" i="20" s="1"/>
  <c r="E114" i="3"/>
  <c r="J13" i="20" s="1"/>
  <c r="C263" i="3"/>
  <c r="P170" i="20" s="1"/>
  <c r="L114" i="20"/>
  <c r="K134" i="3"/>
  <c r="J114" i="20" s="1"/>
  <c r="I202" i="20"/>
  <c r="K234" i="3"/>
  <c r="P69" i="20" s="1"/>
  <c r="K251" i="3"/>
  <c r="P158" i="20" s="1"/>
  <c r="O186" i="20"/>
  <c r="L221" i="20"/>
  <c r="O198" i="20"/>
  <c r="O41" i="20"/>
  <c r="F239" i="20"/>
  <c r="G91" i="3"/>
  <c r="G144" i="20" s="1"/>
  <c r="L58" i="20"/>
  <c r="C241" i="20"/>
  <c r="G244" i="3"/>
  <c r="P97" i="20" s="1"/>
  <c r="G236" i="3"/>
  <c r="P53" i="20" s="1"/>
  <c r="L142" i="20"/>
  <c r="G207" i="3"/>
  <c r="M186" i="20" s="1"/>
  <c r="L242" i="20"/>
  <c r="I170" i="20"/>
  <c r="L7" i="20"/>
  <c r="C43" i="3"/>
  <c r="D169" i="20" s="1"/>
  <c r="G186" i="3"/>
  <c r="M93" i="20" s="1"/>
  <c r="I251" i="20"/>
  <c r="I190" i="3"/>
  <c r="M106" i="20" s="1"/>
  <c r="O251" i="20"/>
  <c r="G233" i="3"/>
  <c r="P50" i="20" s="1"/>
  <c r="C231" i="3"/>
  <c r="P30" i="20" s="1"/>
  <c r="I86" i="3"/>
  <c r="G148" i="20" s="1"/>
  <c r="C235" i="3"/>
  <c r="P34" i="20" s="1"/>
  <c r="C127" i="3"/>
  <c r="J35" i="20" s="1"/>
  <c r="I123" i="20"/>
  <c r="I160" i="3"/>
  <c r="J239" i="20" s="1"/>
  <c r="C141" i="20"/>
  <c r="I107" i="20"/>
  <c r="E246" i="3"/>
  <c r="P90" i="20" s="1"/>
  <c r="I111" i="20"/>
  <c r="F22" i="20"/>
  <c r="K89" i="3"/>
  <c r="G160" i="20" s="1"/>
  <c r="I12" i="3"/>
  <c r="D57" i="20" s="1"/>
  <c r="C69" i="3"/>
  <c r="G32" i="20" s="1"/>
  <c r="I151" i="20"/>
  <c r="C201" i="3"/>
  <c r="M126" i="20" s="1"/>
  <c r="G225" i="3"/>
  <c r="P23" i="20" s="1"/>
  <c r="C77" i="3"/>
  <c r="G76" i="20" s="1"/>
  <c r="L98" i="20"/>
  <c r="G241" i="3"/>
  <c r="P94" i="20" s="1"/>
  <c r="O106" i="20"/>
  <c r="G149" i="3"/>
  <c r="J183" i="20" s="1"/>
  <c r="F216" i="20"/>
  <c r="L54" i="20"/>
  <c r="C51" i="3"/>
  <c r="D213" i="20" s="1"/>
  <c r="I211" i="20"/>
  <c r="K231" i="3"/>
  <c r="P66" i="20" s="1"/>
  <c r="O58" i="20"/>
  <c r="L230" i="20"/>
  <c r="L214" i="20"/>
  <c r="L202" i="20"/>
  <c r="E263" i="3"/>
  <c r="P179" i="20" s="1"/>
  <c r="E162" i="3"/>
  <c r="J223" i="20" s="1"/>
  <c r="E34" i="3"/>
  <c r="D133" i="20" s="1"/>
  <c r="I135" i="20"/>
  <c r="C169" i="3"/>
  <c r="M4" i="20" s="1"/>
  <c r="E96" i="3"/>
  <c r="G176" i="20" s="1"/>
  <c r="C69" i="20"/>
  <c r="C153" i="20"/>
  <c r="O62" i="20"/>
  <c r="I210" i="3"/>
  <c r="M198" i="20" s="1"/>
  <c r="I253" i="3"/>
  <c r="P151" i="20" s="1"/>
  <c r="C181" i="3"/>
  <c r="M34" i="20" s="1"/>
  <c r="C85" i="20"/>
  <c r="C97" i="20"/>
  <c r="E226" i="3"/>
  <c r="P15" i="20" s="1"/>
  <c r="O195" i="20"/>
  <c r="F132" i="20"/>
  <c r="K73" i="3"/>
  <c r="G72" i="20" s="1"/>
  <c r="L8" i="20"/>
  <c r="C260" i="3"/>
  <c r="P167" i="20" s="1"/>
  <c r="K181" i="3"/>
  <c r="M70" i="20" s="1"/>
  <c r="I179" i="20"/>
  <c r="K123" i="3"/>
  <c r="J67" i="20" s="1"/>
  <c r="C197" i="20"/>
  <c r="E180" i="3"/>
  <c r="M42" i="20" s="1"/>
  <c r="G45" i="3"/>
  <c r="D189" i="20" s="1"/>
  <c r="BI14" i="13"/>
  <c r="L130" i="20"/>
  <c r="O223" i="20"/>
  <c r="I195" i="20"/>
  <c r="G133" i="3"/>
  <c r="J95" i="20" s="1"/>
  <c r="C201" i="20"/>
  <c r="I128" i="3"/>
  <c r="J63" i="20" s="1"/>
  <c r="K105" i="3"/>
  <c r="G248" i="20" s="1"/>
  <c r="C5" i="20"/>
  <c r="F124" i="20"/>
  <c r="K81" i="3"/>
  <c r="G116" i="20" s="1"/>
  <c r="I25" i="20"/>
  <c r="E255" i="3"/>
  <c r="P135" i="20" s="1"/>
  <c r="O139" i="20"/>
  <c r="F232" i="20"/>
  <c r="C135" i="3"/>
  <c r="J79" i="20" s="1"/>
  <c r="L150" i="20"/>
  <c r="C113" i="20"/>
  <c r="L170" i="20"/>
  <c r="E72" i="3"/>
  <c r="G44" i="20" s="1"/>
  <c r="O207" i="20"/>
  <c r="L90" i="20"/>
  <c r="I175" i="20"/>
  <c r="I186" i="3"/>
  <c r="M102" i="20" s="1"/>
  <c r="C243" i="3"/>
  <c r="P78" i="20" s="1"/>
  <c r="C151" i="3"/>
  <c r="J167" i="20" s="1"/>
  <c r="G99" i="3"/>
  <c r="G188" i="20" s="1"/>
  <c r="E172" i="3"/>
  <c r="M16" i="20" s="1"/>
  <c r="F60" i="20"/>
  <c r="C61" i="3"/>
  <c r="G6" i="20" s="1"/>
  <c r="K153" i="3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87" i="3"/>
  <c r="M103" i="20" s="1"/>
  <c r="E105" i="3"/>
  <c r="G221" i="20" s="1"/>
  <c r="F149" i="20"/>
  <c r="L115" i="20"/>
  <c r="C128" i="3"/>
  <c r="J36" i="20" s="1"/>
  <c r="Y24" i="13"/>
  <c r="BH9" i="13"/>
  <c r="BH33" i="13"/>
  <c r="BH36" i="13"/>
  <c r="P35" i="13"/>
  <c r="I35" i="3"/>
  <c r="D152" i="20" s="1"/>
  <c r="C174" i="20"/>
  <c r="AJ11" i="13"/>
  <c r="I103" i="3"/>
  <c r="G237" i="20" s="1"/>
  <c r="J26" i="13"/>
  <c r="O35" i="20"/>
  <c r="J13" i="13"/>
  <c r="J22" i="13"/>
  <c r="BR35" i="13"/>
  <c r="BR4" i="13"/>
  <c r="L32" i="13"/>
  <c r="L18" i="13"/>
  <c r="AY37" i="13"/>
  <c r="AY29" i="13"/>
  <c r="AY3" i="13"/>
  <c r="BH37" i="13"/>
  <c r="D9" i="13"/>
  <c r="J4" i="13"/>
  <c r="AW23" i="13"/>
  <c r="AY9" i="13"/>
  <c r="J35" i="13"/>
  <c r="AY7" i="13"/>
  <c r="BR3" i="13"/>
  <c r="Y17" i="13"/>
  <c r="Y34" i="13"/>
  <c r="I240" i="20"/>
  <c r="I250" i="20"/>
  <c r="K271" i="3"/>
  <c r="P250" i="20" s="1"/>
  <c r="BH23" i="13"/>
  <c r="BH7" i="13"/>
  <c r="AA7" i="13" s="1"/>
  <c r="BH32" i="13"/>
  <c r="BH8" i="13"/>
  <c r="P8" i="13"/>
  <c r="BS8" i="13"/>
  <c r="H36" i="13"/>
  <c r="I8" i="20"/>
  <c r="G34" i="3"/>
  <c r="D142" i="20" s="1"/>
  <c r="C18" i="3"/>
  <c r="D36" i="20" s="1"/>
  <c r="K106" i="3"/>
  <c r="G249" i="20" s="1"/>
  <c r="J7" i="13"/>
  <c r="L231" i="20"/>
  <c r="J37" i="13"/>
  <c r="J36" i="13"/>
  <c r="BR21" i="13"/>
  <c r="BR29" i="13"/>
  <c r="BR11" i="13"/>
  <c r="J31" i="13"/>
  <c r="AY16" i="13"/>
  <c r="AY5" i="13"/>
  <c r="AY22" i="13"/>
  <c r="BH35" i="13"/>
  <c r="J18" i="13"/>
  <c r="BH31" i="13"/>
  <c r="AA31" i="13" s="1"/>
  <c r="J11" i="13"/>
  <c r="AY30" i="13"/>
  <c r="AY8" i="13"/>
  <c r="BH24" i="13"/>
  <c r="E231" i="3"/>
  <c r="P39" i="20" s="1"/>
  <c r="CB8" i="13"/>
  <c r="BH29" i="13"/>
  <c r="AA29" i="13" s="1"/>
  <c r="BH18" i="13"/>
  <c r="BS9" i="13"/>
  <c r="I124" i="20"/>
  <c r="J9" i="13"/>
  <c r="J23" i="13"/>
  <c r="BR19" i="13"/>
  <c r="BR10" i="13"/>
  <c r="BR9" i="13"/>
  <c r="J34" i="13"/>
  <c r="AY32" i="13"/>
  <c r="AY24" i="13"/>
  <c r="AY23" i="13"/>
  <c r="AY28" i="13"/>
  <c r="J3" i="13"/>
  <c r="BH21" i="13"/>
  <c r="Y18" i="13"/>
  <c r="AJ23" i="13"/>
  <c r="I108" i="20"/>
  <c r="BH27" i="13"/>
  <c r="BH34" i="13"/>
  <c r="C178" i="3"/>
  <c r="M31" i="20" s="1"/>
  <c r="I212" i="20"/>
  <c r="F23" i="20"/>
  <c r="C44" i="3"/>
  <c r="D170" i="20" s="1"/>
  <c r="J17" i="13"/>
  <c r="J33" i="13"/>
  <c r="BR27" i="13"/>
  <c r="BR20" i="13"/>
  <c r="BR5" i="13"/>
  <c r="BR13" i="13"/>
  <c r="J24" i="13"/>
  <c r="AY26" i="13"/>
  <c r="AY14" i="13"/>
  <c r="AY27" i="13"/>
  <c r="AY25" i="13"/>
  <c r="J28" i="13"/>
  <c r="BH25" i="13"/>
  <c r="J25" i="13"/>
  <c r="BR32" i="13"/>
  <c r="J32" i="13"/>
  <c r="BH20" i="13"/>
  <c r="BH14" i="13"/>
  <c r="BH30" i="13"/>
  <c r="L87" i="20"/>
  <c r="G158" i="3"/>
  <c r="J228" i="20" s="1"/>
  <c r="C78" i="3"/>
  <c r="G77" i="20" s="1"/>
  <c r="J12" i="13"/>
  <c r="BR23" i="13"/>
  <c r="BR31" i="13"/>
  <c r="BR34" i="13"/>
  <c r="BR36" i="13"/>
  <c r="BH5" i="13"/>
  <c r="AY20" i="13"/>
  <c r="AY4" i="13"/>
  <c r="AU23" i="13"/>
  <c r="AX23" i="13"/>
  <c r="BR14" i="13"/>
  <c r="J21" i="13"/>
  <c r="BH6" i="13"/>
  <c r="BH22" i="13"/>
  <c r="J30" i="13"/>
  <c r="L171" i="20"/>
  <c r="BH11" i="13"/>
  <c r="BH10" i="13"/>
  <c r="BH19" i="13"/>
  <c r="BH17" i="13"/>
  <c r="BH26" i="13"/>
  <c r="BH4" i="13"/>
  <c r="BH16" i="13"/>
  <c r="BH15" i="13"/>
  <c r="P29" i="13"/>
  <c r="L75" i="20"/>
  <c r="J14" i="13"/>
  <c r="I180" i="20"/>
  <c r="G100" i="3"/>
  <c r="G189" i="20" s="1"/>
  <c r="C4" i="3"/>
  <c r="D4" i="20" s="1"/>
  <c r="C70" i="20"/>
  <c r="BR26" i="13"/>
  <c r="BR12" i="13"/>
  <c r="BR15" i="13"/>
  <c r="BR24" i="13"/>
  <c r="AY33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C12" i="13"/>
  <c r="CC15" i="13"/>
  <c r="CC20" i="13"/>
  <c r="Z4" i="13"/>
  <c r="Z16" i="13"/>
  <c r="Z23" i="13"/>
  <c r="Z12" i="13"/>
  <c r="Z19" i="13"/>
  <c r="Z5" i="13"/>
  <c r="Z14" i="13"/>
  <c r="Z28" i="13"/>
  <c r="CC26" i="13"/>
  <c r="Y35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Y14" i="13"/>
  <c r="Z20" i="13"/>
  <c r="CC21" i="13"/>
  <c r="CC32" i="13"/>
  <c r="CC31" i="13"/>
  <c r="CC11" i="13"/>
  <c r="Y23" i="13"/>
  <c r="Y26" i="13"/>
  <c r="Y37" i="13"/>
  <c r="Q35" i="13"/>
  <c r="CC29" i="13"/>
  <c r="Q10" i="13"/>
  <c r="CB18" i="13"/>
  <c r="CB9" i="13"/>
  <c r="H10" i="13"/>
  <c r="BS19" i="13"/>
  <c r="H37" i="13"/>
  <c r="O22" i="20"/>
  <c r="I214" i="3"/>
  <c r="M238" i="20" s="1"/>
  <c r="C163" i="3"/>
  <c r="J215" i="20" s="1"/>
  <c r="O18" i="20"/>
  <c r="G103" i="3"/>
  <c r="G228" i="20" s="1"/>
  <c r="Z21" i="13"/>
  <c r="F40" i="20"/>
  <c r="AX4" i="13"/>
  <c r="BE26" i="13"/>
  <c r="BE32" i="13"/>
  <c r="BE36" i="13"/>
  <c r="Q25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18" i="13"/>
  <c r="AP8" i="13"/>
  <c r="AP26" i="13"/>
  <c r="AP23" i="13"/>
  <c r="AP37" i="13"/>
  <c r="AP16" i="13"/>
  <c r="AP34" i="13"/>
  <c r="AP6" i="13"/>
  <c r="AP4" i="13"/>
  <c r="AP10" i="13"/>
  <c r="AP36" i="13"/>
  <c r="CC36" i="13"/>
  <c r="CC19" i="13"/>
  <c r="CC8" i="13"/>
  <c r="I29" i="13"/>
  <c r="AW5" i="13"/>
  <c r="AW30" i="13"/>
  <c r="AW14" i="13"/>
  <c r="AW4" i="13"/>
  <c r="AW35" i="13"/>
  <c r="AW32" i="13"/>
  <c r="AW12" i="13"/>
  <c r="AW25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C9" i="13"/>
  <c r="CC13" i="13"/>
  <c r="CC7" i="13"/>
  <c r="CC33" i="13"/>
  <c r="Y16" i="13"/>
  <c r="Y21" i="13"/>
  <c r="Y5" i="13"/>
  <c r="Y27" i="13"/>
  <c r="Q32" i="13"/>
  <c r="Q18" i="13"/>
  <c r="Q20" i="13"/>
  <c r="C212" i="20"/>
  <c r="L250" i="20"/>
  <c r="O117" i="20"/>
  <c r="CB19" i="13"/>
  <c r="CB34" i="13"/>
  <c r="BS17" i="13"/>
  <c r="BS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AX33" i="13"/>
  <c r="AO6" i="13"/>
  <c r="I177" i="3"/>
  <c r="M57" i="20" s="1"/>
  <c r="I33" i="13"/>
  <c r="Z6" i="13"/>
  <c r="H8" i="13"/>
  <c r="Q30" i="13"/>
  <c r="Q37" i="13"/>
  <c r="Q24" i="13"/>
  <c r="CB14" i="13"/>
  <c r="CB17" i="13"/>
  <c r="CB3" i="13"/>
  <c r="CB25" i="13"/>
  <c r="CB29" i="13"/>
  <c r="CB32" i="13"/>
  <c r="CB16" i="13"/>
  <c r="CB23" i="13"/>
  <c r="CB33" i="13"/>
  <c r="CB10" i="13"/>
  <c r="CB30" i="13"/>
  <c r="CB5" i="13"/>
  <c r="CB31" i="13"/>
  <c r="CB21" i="13"/>
  <c r="CB24" i="13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S6" i="13"/>
  <c r="BS26" i="13"/>
  <c r="BS4" i="13"/>
  <c r="BS25" i="13"/>
  <c r="BS21" i="13"/>
  <c r="BS23" i="13"/>
  <c r="BS5" i="13"/>
  <c r="BS27" i="13"/>
  <c r="BS22" i="13"/>
  <c r="BS15" i="13"/>
  <c r="BS11" i="13"/>
  <c r="BS7" i="13"/>
  <c r="BS32" i="13"/>
  <c r="BS34" i="13"/>
  <c r="BS13" i="13"/>
  <c r="BS37" i="13"/>
  <c r="BS28" i="13"/>
  <c r="BS29" i="13"/>
  <c r="BS3" i="13"/>
  <c r="BS30" i="13"/>
  <c r="BS12" i="13"/>
  <c r="Z25" i="13"/>
  <c r="CC27" i="13"/>
  <c r="AQ27" i="13" s="1"/>
  <c r="CC3" i="13"/>
  <c r="CC16" i="13"/>
  <c r="CC24" i="13"/>
  <c r="Y30" i="13"/>
  <c r="Q3" i="13"/>
  <c r="Q8" i="13"/>
  <c r="O33" i="20"/>
  <c r="I240" i="3"/>
  <c r="P102" i="20" s="1"/>
  <c r="CB37" i="13"/>
  <c r="CB28" i="13"/>
  <c r="AQ28" i="13" s="1"/>
  <c r="CB36" i="13"/>
  <c r="P22" i="13"/>
  <c r="BS31" i="13"/>
  <c r="I51" i="3"/>
  <c r="D240" i="20" s="1"/>
  <c r="F21" i="20"/>
  <c r="C205" i="3"/>
  <c r="M166" i="20" s="1"/>
  <c r="C267" i="3"/>
  <c r="P210" i="20" s="1"/>
  <c r="I132" i="3"/>
  <c r="J103" i="20" s="1"/>
  <c r="AP15" i="13"/>
  <c r="G53" i="3"/>
  <c r="D233" i="20" s="1"/>
  <c r="E60" i="3"/>
  <c r="G14" i="20" s="1"/>
  <c r="BS10" i="13"/>
  <c r="F219" i="20"/>
  <c r="AW11" i="13"/>
  <c r="Z37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C5" i="13"/>
  <c r="CC23" i="13"/>
  <c r="CC18" i="13"/>
  <c r="CC34" i="13"/>
  <c r="Y22" i="13"/>
  <c r="Y19" i="13"/>
  <c r="Y33" i="13"/>
  <c r="Y20" i="13"/>
  <c r="Q9" i="13"/>
  <c r="Q4" i="13"/>
  <c r="C140" i="20"/>
  <c r="K188" i="3"/>
  <c r="M113" i="20" s="1"/>
  <c r="L229" i="20"/>
  <c r="CB11" i="13"/>
  <c r="CB20" i="13"/>
  <c r="CB22" i="13"/>
  <c r="CB12" i="13"/>
  <c r="L213" i="20"/>
  <c r="C205" i="20"/>
  <c r="I34" i="20"/>
  <c r="G16" i="3"/>
  <c r="D52" i="20" s="1"/>
  <c r="C97" i="3"/>
  <c r="G168" i="20" s="1"/>
  <c r="AP9" i="13"/>
  <c r="F103" i="20"/>
  <c r="I98" i="3"/>
  <c r="G196" i="20" s="1"/>
  <c r="BF25" i="13"/>
  <c r="BS24" i="13"/>
  <c r="I5" i="13"/>
  <c r="Z31" i="13"/>
  <c r="BF35" i="13"/>
  <c r="Z32" i="13"/>
  <c r="AX14" i="13"/>
  <c r="AX22" i="13"/>
  <c r="AX7" i="13"/>
  <c r="AX26" i="13"/>
  <c r="AX25" i="13"/>
  <c r="AX35" i="13"/>
  <c r="AX29" i="13"/>
  <c r="AX3" i="13"/>
  <c r="AX5" i="13"/>
  <c r="AX21" i="13"/>
  <c r="AX24" i="13"/>
  <c r="AX8" i="13"/>
  <c r="AX6" i="13"/>
  <c r="AX31" i="13"/>
  <c r="AX36" i="13"/>
  <c r="AX30" i="13"/>
  <c r="AX20" i="13"/>
  <c r="AX11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10" i="13"/>
  <c r="AO30" i="13"/>
  <c r="AO4" i="13"/>
  <c r="AO16" i="13"/>
  <c r="AO36" i="13"/>
  <c r="AO9" i="13"/>
  <c r="AO8" i="13"/>
  <c r="AO18" i="13"/>
  <c r="AO34" i="13"/>
  <c r="H29" i="13"/>
  <c r="H23" i="13"/>
  <c r="H15" i="13"/>
  <c r="H19" i="13"/>
  <c r="H3" i="13"/>
  <c r="H34" i="13"/>
  <c r="H25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L122" i="20"/>
  <c r="E195" i="3"/>
  <c r="M129" i="20" s="1"/>
  <c r="K204" i="3"/>
  <c r="M201" i="20" s="1"/>
  <c r="G182" i="3"/>
  <c r="M53" i="20" s="1"/>
  <c r="O89" i="20"/>
  <c r="CB15" i="13"/>
  <c r="CB35" i="13"/>
  <c r="H35" i="13"/>
  <c r="H27" i="13"/>
  <c r="BS20" i="13"/>
  <c r="L153" i="20"/>
  <c r="K252" i="3"/>
  <c r="P159" i="20" s="1"/>
  <c r="E26" i="3"/>
  <c r="D89" i="20" s="1"/>
  <c r="F26" i="20"/>
  <c r="BF23" i="13"/>
  <c r="BE9" i="13"/>
  <c r="F43" i="20"/>
  <c r="I18" i="13"/>
  <c r="BF5" i="13"/>
  <c r="Z30" i="13"/>
  <c r="Z10" i="13"/>
  <c r="AX37" i="13"/>
  <c r="BF14" i="13"/>
  <c r="BF11" i="13"/>
  <c r="BF3" i="13"/>
  <c r="BF37" i="13"/>
  <c r="AG37" i="13" s="1"/>
  <c r="BF30" i="13"/>
  <c r="BF7" i="13"/>
  <c r="BF19" i="13"/>
  <c r="BF29" i="13"/>
  <c r="BF33" i="13"/>
  <c r="BF17" i="13"/>
  <c r="BF16" i="13"/>
  <c r="BF27" i="13"/>
  <c r="BF28" i="13"/>
  <c r="BF31" i="13"/>
  <c r="BF4" i="13"/>
  <c r="BF21" i="13"/>
  <c r="BF18" i="13"/>
  <c r="BF32" i="13"/>
  <c r="BF10" i="13"/>
  <c r="BF36" i="13"/>
  <c r="BF6" i="13"/>
  <c r="BF34" i="13"/>
  <c r="BF12" i="13"/>
  <c r="BF20" i="13"/>
  <c r="BF13" i="13"/>
  <c r="BF26" i="13"/>
  <c r="BF22" i="13"/>
  <c r="BF8" i="13"/>
  <c r="BE15" i="13"/>
  <c r="BE22" i="13"/>
  <c r="BE30" i="13"/>
  <c r="BE27" i="13"/>
  <c r="BE11" i="13"/>
  <c r="BE3" i="13"/>
  <c r="AH3" i="13" s="1"/>
  <c r="BE4" i="13"/>
  <c r="BE33" i="13"/>
  <c r="BE31" i="13"/>
  <c r="BE7" i="13"/>
  <c r="BE19" i="13"/>
  <c r="BE14" i="13"/>
  <c r="BE24" i="13"/>
  <c r="BE28" i="13"/>
  <c r="BE25" i="13"/>
  <c r="BE13" i="13"/>
  <c r="BE20" i="13"/>
  <c r="BE16" i="13"/>
  <c r="BE17" i="13"/>
  <c r="BE6" i="13"/>
  <c r="BE35" i="13"/>
  <c r="BE21" i="13"/>
  <c r="BE18" i="13"/>
  <c r="BE37" i="13"/>
  <c r="BE10" i="13"/>
  <c r="BE8" i="13"/>
  <c r="P26" i="13"/>
  <c r="P16" i="13"/>
  <c r="P15" i="13"/>
  <c r="P32" i="13"/>
  <c r="P28" i="13"/>
  <c r="P13" i="13"/>
  <c r="P37" i="13"/>
  <c r="P9" i="13"/>
  <c r="P23" i="13"/>
  <c r="P14" i="13"/>
  <c r="P34" i="13"/>
  <c r="P21" i="13"/>
  <c r="P33" i="13"/>
  <c r="P36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C6" i="13"/>
  <c r="CC22" i="13"/>
  <c r="CC4" i="13"/>
  <c r="Q12" i="13"/>
  <c r="Y15" i="13"/>
  <c r="Y36" i="13"/>
  <c r="CC10" i="13"/>
  <c r="CC25" i="13"/>
  <c r="CC37" i="13"/>
  <c r="CC14" i="13"/>
  <c r="Q19" i="13"/>
  <c r="Y3" i="13"/>
  <c r="Y32" i="13"/>
  <c r="L125" i="20"/>
  <c r="K180" i="3"/>
  <c r="M69" i="20" s="1"/>
  <c r="O77" i="20"/>
  <c r="CB7" i="13"/>
  <c r="BS33" i="13"/>
  <c r="BS16" i="13"/>
  <c r="I166" i="20"/>
  <c r="I78" i="20"/>
  <c r="AP3" i="13"/>
  <c r="I159" i="3"/>
  <c r="J238" i="20" s="1"/>
  <c r="C189" i="3"/>
  <c r="M78" i="20" s="1"/>
  <c r="K151" i="3"/>
  <c r="J203" i="20" s="1"/>
  <c r="BF15" i="13"/>
  <c r="BE34" i="13"/>
  <c r="G90" i="3"/>
  <c r="G143" i="20" s="1"/>
  <c r="E171" i="3"/>
  <c r="M15" i="20" s="1"/>
  <c r="BF24" i="13"/>
  <c r="BE23" i="13"/>
  <c r="BE29" i="13"/>
  <c r="G265" i="15"/>
  <c r="I111" i="15"/>
  <c r="AU30" i="13"/>
  <c r="G121" i="15"/>
  <c r="G295" i="15"/>
  <c r="I213" i="15"/>
  <c r="V28" i="13"/>
  <c r="V29" i="13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AJ31" i="13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J35" i="13"/>
  <c r="AJ20" i="13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I265" i="15"/>
  <c r="G198" i="3"/>
  <c r="M141" i="20" s="1"/>
  <c r="E223" i="15"/>
  <c r="E198" i="3"/>
  <c r="M132" i="20" s="1"/>
  <c r="C265" i="15"/>
  <c r="G51" i="13"/>
  <c r="G160" i="3"/>
  <c r="J230" i="20" s="1"/>
  <c r="AJ37" i="13"/>
  <c r="AJ33" i="13"/>
  <c r="G285" i="15"/>
  <c r="G203" i="15"/>
  <c r="G20" i="15"/>
  <c r="C295" i="15"/>
  <c r="E182" i="15"/>
  <c r="G111" i="15"/>
  <c r="Z51" i="13"/>
  <c r="C203" i="15"/>
  <c r="AI51" i="13"/>
  <c r="C233" i="15"/>
  <c r="B51" i="13"/>
  <c r="BD51" i="13"/>
  <c r="W51" i="13"/>
  <c r="I4" i="20"/>
  <c r="T51" i="13"/>
  <c r="C207" i="3"/>
  <c r="M168" i="20" s="1"/>
  <c r="K34" i="3"/>
  <c r="D160" i="20" s="1"/>
  <c r="AJ8" i="13"/>
  <c r="C16" i="3"/>
  <c r="D34" i="20" s="1"/>
  <c r="AJ24" i="13"/>
  <c r="AJ34" i="13"/>
  <c r="I86" i="20"/>
  <c r="E151" i="3"/>
  <c r="J176" i="20" s="1"/>
  <c r="K111" i="15"/>
  <c r="F204" i="20"/>
  <c r="F201" i="20"/>
  <c r="F206" i="20"/>
  <c r="BZ24" i="13"/>
  <c r="BZ22" i="13"/>
  <c r="BZ17" i="13"/>
  <c r="BZ16" i="13"/>
  <c r="AI16" i="13" s="1"/>
  <c r="BZ35" i="13"/>
  <c r="BZ25" i="13"/>
  <c r="BZ10" i="13"/>
  <c r="BZ27" i="13"/>
  <c r="BZ4" i="13"/>
  <c r="BZ31" i="13"/>
  <c r="BZ28" i="13"/>
  <c r="AI28" i="13" s="1"/>
  <c r="BZ5" i="13"/>
  <c r="BL4" i="13"/>
  <c r="BL22" i="13"/>
  <c r="BL21" i="13"/>
  <c r="BL27" i="13"/>
  <c r="BL13" i="13"/>
  <c r="BL34" i="13"/>
  <c r="BL32" i="13"/>
  <c r="BL25" i="13"/>
  <c r="BL9" i="13"/>
  <c r="BL11" i="13"/>
  <c r="BL26" i="13"/>
  <c r="BL10" i="13"/>
  <c r="BL23" i="13"/>
  <c r="AV23" i="13" s="1"/>
  <c r="BL8" i="13"/>
  <c r="BL17" i="13"/>
  <c r="BL19" i="13"/>
  <c r="BD22" i="13"/>
  <c r="BD30" i="13"/>
  <c r="BD7" i="13"/>
  <c r="BD15" i="13"/>
  <c r="BD13" i="13"/>
  <c r="BD10" i="13"/>
  <c r="BD17" i="13"/>
  <c r="BD19" i="13"/>
  <c r="BD20" i="13"/>
  <c r="BD23" i="13"/>
  <c r="BD12" i="13"/>
  <c r="BD24" i="13"/>
  <c r="BD27" i="13"/>
  <c r="BD4" i="13"/>
  <c r="BD16" i="13"/>
  <c r="BD28" i="13"/>
  <c r="BD34" i="13"/>
  <c r="BD36" i="13"/>
  <c r="BD35" i="13"/>
  <c r="BD25" i="13"/>
  <c r="BD5" i="13"/>
  <c r="BD33" i="13"/>
  <c r="BD14" i="13"/>
  <c r="BD37" i="13"/>
  <c r="BD29" i="13"/>
  <c r="BD26" i="13"/>
  <c r="BD18" i="13"/>
  <c r="BD11" i="13"/>
  <c r="I209" i="3"/>
  <c r="M197" i="20" s="1"/>
  <c r="C117" i="3"/>
  <c r="J7" i="20" s="1"/>
  <c r="F31" i="20"/>
  <c r="BZ30" i="13"/>
  <c r="E90" i="3"/>
  <c r="G134" i="20" s="1"/>
  <c r="I260" i="3"/>
  <c r="P194" i="20" s="1"/>
  <c r="BL33" i="13"/>
  <c r="BZ7" i="13"/>
  <c r="BZ33" i="13"/>
  <c r="BD3" i="13"/>
  <c r="BD31" i="13"/>
  <c r="C41" i="20"/>
  <c r="E14" i="3"/>
  <c r="D41" i="20" s="1"/>
  <c r="I182" i="3"/>
  <c r="M62" i="20" s="1"/>
  <c r="Z18" i="13"/>
  <c r="Z9" i="13"/>
  <c r="Z29" i="13"/>
  <c r="Z15" i="13"/>
  <c r="I19" i="13"/>
  <c r="I6" i="13"/>
  <c r="I8" i="13"/>
  <c r="I32" i="13"/>
  <c r="I31" i="13"/>
  <c r="I25" i="13"/>
  <c r="C162" i="15"/>
  <c r="BL36" i="13"/>
  <c r="BL15" i="13"/>
  <c r="BZ18" i="13"/>
  <c r="F35" i="20"/>
  <c r="AW20" i="13"/>
  <c r="AW24" i="13"/>
  <c r="AW9" i="13"/>
  <c r="AW36" i="13"/>
  <c r="AW6" i="13"/>
  <c r="AW29" i="13"/>
  <c r="AW27" i="13"/>
  <c r="AW7" i="13"/>
  <c r="AW37" i="13"/>
  <c r="AW21" i="13"/>
  <c r="AW28" i="13"/>
  <c r="AW8" i="13"/>
  <c r="AW3" i="13"/>
  <c r="AW22" i="13"/>
  <c r="AW33" i="13"/>
  <c r="AW26" i="13"/>
  <c r="AW13" i="13"/>
  <c r="AW15" i="13"/>
  <c r="AW16" i="13"/>
  <c r="AW31" i="13"/>
  <c r="AO3" i="13"/>
  <c r="AO7" i="13"/>
  <c r="AO32" i="13"/>
  <c r="AO37" i="13"/>
  <c r="AO17" i="13"/>
  <c r="AO26" i="13"/>
  <c r="C85" i="3"/>
  <c r="G120" i="20" s="1"/>
  <c r="F120" i="20"/>
  <c r="G233" i="15"/>
  <c r="G172" i="15"/>
  <c r="V51" i="13"/>
  <c r="K265" i="15"/>
  <c r="G101" i="15"/>
  <c r="K20" i="15"/>
  <c r="G152" i="15"/>
  <c r="C152" i="15"/>
  <c r="K40" i="15"/>
  <c r="AN51" i="13"/>
  <c r="M51" i="13"/>
  <c r="E203" i="15"/>
  <c r="C177" i="3"/>
  <c r="M30" i="20" s="1"/>
  <c r="AJ28" i="13"/>
  <c r="E42" i="2"/>
  <c r="F42" i="2" s="1"/>
  <c r="G42" i="2" s="1"/>
  <c r="AJ7" i="13"/>
  <c r="AJ6" i="13"/>
  <c r="AJ16" i="13"/>
  <c r="E193" i="15"/>
  <c r="AJ27" i="13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AJ36" i="13"/>
  <c r="AJ32" i="13"/>
  <c r="G228" i="3"/>
  <c r="P26" i="20" s="1"/>
  <c r="AJ15" i="13"/>
  <c r="I81" i="15"/>
  <c r="G71" i="15"/>
  <c r="G60" i="15"/>
  <c r="C50" i="15"/>
  <c r="AJ13" i="13"/>
  <c r="G132" i="15"/>
  <c r="C20" i="15"/>
  <c r="AJ14" i="13"/>
  <c r="AT51" i="13"/>
  <c r="AJ3" i="13"/>
  <c r="I30" i="15"/>
  <c r="AJ5" i="13"/>
  <c r="AJ9" i="13"/>
  <c r="K203" i="15"/>
  <c r="AJ29" i="13"/>
  <c r="AI6" i="13"/>
  <c r="I50" i="15"/>
  <c r="AZ51" i="13"/>
  <c r="E40" i="15"/>
  <c r="C129" i="20"/>
  <c r="K223" i="15"/>
  <c r="AR51" i="13"/>
  <c r="I139" i="20"/>
  <c r="E118" i="3"/>
  <c r="J17" i="20" s="1"/>
  <c r="BB51" i="13"/>
  <c r="AJ51" i="13"/>
  <c r="I305" i="15"/>
  <c r="BR33" i="13"/>
  <c r="AP17" i="13"/>
  <c r="U35" i="13"/>
  <c r="U8" i="13"/>
  <c r="BR7" i="13"/>
  <c r="P51" i="13"/>
  <c r="C51" i="13"/>
  <c r="F51" i="13"/>
  <c r="AZ23" i="13"/>
  <c r="BR28" i="13"/>
  <c r="U33" i="13"/>
  <c r="CB13" i="13"/>
  <c r="CB26" i="13"/>
  <c r="CB4" i="13"/>
  <c r="E172" i="15"/>
  <c r="U19" i="13"/>
  <c r="U10" i="13"/>
  <c r="AP30" i="13"/>
  <c r="CB6" i="13"/>
  <c r="AM51" i="13"/>
  <c r="I51" i="13"/>
  <c r="AU37" i="13"/>
  <c r="BR25" i="13"/>
  <c r="BR18" i="13"/>
  <c r="BR17" i="13"/>
  <c r="BR8" i="13"/>
  <c r="BR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C51" i="13"/>
  <c r="K60" i="15"/>
  <c r="K50" i="3"/>
  <c r="D248" i="20" s="1"/>
  <c r="C71" i="20"/>
  <c r="I20" i="15"/>
  <c r="C63" i="20"/>
  <c r="F126" i="20"/>
  <c r="C101" i="15"/>
  <c r="I242" i="20"/>
  <c r="BF51" i="13"/>
  <c r="O240" i="20"/>
  <c r="E35" i="2"/>
  <c r="F35" i="2" s="1"/>
  <c r="G35" i="2" s="1"/>
  <c r="S51" i="13"/>
  <c r="U51" i="13"/>
  <c r="K162" i="15"/>
  <c r="C172" i="15"/>
  <c r="I172" i="15"/>
  <c r="G255" i="15"/>
  <c r="G213" i="15"/>
  <c r="E213" i="15"/>
  <c r="F27" i="2"/>
  <c r="G27" i="2" s="1"/>
  <c r="I142" i="15"/>
  <c r="F70" i="2"/>
  <c r="G70" i="2" s="1"/>
  <c r="E17" i="2"/>
  <c r="F17" i="2" s="1"/>
  <c r="G17" i="2" s="1"/>
  <c r="E18" i="2"/>
  <c r="F18" i="2" s="1"/>
  <c r="G18" i="2" s="1"/>
  <c r="K91" i="15"/>
  <c r="F62" i="2"/>
  <c r="G62" i="2" s="1"/>
  <c r="E28" i="2"/>
  <c r="F28" i="2" s="1"/>
  <c r="G28" i="2" s="1"/>
  <c r="F73" i="2"/>
  <c r="G73" i="2" s="1"/>
  <c r="K142" i="15"/>
  <c r="F75" i="2"/>
  <c r="G75" i="2" s="1"/>
  <c r="AV3" i="13" l="1"/>
  <c r="AV10" i="13"/>
  <c r="R19" i="13"/>
  <c r="AQ12" i="13"/>
  <c r="R21" i="13"/>
  <c r="R4" i="13"/>
  <c r="AI24" i="13"/>
  <c r="R20" i="13"/>
  <c r="R22" i="13"/>
  <c r="AV16" i="13"/>
  <c r="AQ19" i="13"/>
  <c r="R3" i="13"/>
  <c r="AV4" i="13"/>
  <c r="AV34" i="13"/>
  <c r="AI36" i="13"/>
  <c r="AV36" i="13"/>
  <c r="AI21" i="13"/>
  <c r="AI22" i="13"/>
  <c r="AV22" i="13"/>
  <c r="AV5" i="13"/>
  <c r="AI32" i="13"/>
  <c r="AQ8" i="13"/>
  <c r="AV26" i="13"/>
  <c r="AI29" i="13"/>
  <c r="AQ7" i="13"/>
  <c r="AQ6" i="13"/>
  <c r="AI30" i="13"/>
  <c r="AG35" i="13"/>
  <c r="AG9" i="13"/>
  <c r="AI15" i="13"/>
  <c r="AA30" i="13"/>
  <c r="AI19" i="13"/>
  <c r="AI20" i="13"/>
  <c r="BU18" i="13"/>
  <c r="AZ18" i="13" s="1"/>
  <c r="AA18" i="13"/>
  <c r="AA37" i="13"/>
  <c r="AE28" i="13"/>
  <c r="AI26" i="13"/>
  <c r="AQ29" i="13"/>
  <c r="AV24" i="13"/>
  <c r="AI12" i="13"/>
  <c r="AE3" i="13"/>
  <c r="AQ21" i="13"/>
  <c r="AQ22" i="13"/>
  <c r="AI13" i="13"/>
  <c r="AG30" i="13"/>
  <c r="AG12" i="13"/>
  <c r="AG7" i="13"/>
  <c r="AI34" i="13"/>
  <c r="AV30" i="13"/>
  <c r="AC37" i="13"/>
  <c r="AD37" i="13"/>
  <c r="AC30" i="13"/>
  <c r="AD30" i="13"/>
  <c r="AF37" i="13"/>
  <c r="AH37" i="13"/>
  <c r="AE30" i="13"/>
  <c r="AG23" i="13"/>
  <c r="AF30" i="13"/>
  <c r="AH30" i="13"/>
  <c r="AE37" i="13"/>
  <c r="AV37" i="13"/>
  <c r="AA25" i="13"/>
  <c r="AG25" i="13"/>
  <c r="AG31" i="13"/>
  <c r="AG3" i="13"/>
  <c r="AG6" i="13"/>
  <c r="AV33" i="13"/>
  <c r="AG13" i="13"/>
  <c r="AG20" i="13"/>
  <c r="AG21" i="13"/>
  <c r="AG28" i="13"/>
  <c r="AG16" i="13"/>
  <c r="AA16" i="13"/>
  <c r="AG10" i="13"/>
  <c r="AG27" i="13"/>
  <c r="AA27" i="13"/>
  <c r="AG8" i="13"/>
  <c r="AV7" i="13"/>
  <c r="AG5" i="13"/>
  <c r="AG4" i="13"/>
  <c r="AG33" i="13"/>
  <c r="AG29" i="13"/>
  <c r="AB9" i="13"/>
  <c r="AG19" i="13"/>
  <c r="AG18" i="13"/>
  <c r="AG17" i="13"/>
  <c r="AG22" i="13"/>
  <c r="AG34" i="13"/>
  <c r="AG36" i="13"/>
  <c r="AG32" i="13"/>
  <c r="AV31" i="13"/>
  <c r="AG26" i="13"/>
  <c r="AG24" i="13"/>
  <c r="AV6" i="13"/>
  <c r="AG11" i="13"/>
  <c r="AG14" i="13"/>
  <c r="AG15" i="13"/>
  <c r="AV13" i="13"/>
  <c r="AV11" i="13"/>
  <c r="AV32" i="13"/>
  <c r="AV8" i="13"/>
  <c r="AB5" i="13"/>
  <c r="S26" i="13"/>
  <c r="AA26" i="13"/>
  <c r="AV18" i="13"/>
  <c r="AV19" i="13"/>
  <c r="AV27" i="13"/>
  <c r="AV35" i="13"/>
  <c r="AV25" i="13"/>
  <c r="AV29" i="13"/>
  <c r="AV20" i="13"/>
  <c r="AV17" i="13"/>
  <c r="AV21" i="13"/>
  <c r="AV9" i="13"/>
  <c r="AV15" i="13"/>
  <c r="AV14" i="13"/>
  <c r="S35" i="13"/>
  <c r="AA35" i="13"/>
  <c r="S34" i="13"/>
  <c r="AA34" i="13"/>
  <c r="AA9" i="13"/>
  <c r="AA15" i="13"/>
  <c r="AA24" i="13"/>
  <c r="AA5" i="13"/>
  <c r="T36" i="13"/>
  <c r="AA6" i="13"/>
  <c r="AA10" i="13"/>
  <c r="AA23" i="13"/>
  <c r="AA8" i="13"/>
  <c r="AQ20" i="13"/>
  <c r="AA17" i="13"/>
  <c r="AA36" i="13"/>
  <c r="S36" i="13"/>
  <c r="AQ35" i="13"/>
  <c r="AE33" i="13"/>
  <c r="AE23" i="13"/>
  <c r="AH23" i="13"/>
  <c r="AF23" i="13"/>
  <c r="AC23" i="13"/>
  <c r="AD23" i="13"/>
  <c r="AA22" i="13"/>
  <c r="AQ24" i="13"/>
  <c r="AQ25" i="13"/>
  <c r="AC25" i="13"/>
  <c r="AD25" i="13"/>
  <c r="AE25" i="13"/>
  <c r="AE21" i="13"/>
  <c r="AA19" i="13"/>
  <c r="AQ13" i="13"/>
  <c r="AQ31" i="13"/>
  <c r="AA13" i="13"/>
  <c r="AC16" i="13"/>
  <c r="AD16" i="13"/>
  <c r="AE16" i="13"/>
  <c r="AE13" i="13"/>
  <c r="AC13" i="13"/>
  <c r="AD13" i="13"/>
  <c r="AQ5" i="13"/>
  <c r="AE8" i="13"/>
  <c r="AC8" i="13"/>
  <c r="AD8" i="13"/>
  <c r="AC7" i="13"/>
  <c r="AD7" i="13"/>
  <c r="AE7" i="13"/>
  <c r="AE32" i="13"/>
  <c r="AC33" i="13"/>
  <c r="AD33" i="13"/>
  <c r="AA33" i="13"/>
  <c r="AE15" i="13"/>
  <c r="AQ14" i="13"/>
  <c r="AA14" i="13"/>
  <c r="AQ11" i="13"/>
  <c r="AA4" i="13"/>
  <c r="AA3" i="13"/>
  <c r="AC18" i="13"/>
  <c r="AD18" i="13"/>
  <c r="AE18" i="13"/>
  <c r="AE11" i="13"/>
  <c r="AC35" i="13"/>
  <c r="AD35" i="13"/>
  <c r="AE35" i="13"/>
  <c r="AC31" i="13"/>
  <c r="AD31" i="13"/>
  <c r="AE31" i="13"/>
  <c r="AC34" i="13"/>
  <c r="AD34" i="13"/>
  <c r="AE34" i="13"/>
  <c r="AE36" i="13"/>
  <c r="AC36" i="13"/>
  <c r="AD36" i="13"/>
  <c r="AC32" i="13"/>
  <c r="AD32" i="13"/>
  <c r="AA32" i="13"/>
  <c r="AE20" i="13"/>
  <c r="AA20" i="13"/>
  <c r="AE12" i="13"/>
  <c r="AA12" i="13"/>
  <c r="AF12" i="13"/>
  <c r="AA11" i="13"/>
  <c r="AC11" i="13"/>
  <c r="AD11" i="13"/>
  <c r="AC10" i="13"/>
  <c r="AD10" i="13"/>
  <c r="AE10" i="13"/>
  <c r="AC22" i="13"/>
  <c r="AD22" i="13"/>
  <c r="AE22" i="13"/>
  <c r="AA21" i="13"/>
  <c r="AC5" i="13"/>
  <c r="AD5" i="13"/>
  <c r="AE5" i="13"/>
  <c r="AE27" i="13"/>
  <c r="AC27" i="13"/>
  <c r="AD27" i="13"/>
  <c r="AE24" i="13"/>
  <c r="AC24" i="13"/>
  <c r="AD24" i="13"/>
  <c r="AA28" i="13"/>
  <c r="AC26" i="13"/>
  <c r="AD26" i="13"/>
  <c r="AE26" i="13"/>
  <c r="AE17" i="13"/>
  <c r="AC3" i="13"/>
  <c r="AD3" i="13"/>
  <c r="AF3" i="13"/>
  <c r="AC29" i="13"/>
  <c r="AD29" i="13"/>
  <c r="AH29" i="13"/>
  <c r="AF29" i="13"/>
  <c r="AE29" i="13"/>
  <c r="AE4" i="13"/>
  <c r="AF4" i="13"/>
  <c r="AH4" i="13"/>
  <c r="AC4" i="13"/>
  <c r="AD4" i="13"/>
  <c r="AC9" i="13"/>
  <c r="AD9" i="13"/>
  <c r="AE9" i="13"/>
  <c r="AE6" i="13"/>
  <c r="AC15" i="13"/>
  <c r="AD15" i="13"/>
  <c r="AC14" i="13"/>
  <c r="AD14" i="13"/>
  <c r="AE14" i="13"/>
  <c r="AC12" i="13"/>
  <c r="AD12" i="13"/>
  <c r="AE19" i="13"/>
  <c r="AC28" i="13"/>
  <c r="AD28" i="13"/>
  <c r="AC19" i="13"/>
  <c r="AD19" i="13"/>
  <c r="AH21" i="13"/>
  <c r="AF21" i="13"/>
  <c r="AC21" i="13"/>
  <c r="AD21" i="13"/>
  <c r="AC20" i="13"/>
  <c r="AD20" i="13"/>
  <c r="AC17" i="13"/>
  <c r="AD17" i="13"/>
  <c r="AH22" i="13"/>
  <c r="AF22" i="13"/>
  <c r="AH20" i="13"/>
  <c r="AF20" i="13"/>
  <c r="AF17" i="13"/>
  <c r="AH17" i="13"/>
  <c r="AF19" i="13"/>
  <c r="AH19" i="13"/>
  <c r="AF18" i="13"/>
  <c r="AH18" i="13"/>
  <c r="AF28" i="13"/>
  <c r="AH28" i="13"/>
  <c r="AF26" i="13"/>
  <c r="AH26" i="13"/>
  <c r="AF25" i="13"/>
  <c r="AH25" i="13"/>
  <c r="AF24" i="13"/>
  <c r="AH24" i="13"/>
  <c r="AH8" i="13"/>
  <c r="AF8" i="13"/>
  <c r="AF9" i="13"/>
  <c r="AH9" i="13"/>
  <c r="AH7" i="13"/>
  <c r="AF7" i="13"/>
  <c r="AH6" i="13"/>
  <c r="AF6" i="13"/>
  <c r="AH5" i="13"/>
  <c r="AF5" i="13"/>
  <c r="AH32" i="13"/>
  <c r="AF32" i="13"/>
  <c r="AH27" i="13"/>
  <c r="AF27" i="13"/>
  <c r="AF31" i="13"/>
  <c r="AH31" i="13"/>
  <c r="AF13" i="13"/>
  <c r="AH13" i="13"/>
  <c r="AF11" i="13"/>
  <c r="AH11" i="13"/>
  <c r="R16" i="13"/>
  <c r="AF16" i="13"/>
  <c r="AH16" i="13"/>
  <c r="AF15" i="13"/>
  <c r="AH15" i="13"/>
  <c r="AF14" i="13"/>
  <c r="AH14" i="13"/>
  <c r="AF10" i="13"/>
  <c r="AH10" i="13"/>
  <c r="AH36" i="13"/>
  <c r="AF36" i="13"/>
  <c r="AF33" i="13"/>
  <c r="AH33" i="13"/>
  <c r="AH35" i="13"/>
  <c r="AF35" i="13"/>
  <c r="AH34" i="13"/>
  <c r="AF34" i="13"/>
  <c r="AQ30" i="13"/>
  <c r="S24" i="13"/>
  <c r="S25" i="13"/>
  <c r="S28" i="13"/>
  <c r="S27" i="13"/>
  <c r="AZ36" i="13"/>
  <c r="S33" i="13"/>
  <c r="R32" i="13"/>
  <c r="R31" i="13"/>
  <c r="AQ17" i="13"/>
  <c r="C9" i="13"/>
  <c r="C5" i="13"/>
  <c r="AI23" i="13"/>
  <c r="AU27" i="13"/>
  <c r="AU39" i="13" s="1"/>
  <c r="R17" i="13"/>
  <c r="S19" i="13"/>
  <c r="S20" i="13"/>
  <c r="BU28" i="13"/>
  <c r="AZ28" i="13" s="1"/>
  <c r="BU16" i="13"/>
  <c r="AZ16" i="13" s="1"/>
  <c r="R18" i="13"/>
  <c r="AQ32" i="13"/>
  <c r="S11" i="13"/>
  <c r="AI10" i="13"/>
  <c r="S18" i="13"/>
  <c r="S17" i="13"/>
  <c r="AQ33" i="13"/>
  <c r="AI7" i="13"/>
  <c r="AI5" i="13"/>
  <c r="S5" i="13"/>
  <c r="BU26" i="13"/>
  <c r="BU29" i="13"/>
  <c r="AZ29" i="13" s="1"/>
  <c r="AI25" i="13"/>
  <c r="AI27" i="13"/>
  <c r="AI35" i="13"/>
  <c r="BU4" i="13"/>
  <c r="AI31" i="13"/>
  <c r="AI33" i="13"/>
  <c r="AI17" i="13"/>
  <c r="AI18" i="13"/>
  <c r="BU17" i="13"/>
  <c r="AZ17" i="13" s="1"/>
  <c r="AQ18" i="13"/>
  <c r="BU21" i="13"/>
  <c r="T21" i="13" s="1"/>
  <c r="BU19" i="13"/>
  <c r="AZ19" i="13" s="1"/>
  <c r="AI4" i="13"/>
  <c r="AQ3" i="13"/>
  <c r="BU5" i="13"/>
  <c r="AQ23" i="13"/>
  <c r="BU10" i="13"/>
  <c r="BU15" i="13"/>
  <c r="AZ15" i="13" s="1"/>
  <c r="BU11" i="13"/>
  <c r="BU22" i="13"/>
  <c r="T22" i="13" s="1"/>
  <c r="BU33" i="13"/>
  <c r="T33" i="13" s="1"/>
  <c r="R25" i="13"/>
  <c r="AQ37" i="13"/>
  <c r="AQ34" i="13"/>
  <c r="AQ26" i="13"/>
  <c r="AQ10" i="13"/>
  <c r="AQ36" i="13"/>
  <c r="S10" i="13"/>
  <c r="AQ15" i="13"/>
  <c r="S15" i="13"/>
  <c r="AQ16" i="13"/>
  <c r="AQ9" i="13"/>
  <c r="AQ4" i="13"/>
  <c r="S12" i="13"/>
  <c r="S21" i="13"/>
  <c r="BU25" i="13"/>
  <c r="BU23" i="13"/>
  <c r="T23" i="13" s="1"/>
  <c r="S30" i="13"/>
  <c r="R36" i="13"/>
  <c r="BU24" i="13"/>
  <c r="T24" i="13" s="1"/>
  <c r="C316" i="15"/>
  <c r="G314" i="15"/>
  <c r="G316" i="15"/>
  <c r="M121" i="15"/>
  <c r="M111" i="15"/>
  <c r="S22" i="13"/>
  <c r="BU30" i="13"/>
  <c r="BU27" i="13"/>
  <c r="AZ27" i="13" s="1"/>
  <c r="G315" i="15"/>
  <c r="S4" i="13"/>
  <c r="M10" i="15"/>
  <c r="E316" i="15"/>
  <c r="S31" i="13"/>
  <c r="S3" i="13"/>
  <c r="M60" i="15"/>
  <c r="M71" i="15"/>
  <c r="M162" i="15"/>
  <c r="M275" i="15"/>
  <c r="I314" i="15"/>
  <c r="M295" i="15"/>
  <c r="S32" i="13"/>
  <c r="M233" i="15"/>
  <c r="E315" i="15"/>
  <c r="K315" i="15"/>
  <c r="R27" i="13"/>
  <c r="M285" i="15"/>
  <c r="M265" i="15"/>
  <c r="G312" i="15"/>
  <c r="R35" i="13"/>
  <c r="C315" i="15"/>
  <c r="I313" i="15"/>
  <c r="E312" i="15"/>
  <c r="S23" i="13"/>
  <c r="M182" i="15"/>
  <c r="C312" i="15"/>
  <c r="M193" i="15"/>
  <c r="G311" i="15"/>
  <c r="G313" i="15"/>
  <c r="M152" i="15"/>
  <c r="C313" i="15"/>
  <c r="R11" i="13"/>
  <c r="R24" i="13"/>
  <c r="M223" i="15"/>
  <c r="M243" i="15"/>
  <c r="M40" i="15"/>
  <c r="M203" i="15"/>
  <c r="E311" i="15"/>
  <c r="M91" i="15"/>
  <c r="M81" i="15"/>
  <c r="S16" i="13"/>
  <c r="I316" i="15"/>
  <c r="M132" i="15"/>
  <c r="BU12" i="13"/>
  <c r="I312" i="15"/>
  <c r="I315" i="15"/>
  <c r="M50" i="15"/>
  <c r="M20" i="15"/>
  <c r="E313" i="15"/>
  <c r="M30" i="15"/>
  <c r="K312" i="15"/>
  <c r="R29" i="13"/>
  <c r="K314" i="15"/>
  <c r="M306" i="15"/>
  <c r="E314" i="15"/>
  <c r="BU20" i="13"/>
  <c r="K316" i="15"/>
  <c r="C314" i="15"/>
  <c r="M61" i="15"/>
  <c r="M307" i="15" s="1"/>
  <c r="R34" i="13"/>
  <c r="M305" i="15"/>
  <c r="BU35" i="13"/>
  <c r="M101" i="15"/>
  <c r="BU34" i="13"/>
  <c r="S29" i="13"/>
  <c r="R13" i="13"/>
  <c r="R33" i="13"/>
  <c r="R28" i="13"/>
  <c r="BU3" i="13"/>
  <c r="T3" i="13" s="1"/>
  <c r="S9" i="13"/>
  <c r="BU9" i="13"/>
  <c r="AZ9" i="13" s="1"/>
  <c r="S13" i="13"/>
  <c r="BU13" i="13"/>
  <c r="T13" i="13" s="1"/>
  <c r="R6" i="13"/>
  <c r="R30" i="13"/>
  <c r="R9" i="13"/>
  <c r="R12" i="13"/>
  <c r="R15" i="13"/>
  <c r="R23" i="13"/>
  <c r="BU31" i="13"/>
  <c r="BU32" i="13"/>
  <c r="BU8" i="13"/>
  <c r="AZ8" i="13" s="1"/>
  <c r="S8" i="13"/>
  <c r="S6" i="13"/>
  <c r="BU6" i="13"/>
  <c r="R26" i="13"/>
  <c r="R5" i="13"/>
  <c r="R8" i="13"/>
  <c r="R14" i="13"/>
  <c r="BU37" i="13"/>
  <c r="AZ37" i="13" s="1"/>
  <c r="S37" i="13"/>
  <c r="BU7" i="13"/>
  <c r="S7" i="13"/>
  <c r="R37" i="13"/>
  <c r="R7" i="13"/>
  <c r="R10" i="13"/>
  <c r="BU14" i="13"/>
  <c r="S14" i="13"/>
  <c r="M172" i="15"/>
  <c r="M255" i="15"/>
  <c r="M244" i="15"/>
  <c r="M213" i="15"/>
  <c r="K313" i="15"/>
  <c r="M142" i="15"/>
  <c r="M183" i="15"/>
  <c r="T18" i="13" l="1"/>
  <c r="T30" i="13"/>
  <c r="AZ30" i="13"/>
  <c r="T31" i="13"/>
  <c r="AZ31" i="13"/>
  <c r="T6" i="13"/>
  <c r="AZ6" i="13"/>
  <c r="T32" i="13"/>
  <c r="AZ32" i="13"/>
  <c r="T14" i="13"/>
  <c r="AZ14" i="13"/>
  <c r="T7" i="13"/>
  <c r="AZ7" i="13"/>
  <c r="T9" i="13"/>
  <c r="AZ10" i="13"/>
  <c r="T10" i="13"/>
  <c r="T29" i="13"/>
  <c r="AZ11" i="13"/>
  <c r="T11" i="13"/>
  <c r="AZ12" i="13"/>
  <c r="T12" i="13"/>
  <c r="T8" i="13"/>
  <c r="T28" i="13"/>
  <c r="AZ35" i="13"/>
  <c r="T35" i="13"/>
  <c r="AZ25" i="13"/>
  <c r="T25" i="13"/>
  <c r="AZ21" i="13"/>
  <c r="AZ22" i="13"/>
  <c r="T27" i="13"/>
  <c r="AZ26" i="13"/>
  <c r="T26" i="13"/>
  <c r="AZ5" i="13"/>
  <c r="T5" i="13"/>
  <c r="AZ4" i="13"/>
  <c r="T4" i="13"/>
  <c r="T17" i="13"/>
  <c r="AZ20" i="13"/>
  <c r="T20" i="13"/>
  <c r="T19" i="13"/>
  <c r="T15" i="13"/>
  <c r="T16" i="13"/>
  <c r="AZ34" i="13"/>
  <c r="T34" i="13"/>
  <c r="AZ33" i="13"/>
  <c r="AR40" i="13"/>
  <c r="AQ40" i="13"/>
  <c r="AO40" i="13"/>
  <c r="AN40" i="13"/>
  <c r="AZ24" i="13"/>
  <c r="AP40" i="13"/>
  <c r="C311" i="15"/>
  <c r="AZ3" i="13"/>
  <c r="T37" i="13"/>
  <c r="AZ13" i="13"/>
  <c r="AS40" i="13" l="1"/>
  <c r="AZ39" i="13"/>
</calcChain>
</file>

<file path=xl/sharedStrings.xml><?xml version="1.0" encoding="utf-8"?>
<sst xmlns="http://schemas.openxmlformats.org/spreadsheetml/2006/main" count="4448" uniqueCount="425">
  <si>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</si>
  <si>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</si>
  <si>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</si>
  <si>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</si>
  <si>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</si>
  <si>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</si>
  <si>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</si>
  <si>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</si>
  <si>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</si>
  <si>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</si>
  <si>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</si>
  <si>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</si>
  <si>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</si>
  <si>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</si>
  <si>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</si>
  <si>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</si>
  <si>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</si>
  <si>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</si>
  <si>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</si>
  <si>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</si>
  <si>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</si>
  <si>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</si>
  <si>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</si>
  <si>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</si>
  <si>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</si>
  <si>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</si>
  <si>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</si>
  <si>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</si>
  <si>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</si>
  <si>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</si>
  <si>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</si>
  <si>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</si>
  <si>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</si>
  <si>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</si>
  <si>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</si>
  <si>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</si>
  <si>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</si>
  <si>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</si>
  <si>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</si>
  <si>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</si>
  <si>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</si>
  <si>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</si>
  <si>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</si>
  <si>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</si>
  <si>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</si>
  <si>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</si>
  <si>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</si>
  <si>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</si>
  <si>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</si>
  <si>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</si>
  <si>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</si>
  <si>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</si>
  <si>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</si>
  <si>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</si>
  <si>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</si>
  <si>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</si>
  <si>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</si>
  <si>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</si>
  <si>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</si>
  <si>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</si>
  <si>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</si>
  <si>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</si>
  <si>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</si>
  <si>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</si>
  <si>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</si>
  <si>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</si>
  <si>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</si>
  <si>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</si>
  <si>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</si>
  <si>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</si>
  <si>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</si>
  <si>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</si>
  <si>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</si>
  <si>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</si>
  <si>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</si>
  <si>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</si>
  <si>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</si>
  <si>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</si>
  <si>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</si>
  <si>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</si>
  <si>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</si>
  <si>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</si>
  <si>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</si>
  <si>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</si>
  <si>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</si>
  <si>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</si>
  <si>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</si>
  <si>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</si>
  <si>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</si>
  <si>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</si>
  <si>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</si>
  <si>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</si>
  <si>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</si>
  <si>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</si>
  <si>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</si>
  <si>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</si>
  <si>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</si>
  <si>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</si>
  <si>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</si>
  <si>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</si>
  <si>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</si>
  <si>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</si>
  <si>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</si>
  <si>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</si>
  <si>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</si>
  <si>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</si>
  <si>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</si>
  <si>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</si>
  <si>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</si>
  <si>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</si>
  <si>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</si>
  <si>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</si>
  <si>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</si>
  <si>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</si>
  <si>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</si>
  <si>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</si>
  <si>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</si>
  <si>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</si>
  <si>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</si>
  <si>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</si>
  <si>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</si>
  <si>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</si>
  <si>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</si>
  <si>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</si>
  <si>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</si>
  <si>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</si>
  <si>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</si>
  <si>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</si>
  <si>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</si>
  <si>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</si>
  <si>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</si>
  <si>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</si>
  <si>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</si>
  <si>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</si>
  <si>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</si>
  <si>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</si>
  <si>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</si>
  <si>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</si>
  <si>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</si>
  <si>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</si>
  <si>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</si>
  <si>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</si>
  <si>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</si>
  <si>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</si>
  <si>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</si>
  <si>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</si>
  <si>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</si>
  <si>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</si>
  <si>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</si>
  <si>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</si>
  <si>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</si>
  <si>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</si>
  <si>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</si>
  <si>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</si>
  <si>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</si>
  <si>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</si>
  <si>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</si>
  <si>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</si>
  <si>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</si>
  <si>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</si>
  <si>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</si>
  <si>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</si>
  <si>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</si>
  <si>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</si>
  <si>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</si>
  <si>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</si>
  <si>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</si>
  <si>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</si>
  <si>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</si>
  <si>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</si>
  <si>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</si>
  <si>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</si>
  <si>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</si>
  <si>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</si>
  <si>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</si>
  <si>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</si>
  <si>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</si>
  <si>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</si>
  <si>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</si>
  <si>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</si>
  <si>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</si>
  <si>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</si>
  <si>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</si>
  <si>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</si>
  <si>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</si>
  <si>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</si>
  <si>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</si>
  <si>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</si>
  <si>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</si>
  <si>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</si>
  <si>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</si>
  <si>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І срок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</si>
  <si>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</si>
  <si>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</si>
  <si>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</si>
  <si>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</si>
  <si>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</si>
  <si>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</si>
  <si>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</si>
  <si>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</si>
  <si>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</si>
  <si>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</si>
  <si>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</si>
  <si>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</si>
  <si>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</si>
  <si>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</si>
  <si>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</si>
  <si>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</si>
  <si>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</si>
  <si>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</si>
  <si>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</si>
  <si>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</si>
  <si>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</si>
  <si>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</si>
  <si>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</si>
  <si>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</si>
  <si>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</si>
  <si>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</si>
  <si>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</si>
  <si>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</si>
  <si>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</si>
  <si>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</si>
  <si>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</si>
  <si>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</si>
  <si>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</si>
  <si>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</si>
  <si>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</si>
  <si>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</si>
  <si>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</si>
  <si>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</si>
  <si>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</si>
  <si>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</si>
  <si>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</si>
  <si>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</si>
  <si>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</si>
  <si>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</si>
  <si>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</si>
  <si>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</si>
  <si>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</si>
  <si>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5 и 6 клас - ИТ/ТП + ИТ/ТП + ИТ/ИТ</t>
  </si>
  <si>
    <t>25/29</t>
  </si>
  <si>
    <t>KK3</t>
  </si>
  <si>
    <t>а - 6
б, в - 5
г - 4
д  -  2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</si>
  <si>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</si>
  <si>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</si>
  <si>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</si>
  <si>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</si>
  <si>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</si>
  <si>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</si>
  <si>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</si>
  <si>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</si>
  <si>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</si>
  <si>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</si>
  <si>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</si>
  <si>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</si>
  <si>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</si>
  <si>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</si>
  <si>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</si>
  <si>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</si>
  <si>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</si>
  <si>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</si>
  <si>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</si>
  <si>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</si>
  <si>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</si>
  <si>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</si>
  <si>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</si>
  <si>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</si>
  <si>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</si>
  <si>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</si>
  <si>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</si>
  <si>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</si>
  <si>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</si>
  <si>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</si>
  <si>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</si>
  <si>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</si>
  <si>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</si>
  <si>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</si>
  <si>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</si>
  <si>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</si>
  <si>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</si>
  <si>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</si>
  <si>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</si>
  <si>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11/18 разк.</t>
  </si>
  <si>
    <t>32+1ЧК
6/17 разк.</t>
  </si>
  <si>
    <t>2/1 - ТП
технологии и предприема-чество</t>
  </si>
  <si>
    <t>Избираеми часове</t>
  </si>
  <si>
    <t>1 час</t>
  </si>
  <si>
    <t>0,5 часа</t>
  </si>
  <si>
    <t>29/31</t>
  </si>
  <si>
    <t>Димитрова/Янева</t>
  </si>
  <si>
    <t>30/31</t>
  </si>
  <si>
    <t>16/18</t>
  </si>
  <si>
    <t>17/18</t>
  </si>
  <si>
    <t>50*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</si>
  <si>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</si>
  <si>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</si>
  <si>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</si>
  <si>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</si>
  <si>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</si>
  <si>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16/17/18/50</t>
  </si>
  <si>
    <t>Кирилова/Даскалова/Тодорова/Филипова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</si>
  <si>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</si>
  <si>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</si>
  <si>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</si>
  <si>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</si>
  <si>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</si>
  <si>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</si>
  <si>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</si>
  <si>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</si>
  <si>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</si>
  <si>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34*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</si>
  <si>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</si>
  <si>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</si>
  <si>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</si>
  <si>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</si>
  <si>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</si>
  <si>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</si>
  <si>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</si>
  <si>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Петров ФВС</t>
  </si>
  <si>
    <t>108/107/106/105</t>
  </si>
  <si>
    <t>КК3/</t>
  </si>
  <si>
    <t xml:space="preserve">Разпределение на кабинетите </t>
  </si>
  <si>
    <t xml:space="preserve">Природни
науки 
в 212,214,215, 217 или в указаните 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</si>
  <si>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</si>
  <si>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</si>
  <si>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</si>
  <si>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</si>
  <si>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</si>
  <si>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</si>
  <si>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</si>
  <si>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</si>
  <si>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</si>
  <si>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1/3 сед-мица</t>
  </si>
  <si>
    <t>2/4 сед-мица</t>
  </si>
  <si>
    <t>25/31</t>
  </si>
  <si>
    <t>Петкова/Янева</t>
  </si>
  <si>
    <t>Стефанова</t>
  </si>
  <si>
    <t>3+1</t>
  </si>
  <si>
    <t>1/26</t>
  </si>
  <si>
    <t>КК4</t>
  </si>
  <si>
    <t>КК6</t>
  </si>
  <si>
    <t>3 + 0.5 
4/3</t>
  </si>
  <si>
    <t>Маркова</t>
  </si>
  <si>
    <t>2 + 1</t>
  </si>
  <si>
    <t>5 + 1.5
6/7</t>
  </si>
  <si>
    <t>29/30</t>
  </si>
  <si>
    <t>Димитрова/Христонова</t>
  </si>
  <si>
    <t>30/46</t>
  </si>
  <si>
    <t>Христонова/Пецова</t>
  </si>
  <si>
    <t>32/46</t>
  </si>
  <si>
    <t>Цветков/Пецова</t>
  </si>
  <si>
    <t>25//29</t>
  </si>
  <si>
    <t>1,5 Мат</t>
  </si>
  <si>
    <t>1 ИТ</t>
  </si>
  <si>
    <t>1,5 БЕЛ</t>
  </si>
  <si>
    <t>1 БЕЛ</t>
  </si>
  <si>
    <t>2 Мат</t>
  </si>
  <si>
    <t>1 Мат</t>
  </si>
  <si>
    <t>1 АЕ</t>
  </si>
  <si>
    <t>1 Инф</t>
  </si>
  <si>
    <t>1 Био + 1 Хим</t>
  </si>
  <si>
    <t>0,5 ИТ</t>
  </si>
  <si>
    <t>9бг + 1</t>
  </si>
  <si>
    <t>2/3
9д + 1</t>
  </si>
  <si>
    <t xml:space="preserve">3
9ав + 1 </t>
  </si>
  <si>
    <t>0,5 + 0,5</t>
  </si>
  <si>
    <t>абвг +1</t>
  </si>
  <si>
    <t>абвг - 2 + 2
д  -  2 + 1</t>
  </si>
  <si>
    <t>а,б,в,г - 2
д      2 + 1</t>
  </si>
  <si>
    <t>а,б,в,г - 2
д     2 + 1</t>
  </si>
  <si>
    <t>32+1
14/15 разк.</t>
  </si>
  <si>
    <t>32+1ЧК
14/16 разк.</t>
  </si>
  <si>
    <t>Попова</t>
  </si>
  <si>
    <t>106, 103, 104, 205, 206</t>
  </si>
  <si>
    <t>Т. Стефанова</t>
  </si>
  <si>
    <t>Д. Иванова</t>
  </si>
  <si>
    <t>Г. Петрова/Д. Иванова</t>
  </si>
  <si>
    <t>102/106</t>
  </si>
  <si>
    <t>Д. Иванова
Математика</t>
  </si>
  <si>
    <t>2019 - 2020 учебна година</t>
  </si>
  <si>
    <t>9а, в</t>
  </si>
  <si>
    <t>10б,в,г</t>
  </si>
  <si>
    <t>10а,д</t>
  </si>
  <si>
    <t>9б,г</t>
  </si>
  <si>
    <t>12а,в</t>
  </si>
  <si>
    <t>11б,в</t>
  </si>
  <si>
    <t>12б,д</t>
  </si>
  <si>
    <t>8а, 9б, 10г, 11в</t>
  </si>
  <si>
    <t>7а, 10а, 10д</t>
  </si>
  <si>
    <t>8д, 9д</t>
  </si>
  <si>
    <t>8в, 9в, 11д</t>
  </si>
  <si>
    <t>5а, 9г, 12г</t>
  </si>
  <si>
    <t>8б, 9а, 10в</t>
  </si>
  <si>
    <t>8г, 11б,12б</t>
  </si>
  <si>
    <t>6а, 12а</t>
  </si>
  <si>
    <t>10б, 12д</t>
  </si>
  <si>
    <t>11а, 11г, 12в</t>
  </si>
  <si>
    <t>изобр. изкуство</t>
  </si>
  <si>
    <t>ФВС</t>
  </si>
  <si>
    <r>
      <t>8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</si>
  <si>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</si>
  <si>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</si>
  <si>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</si>
  <si>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</si>
  <si>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</si>
  <si>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</si>
  <si>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</si>
  <si>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</si>
  <si>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</si>
  <si>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</si>
  <si>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</si>
  <si>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</si>
  <si>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</si>
  <si>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</si>
  <si>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</si>
  <si>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</si>
  <si>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</si>
  <si>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</si>
  <si>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</si>
  <si>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</si>
  <si>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</si>
  <si>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</si>
  <si>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</si>
  <si>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</si>
  <si>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t>2 - ри чужд език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</si>
</sst>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8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sz val="5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E6B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D9D9D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57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40" fillId="8" borderId="36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38" xfId="0" applyFont="1" applyBorder="1" applyAlignment="1">
      <alignment horizontal="center"/>
    </xf>
    <xf numFmtId="0" fontId="38" fillId="0" borderId="8" xfId="0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5" fillId="3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 textRotation="90"/>
    </xf>
    <xf numFmtId="0" fontId="5" fillId="12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28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2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 vertical="center" wrapText="1"/>
    </xf>
    <xf numFmtId="0" fontId="0" fillId="0" borderId="0" xfId="0" applyBorder="1"/>
    <xf numFmtId="0" fontId="37" fillId="0" borderId="0" xfId="0" applyFont="1" applyBorder="1" applyAlignment="1"/>
    <xf numFmtId="0" fontId="9" fillId="16" borderId="1" xfId="0" applyNumberFormat="1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34" fillId="0" borderId="1" xfId="0" applyNumberFormat="1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 vertical="center"/>
    </xf>
    <xf numFmtId="0" fontId="5" fillId="20" borderId="10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0" fontId="9" fillId="0" borderId="1" xfId="0" quotePrefix="1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31" fillId="0" borderId="0" xfId="0" applyNumberFormat="1" applyFont="1" applyBorder="1" applyAlignment="1">
      <alignment horizontal="left" wrapText="1"/>
    </xf>
    <xf numFmtId="0" fontId="27" fillId="2" borderId="40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5" fillId="21" borderId="8" xfId="0" applyFont="1" applyFill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3" borderId="1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wrapText="1"/>
    </xf>
    <xf numFmtId="0" fontId="39" fillId="0" borderId="15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5" fillId="24" borderId="1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4" borderId="1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 vertical="center"/>
    </xf>
    <xf numFmtId="0" fontId="9" fillId="24" borderId="13" xfId="0" applyFont="1" applyFill="1" applyBorder="1"/>
    <xf numFmtId="0" fontId="4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5" fillId="0" borderId="42" xfId="0" applyFont="1" applyBorder="1" applyAlignment="1">
      <alignment vertical="center" wrapText="1"/>
    </xf>
    <xf numFmtId="0" fontId="10" fillId="0" borderId="42" xfId="0" applyFont="1" applyBorder="1" applyAlignment="1">
      <alignment horizontal="right" vertical="center" wrapText="1"/>
    </xf>
    <xf numFmtId="0" fontId="1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5" fillId="0" borderId="0" xfId="0" applyFont="1" applyAlignment="1">
      <alignment horizontal="left" vertical="center" wrapText="1" indent="2"/>
    </xf>
    <xf numFmtId="0" fontId="45" fillId="0" borderId="0" xfId="0" applyFont="1" applyAlignment="1">
      <alignment horizontal="left" vertical="center" wrapText="1" indent="3"/>
    </xf>
    <xf numFmtId="0" fontId="11" fillId="0" borderId="0" xfId="0" applyFont="1" applyAlignment="1">
      <alignment vertical="center" wrapText="1"/>
    </xf>
    <xf numFmtId="0" fontId="11" fillId="0" borderId="43" xfId="0" applyFont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3"/>
    </xf>
    <xf numFmtId="0" fontId="12" fillId="0" borderId="44" xfId="0" applyFont="1" applyBorder="1" applyAlignment="1">
      <alignment vertical="center" wrapText="1"/>
    </xf>
    <xf numFmtId="0" fontId="10" fillId="0" borderId="44" xfId="0" applyFont="1" applyBorder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45" fillId="0" borderId="43" xfId="0" applyFont="1" applyBorder="1" applyAlignment="1">
      <alignment vertical="center" wrapText="1"/>
    </xf>
    <xf numFmtId="0" fontId="12" fillId="0" borderId="42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2"/>
    </xf>
    <xf numFmtId="0" fontId="46" fillId="25" borderId="0" xfId="0" applyFont="1" applyFill="1" applyAlignment="1">
      <alignment vertical="center" wrapText="1"/>
    </xf>
    <xf numFmtId="0" fontId="47" fillId="0" borderId="44" xfId="0" applyFont="1" applyBorder="1" applyAlignment="1">
      <alignment vertical="center" wrapText="1"/>
    </xf>
    <xf numFmtId="0" fontId="47" fillId="0" borderId="0" xfId="0" applyFont="1" applyAlignment="1">
      <alignment vertical="center" wrapText="1"/>
    </xf>
    <xf numFmtId="0" fontId="5" fillId="0" borderId="44" xfId="0" applyFont="1" applyBorder="1" applyAlignment="1">
      <alignment vertical="center" wrapText="1"/>
    </xf>
    <xf numFmtId="0" fontId="14" fillId="0" borderId="27" xfId="0" applyFont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0" borderId="21" xfId="0" applyNumberFormat="1" applyFont="1" applyBorder="1" applyAlignment="1">
      <alignment horizontal="center"/>
    </xf>
    <xf numFmtId="0" fontId="9" fillId="0" borderId="39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12" borderId="0" xfId="0" applyFont="1" applyFill="1" applyAlignment="1">
      <alignment horizontal="center"/>
    </xf>
    <xf numFmtId="0" fontId="19" fillId="3" borderId="9" xfId="0" applyFont="1" applyFill="1" applyBorder="1" applyAlignment="1">
      <alignment horizontal="center" vertical="center" textRotation="90"/>
    </xf>
    <xf numFmtId="0" fontId="19" fillId="3" borderId="15" xfId="0" applyFont="1" applyFill="1" applyBorder="1" applyAlignment="1">
      <alignment horizontal="center" vertical="center" textRotation="90"/>
    </xf>
    <xf numFmtId="0" fontId="19" fillId="3" borderId="29" xfId="0" applyFont="1" applyFill="1" applyBorder="1" applyAlignment="1">
      <alignment horizontal="center" vertical="center" textRotation="90"/>
    </xf>
    <xf numFmtId="0" fontId="19" fillId="2" borderId="25" xfId="0" applyFont="1" applyFill="1" applyBorder="1" applyAlignment="1">
      <alignment horizontal="center" vertical="center" textRotation="90"/>
    </xf>
    <xf numFmtId="0" fontId="19" fillId="2" borderId="15" xfId="0" applyFont="1" applyFill="1" applyBorder="1" applyAlignment="1">
      <alignment horizontal="center" vertical="center" textRotation="90"/>
    </xf>
    <xf numFmtId="0" fontId="19" fillId="2" borderId="29" xfId="0" applyFont="1" applyFill="1" applyBorder="1" applyAlignment="1">
      <alignment horizontal="center" vertical="center" textRotation="90"/>
    </xf>
    <xf numFmtId="0" fontId="19" fillId="3" borderId="25" xfId="0" applyFont="1" applyFill="1" applyBorder="1" applyAlignment="1">
      <alignment horizontal="center" vertical="center" textRotation="90"/>
    </xf>
    <xf numFmtId="0" fontId="10" fillId="0" borderId="0" xfId="0" applyFont="1" applyAlignment="1">
      <alignment vertical="center" textRotation="90" wrapText="1"/>
    </xf>
    <xf numFmtId="0" fontId="40" fillId="0" borderId="24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 vertical="center"/>
    </xf>
    <xf numFmtId="0" fontId="40" fillId="0" borderId="37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/>
    </xf>
    <xf numFmtId="0" fontId="40" fillId="0" borderId="24" xfId="0" applyFont="1" applyBorder="1" applyAlignment="1">
      <alignment horizontal="center" vertical="center"/>
    </xf>
    <xf numFmtId="0" fontId="40" fillId="8" borderId="34" xfId="0" applyFont="1" applyFill="1" applyBorder="1" applyAlignment="1">
      <alignment horizontal="center"/>
    </xf>
    <xf numFmtId="0" fontId="40" fillId="8" borderId="30" xfId="0" applyFont="1" applyFill="1" applyBorder="1" applyAlignment="1">
      <alignment horizontal="center"/>
    </xf>
    <xf numFmtId="0" fontId="40" fillId="8" borderId="35" xfId="0" applyFont="1" applyFill="1" applyBorder="1" applyAlignment="1">
      <alignment horizontal="center"/>
    </xf>
    <xf numFmtId="0" fontId="40" fillId="8" borderId="0" xfId="0" applyFont="1" applyFill="1" applyBorder="1" applyAlignment="1">
      <alignment horizontal="center"/>
    </xf>
    <xf numFmtId="0" fontId="40" fillId="8" borderId="41" xfId="0" applyFont="1" applyFill="1" applyBorder="1" applyAlignment="1">
      <alignment horizontal="center"/>
    </xf>
    <xf numFmtId="0" fontId="40" fillId="8" borderId="31" xfId="0" applyFont="1" applyFill="1" applyBorder="1" applyAlignment="1">
      <alignment horizontal="center"/>
    </xf>
    <xf numFmtId="0" fontId="40" fillId="8" borderId="32" xfId="0" applyFont="1" applyFill="1" applyBorder="1" applyAlignment="1">
      <alignment horizontal="center"/>
    </xf>
    <xf numFmtId="0" fontId="40" fillId="8" borderId="33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 textRotation="90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Normal 2" xfId="3" xr:uid="{00000000-0005-0000-0000-000002000000}"/>
    <cellStyle name="Валута" xfId="1" builtinId="4"/>
    <cellStyle name="Нормален" xfId="0" builtinId="0"/>
    <cellStyle name="Процент" xfId="2" builtinId="5"/>
  </cellStyles>
  <dxfs count="2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99FF"/>
      <color rgb="FFCC99FF"/>
      <color rgb="FFFF9999"/>
      <color rgb="FFFF7C80"/>
      <color rgb="FFFFFF99"/>
      <color rgb="FF00CCFF"/>
      <color rgb="FF00CC99"/>
      <color rgb="FF99FFCC"/>
      <color rgb="FF9966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8313</xdr:colOff>
          <xdr:row>0</xdr:row>
          <xdr:rowOff>0</xdr:rowOff>
        </xdr:from>
        <xdr:to>
          <xdr:col>2</xdr:col>
          <xdr:colOff>16625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8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81"/>
  <sheetViews>
    <sheetView topLeftCell="A7" zoomScale="120" zoomScaleNormal="120" workbookViewId="0">
      <selection activeCell="H18" sqref="H18"/>
    </sheetView>
  </sheetViews>
  <sheetFormatPr defaultColWidth="9.125" defaultRowHeight="13.1"/>
  <cols>
    <col min="1" max="1" width="5.125" style="170" bestFit="1" customWidth="1"/>
    <col min="2" max="2" width="19.75" style="17" customWidth="1"/>
    <col min="3" max="3" width="12.875" style="17" customWidth="1"/>
    <col min="4" max="4" width="6.25" style="16" customWidth="1"/>
    <col min="5" max="5" width="5.125" style="16" customWidth="1"/>
    <col min="6" max="6" width="4.25" style="16" customWidth="1"/>
    <col min="7" max="7" width="8.75" style="16" bestFit="1" customWidth="1"/>
    <col min="8" max="8" width="20.875" style="16" customWidth="1"/>
    <col min="9" max="9" width="40.375" style="168" customWidth="1"/>
    <col min="10" max="12" width="11" style="16" customWidth="1"/>
    <col min="13" max="16384" width="9.125" style="17"/>
  </cols>
  <sheetData>
    <row r="1" spans="1:9" ht="44.2" customHeight="1">
      <c r="D1" s="174" t="s">
        <v>33</v>
      </c>
      <c r="E1" s="174" t="s">
        <v>31</v>
      </c>
      <c r="F1" s="174" t="s">
        <v>32</v>
      </c>
      <c r="H1" s="26" t="s">
        <v>203</v>
      </c>
    </row>
    <row r="2" spans="1:9" ht="11.3" customHeight="1">
      <c r="A2" s="170">
        <v>1</v>
      </c>
      <c r="B2" s="17" t="s">
        <v>53</v>
      </c>
      <c r="C2" s="17" t="s">
        <v>76</v>
      </c>
      <c r="D2" s="174">
        <v>2</v>
      </c>
      <c r="E2" s="16">
        <f>E54</f>
        <v>2</v>
      </c>
      <c r="F2" s="174"/>
      <c r="H2" s="26" t="s">
        <v>339</v>
      </c>
    </row>
    <row r="3" spans="1:9">
      <c r="A3" s="170">
        <v>2</v>
      </c>
      <c r="B3" s="17" t="s">
        <v>172</v>
      </c>
      <c r="C3" s="17" t="s">
        <v>118</v>
      </c>
      <c r="D3" s="16">
        <v>25</v>
      </c>
      <c r="E3" s="16">
        <f>COUNTIF('Програма-кодове'!$C$2:$AD$36,A3)</f>
        <v>25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>
        <v>202</v>
      </c>
    </row>
    <row r="4" spans="1:9">
      <c r="A4" s="170">
        <v>3</v>
      </c>
      <c r="B4" s="17" t="s">
        <v>223</v>
      </c>
      <c r="C4" s="17" t="s">
        <v>118</v>
      </c>
      <c r="D4" s="16">
        <v>23</v>
      </c>
      <c r="E4" s="16">
        <f>COUNTIF('Програма-кодове'!$C$2:$AD$36,A4)</f>
        <v>23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89</v>
      </c>
      <c r="C5" s="17" t="s">
        <v>118</v>
      </c>
      <c r="D5" s="16">
        <v>20</v>
      </c>
      <c r="E5" s="16">
        <f>COUNTIF('Програма-кодове'!$C$2:$AD$36,A5)</f>
        <v>20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336</v>
      </c>
      <c r="C6" s="17" t="s">
        <v>118</v>
      </c>
      <c r="D6" s="16">
        <v>25</v>
      </c>
      <c r="E6" s="16">
        <f>COUNTIF('Програма-кодове'!$C$2:$AD$36,A6)</f>
        <v>25</v>
      </c>
      <c r="F6" s="16">
        <f t="shared" si="0"/>
        <v>0</v>
      </c>
      <c r="G6" s="127" t="str">
        <f t="shared" si="1"/>
        <v xml:space="preserve"> </v>
      </c>
      <c r="H6" s="149" t="s">
        <v>328</v>
      </c>
    </row>
    <row r="7" spans="1:9">
      <c r="A7" s="170">
        <v>6</v>
      </c>
      <c r="B7" s="17" t="s">
        <v>251</v>
      </c>
      <c r="C7" s="17" t="s">
        <v>118</v>
      </c>
      <c r="D7" s="16">
        <v>21</v>
      </c>
      <c r="E7" s="16">
        <f>COUNTIF('Програма-кодове'!$C$2:$AD$36,A7)</f>
        <v>21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26</v>
      </c>
      <c r="E8" s="16">
        <f>COUNTIF('Програма-кодове'!$C$2:$AD$36,A8)</f>
        <v>26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8" customHeight="1">
      <c r="A9" s="170">
        <v>8</v>
      </c>
      <c r="B9" s="171" t="s">
        <v>342</v>
      </c>
      <c r="C9" s="171" t="s">
        <v>45</v>
      </c>
      <c r="D9" s="170">
        <v>19</v>
      </c>
      <c r="E9" s="170">
        <f>COUNTIF('Програма-кодове'!$C$2:$AD$36,A9)</f>
        <v>19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171</v>
      </c>
      <c r="C10" s="17" t="s">
        <v>45</v>
      </c>
      <c r="D10" s="16">
        <v>19</v>
      </c>
      <c r="E10" s="16">
        <f>COUNTIF('Програма-кодове'!$C$2:$AD$36,A10)</f>
        <v>19</v>
      </c>
      <c r="F10" s="16">
        <f t="shared" si="0"/>
        <v>0</v>
      </c>
      <c r="G10" s="127" t="str">
        <f t="shared" si="1"/>
        <v xml:space="preserve"> </v>
      </c>
      <c r="H10" s="26">
        <v>106</v>
      </c>
    </row>
    <row r="11" spans="1:9">
      <c r="A11" s="170">
        <v>10</v>
      </c>
      <c r="B11" s="17" t="s">
        <v>55</v>
      </c>
      <c r="C11" s="17" t="s">
        <v>45</v>
      </c>
      <c r="D11" s="16">
        <v>21</v>
      </c>
      <c r="E11" s="16">
        <f>COUNTIF('Програма-кодове'!$C$2:$AD$36,A11)</f>
        <v>21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90</v>
      </c>
      <c r="C12" s="17" t="s">
        <v>45</v>
      </c>
      <c r="D12" s="16">
        <v>23</v>
      </c>
      <c r="E12" s="16">
        <f>COUNTIF('Програма-кодове'!$C$2:$AD$36,A12)</f>
        <v>23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22</v>
      </c>
      <c r="E13" s="16">
        <f>COUNTIF('Програма-кодове'!$C$2:$AD$36,A13)</f>
        <v>22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215</v>
      </c>
      <c r="C14" s="17" t="s">
        <v>45</v>
      </c>
      <c r="D14" s="16">
        <v>21</v>
      </c>
      <c r="E14" s="16">
        <f>COUNTIF('Програма-кодове'!$C$2:$AD$36,A14)</f>
        <v>21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169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149" t="s">
        <v>373</v>
      </c>
    </row>
    <row r="16" spans="1:9" ht="13.6" customHeight="1">
      <c r="A16" s="170">
        <v>15</v>
      </c>
      <c r="B16" s="17" t="s">
        <v>230</v>
      </c>
      <c r="C16" s="17" t="s">
        <v>45</v>
      </c>
      <c r="D16" s="16">
        <v>19</v>
      </c>
      <c r="E16" s="16">
        <f>COUNTIF('Програма-кодове'!$C$2:$AD$36,A16)</f>
        <v>19</v>
      </c>
      <c r="F16" s="16">
        <f t="shared" si="0"/>
        <v>0</v>
      </c>
      <c r="G16" s="127" t="str">
        <f t="shared" si="1"/>
        <v xml:space="preserve"> </v>
      </c>
      <c r="H16" s="200">
        <v>205</v>
      </c>
    </row>
    <row r="17" spans="1:9">
      <c r="A17" s="170">
        <v>16</v>
      </c>
      <c r="B17" s="17" t="s">
        <v>57</v>
      </c>
      <c r="C17" s="17" t="s">
        <v>44</v>
      </c>
      <c r="D17" s="16">
        <v>18</v>
      </c>
      <c r="E17" s="16">
        <f>COUNTIF('Програма-кодове'!$C$2:$AD$36,A17)+E70+E71</f>
        <v>18</v>
      </c>
      <c r="F17" s="16">
        <f t="shared" si="0"/>
        <v>0</v>
      </c>
      <c r="G17" s="127" t="str">
        <f t="shared" si="1"/>
        <v xml:space="preserve"> </v>
      </c>
      <c r="H17" s="149" t="s">
        <v>224</v>
      </c>
    </row>
    <row r="18" spans="1:9">
      <c r="A18" s="170">
        <v>17</v>
      </c>
      <c r="B18" s="17" t="s">
        <v>170</v>
      </c>
      <c r="C18" s="17" t="s">
        <v>44</v>
      </c>
      <c r="D18" s="16">
        <v>21</v>
      </c>
      <c r="E18" s="16">
        <f>COUNTIF('Програма-кодове'!$C$2:$AD$36,A18)+E70+E72</f>
        <v>21</v>
      </c>
      <c r="F18" s="16">
        <f t="shared" si="0"/>
        <v>0</v>
      </c>
      <c r="G18" s="127" t="str">
        <f t="shared" si="1"/>
        <v xml:space="preserve"> </v>
      </c>
      <c r="H18" s="26">
        <v>108</v>
      </c>
    </row>
    <row r="19" spans="1:9" ht="13.6" customHeight="1">
      <c r="A19" s="170">
        <v>18</v>
      </c>
      <c r="B19" s="27" t="s">
        <v>177</v>
      </c>
      <c r="C19" s="171" t="s">
        <v>120</v>
      </c>
      <c r="D19" s="170">
        <v>21</v>
      </c>
      <c r="E19" s="170">
        <f>COUNTIF('Програма-кодове'!$C$2:$AD$36,A19)+E70+E71+E72-4</f>
        <v>21</v>
      </c>
      <c r="F19" s="170">
        <f>E19-D19</f>
        <v>0</v>
      </c>
      <c r="G19" s="127" t="str">
        <f>IF(F19&gt;0,"Повече",IF(F19&lt;0,"Липса"," "))</f>
        <v xml:space="preserve"> </v>
      </c>
      <c r="H19" s="351" t="s">
        <v>323</v>
      </c>
      <c r="I19" s="206"/>
    </row>
    <row r="20" spans="1:9">
      <c r="A20" s="170">
        <v>19</v>
      </c>
      <c r="B20" s="17" t="s">
        <v>158</v>
      </c>
      <c r="C20" s="17" t="s">
        <v>35</v>
      </c>
      <c r="D20" s="16">
        <v>22</v>
      </c>
      <c r="E20" s="16">
        <f>COUNTIF('Програма-кодове'!$C$2:$AD$36,A20)</f>
        <v>22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111</v>
      </c>
      <c r="C21" s="17" t="s">
        <v>35</v>
      </c>
      <c r="D21" s="16">
        <v>19</v>
      </c>
      <c r="E21" s="16">
        <f>COUNTIF('Програма-кодове'!$C$2:$AD$36,A21)</f>
        <v>19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116</v>
      </c>
      <c r="C22" s="17" t="s">
        <v>35</v>
      </c>
      <c r="D22" s="16">
        <v>19</v>
      </c>
      <c r="E22" s="16">
        <f>COUNTIF('Програма-кодове'!$C$2:$AD$36,A22)</f>
        <v>19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21</v>
      </c>
      <c r="E23" s="16">
        <f>COUNTIF('Програма-кодове'!$C$2:$AD$36,A23)</f>
        <v>21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6"/>
    </row>
    <row r="24" spans="1:9">
      <c r="A24" s="170">
        <v>23</v>
      </c>
      <c r="B24" s="17" t="s">
        <v>62</v>
      </c>
      <c r="C24" s="17" t="s">
        <v>35</v>
      </c>
      <c r="D24" s="16">
        <v>22</v>
      </c>
      <c r="E24" s="16">
        <f>COUNTIF('Програма-кодове'!$C$2:$AD$36,A24)</f>
        <v>22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117</v>
      </c>
      <c r="C25" s="17" t="s">
        <v>35</v>
      </c>
      <c r="D25" s="16">
        <v>20</v>
      </c>
      <c r="E25" s="16">
        <f>COUNTIF('Програма-кодове'!$C$2:$AD$36,A25)</f>
        <v>20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247</v>
      </c>
      <c r="C26" s="17" t="s">
        <v>36</v>
      </c>
      <c r="D26" s="16">
        <v>18</v>
      </c>
      <c r="E26" s="16">
        <f>E61+E62+E63</f>
        <v>18</v>
      </c>
      <c r="F26" s="16">
        <f t="shared" si="0"/>
        <v>0</v>
      </c>
      <c r="G26" s="127" t="str">
        <f t="shared" si="1"/>
        <v xml:space="preserve"> </v>
      </c>
      <c r="H26" s="26" t="s">
        <v>241</v>
      </c>
    </row>
    <row r="27" spans="1:9">
      <c r="A27" s="170">
        <v>26</v>
      </c>
      <c r="B27" s="17" t="s">
        <v>375</v>
      </c>
      <c r="C27" s="17" t="s">
        <v>35</v>
      </c>
      <c r="D27" s="16">
        <v>8</v>
      </c>
      <c r="E27" s="16">
        <f xml:space="preserve"> COUNTIF('Програма-кодове'!$C$2:$AD$36,A27) +E54</f>
        <v>8</v>
      </c>
      <c r="F27" s="16">
        <f t="shared" si="0"/>
        <v>0</v>
      </c>
      <c r="G27" s="127" t="str">
        <f t="shared" si="1"/>
        <v xml:space="preserve"> </v>
      </c>
      <c r="H27" s="26" t="s">
        <v>340</v>
      </c>
    </row>
    <row r="28" spans="1:9">
      <c r="A28" s="170">
        <v>27</v>
      </c>
      <c r="B28" s="17" t="s">
        <v>58</v>
      </c>
      <c r="C28" s="17" t="s">
        <v>36</v>
      </c>
      <c r="D28" s="16">
        <v>18</v>
      </c>
      <c r="E28" s="16">
        <f>E57</f>
        <v>18</v>
      </c>
      <c r="F28" s="16">
        <f t="shared" si="0"/>
        <v>0</v>
      </c>
      <c r="G28" s="127" t="str">
        <f t="shared" si="1"/>
        <v xml:space="preserve"> </v>
      </c>
      <c r="H28" s="26" t="s">
        <v>260</v>
      </c>
      <c r="I28" s="168" t="s">
        <v>212</v>
      </c>
    </row>
    <row r="29" spans="1:9">
      <c r="A29" s="170">
        <v>28</v>
      </c>
      <c r="B29" s="17" t="s">
        <v>63</v>
      </c>
      <c r="C29" s="17" t="s">
        <v>36</v>
      </c>
      <c r="D29" s="16">
        <v>18</v>
      </c>
      <c r="E29" s="16">
        <f>E57</f>
        <v>18</v>
      </c>
      <c r="F29" s="16">
        <f t="shared" si="0"/>
        <v>0</v>
      </c>
      <c r="G29" s="127" t="str">
        <f t="shared" si="1"/>
        <v xml:space="preserve"> </v>
      </c>
      <c r="H29" s="26" t="s">
        <v>204</v>
      </c>
    </row>
    <row r="30" spans="1:9">
      <c r="A30" s="170">
        <v>29</v>
      </c>
      <c r="B30" s="17" t="s">
        <v>218</v>
      </c>
      <c r="C30" s="17" t="s">
        <v>36</v>
      </c>
      <c r="D30" s="16">
        <v>19</v>
      </c>
      <c r="E30" s="16">
        <f>E56+E61+E64+E63</f>
        <v>19</v>
      </c>
      <c r="F30" s="16">
        <f t="shared" si="0"/>
        <v>0</v>
      </c>
      <c r="G30" s="127" t="str">
        <f t="shared" si="1"/>
        <v xml:space="preserve"> </v>
      </c>
      <c r="H30" s="26" t="s">
        <v>213</v>
      </c>
      <c r="I30" s="168" t="s">
        <v>212</v>
      </c>
    </row>
    <row r="31" spans="1:9">
      <c r="A31" s="170">
        <v>30</v>
      </c>
      <c r="B31" s="17" t="s">
        <v>201</v>
      </c>
      <c r="C31" s="17" t="s">
        <v>36</v>
      </c>
      <c r="D31" s="16">
        <v>22</v>
      </c>
      <c r="E31" s="16">
        <f xml:space="preserve"> E58+E59+E60</f>
        <v>22</v>
      </c>
      <c r="F31" s="16">
        <f t="shared" si="0"/>
        <v>0</v>
      </c>
      <c r="G31" s="127" t="str">
        <f t="shared" si="1"/>
        <v xml:space="preserve"> </v>
      </c>
      <c r="H31" s="26" t="s">
        <v>229</v>
      </c>
    </row>
    <row r="32" spans="1:9">
      <c r="A32" s="170">
        <v>31</v>
      </c>
      <c r="B32" s="24" t="s">
        <v>175</v>
      </c>
      <c r="C32" s="17" t="s">
        <v>36</v>
      </c>
      <c r="D32" s="16">
        <v>18</v>
      </c>
      <c r="E32" s="16">
        <f>E56+E59+E62+E65</f>
        <v>18</v>
      </c>
      <c r="F32" s="16">
        <f t="shared" si="0"/>
        <v>0</v>
      </c>
      <c r="G32" s="127" t="str">
        <f t="shared" si="1"/>
        <v xml:space="preserve"> </v>
      </c>
      <c r="H32" s="26" t="s">
        <v>205</v>
      </c>
    </row>
    <row r="33" spans="1:9">
      <c r="A33" s="170">
        <v>32</v>
      </c>
      <c r="B33" s="17" t="s">
        <v>176</v>
      </c>
      <c r="C33" s="17" t="s">
        <v>36</v>
      </c>
      <c r="D33" s="16">
        <v>21</v>
      </c>
      <c r="E33" s="16">
        <f>E58+E67</f>
        <v>21</v>
      </c>
      <c r="F33" s="16">
        <f t="shared" si="0"/>
        <v>0</v>
      </c>
      <c r="G33" s="127" t="str">
        <f t="shared" si="1"/>
        <v xml:space="preserve"> </v>
      </c>
      <c r="H33" s="26" t="s">
        <v>214</v>
      </c>
    </row>
    <row r="34" spans="1:9" ht="13.6" customHeight="1">
      <c r="A34" s="170">
        <v>33</v>
      </c>
      <c r="B34" s="171" t="s">
        <v>211</v>
      </c>
      <c r="C34" s="171" t="s">
        <v>100</v>
      </c>
      <c r="D34" s="170">
        <v>25</v>
      </c>
      <c r="E34" s="170">
        <f>COUNTIF('Програма-кодове'!$C$2:$AD$36,A34)+E73</f>
        <v>25</v>
      </c>
      <c r="F34" s="170">
        <f t="shared" ref="F34:F42" si="2">E34-D34</f>
        <v>0</v>
      </c>
      <c r="G34" s="127" t="str">
        <f t="shared" si="1"/>
        <v xml:space="preserve"> </v>
      </c>
      <c r="H34" s="249" t="s">
        <v>324</v>
      </c>
      <c r="I34" s="172"/>
    </row>
    <row r="35" spans="1:9">
      <c r="A35" s="170">
        <v>34</v>
      </c>
      <c r="B35" s="17" t="s">
        <v>164</v>
      </c>
      <c r="C35" s="17" t="s">
        <v>100</v>
      </c>
      <c r="D35" s="16">
        <v>26</v>
      </c>
      <c r="E35" s="16">
        <f>COUNTIF('Програма-кодове'!$C$2:$AD$36,A35)+E78+E79</f>
        <v>26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28</v>
      </c>
      <c r="E36" s="16">
        <f>COUNTIF('Програма-кодове'!$C$2:$AD$36,A36)</f>
        <v>28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119</v>
      </c>
      <c r="C37" s="17" t="s">
        <v>47</v>
      </c>
      <c r="D37" s="16">
        <v>24</v>
      </c>
      <c r="E37" s="16">
        <f>COUNTIF('Програма-кодове'!$C$2:$AD$36,A37)</f>
        <v>24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28</v>
      </c>
      <c r="E38" s="16">
        <f>COUNTIF('Програма-кодове'!$C$2:$AD$36,A38)</f>
        <v>28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372</v>
      </c>
      <c r="C39" s="17" t="s">
        <v>42</v>
      </c>
      <c r="D39" s="16">
        <v>23</v>
      </c>
      <c r="E39" s="16">
        <f>COUNTIF('Програма-кодове'!$C$2:$AD$36,A39)</f>
        <v>23</v>
      </c>
      <c r="F39" s="16">
        <f t="shared" si="2"/>
        <v>0</v>
      </c>
      <c r="G39" s="127" t="str">
        <f t="shared" si="1"/>
        <v xml:space="preserve"> </v>
      </c>
      <c r="H39" s="26" t="s">
        <v>225</v>
      </c>
    </row>
    <row r="40" spans="1:9">
      <c r="A40" s="170">
        <v>39</v>
      </c>
      <c r="B40" s="17" t="s">
        <v>65</v>
      </c>
      <c r="C40" s="17" t="s">
        <v>42</v>
      </c>
      <c r="D40" s="16">
        <v>20</v>
      </c>
      <c r="E40" s="16">
        <f>COUNTIF('Програма-кодове'!$C$2:$AD$36,A40)</f>
        <v>20</v>
      </c>
      <c r="F40" s="16">
        <f t="shared" si="2"/>
        <v>0</v>
      </c>
      <c r="G40" s="127" t="str">
        <f t="shared" si="1"/>
        <v xml:space="preserve"> </v>
      </c>
      <c r="H40" s="26" t="s">
        <v>225</v>
      </c>
    </row>
    <row r="41" spans="1:9">
      <c r="A41" s="170">
        <v>40</v>
      </c>
      <c r="B41" s="17" t="s">
        <v>91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225</v>
      </c>
    </row>
    <row r="42" spans="1:9">
      <c r="A42" s="170">
        <v>41</v>
      </c>
      <c r="B42" s="17" t="s">
        <v>110</v>
      </c>
      <c r="C42" s="17" t="s">
        <v>37</v>
      </c>
      <c r="D42" s="16">
        <v>23</v>
      </c>
      <c r="E42" s="16">
        <f>COUNTIF('Програма-кодове'!$C$2:$AD$36,A42)+E74</f>
        <v>23</v>
      </c>
      <c r="F42" s="16">
        <f t="shared" si="2"/>
        <v>0</v>
      </c>
      <c r="G42" s="127" t="str">
        <f t="shared" si="1"/>
        <v xml:space="preserve"> </v>
      </c>
      <c r="H42" s="26" t="s">
        <v>225</v>
      </c>
    </row>
    <row r="43" spans="1:9">
      <c r="A43" s="170">
        <v>42</v>
      </c>
      <c r="B43" s="17" t="s">
        <v>66</v>
      </c>
      <c r="C43" s="17" t="s">
        <v>40</v>
      </c>
      <c r="D43" s="16">
        <v>24</v>
      </c>
      <c r="E43" s="16">
        <f>COUNTIF('Програма-кодове'!$C$2:$AD$36,A43)</f>
        <v>24</v>
      </c>
      <c r="F43" s="16">
        <f t="shared" si="0"/>
        <v>0</v>
      </c>
      <c r="G43" s="127" t="str">
        <f t="shared" si="1"/>
        <v xml:space="preserve"> </v>
      </c>
      <c r="H43" s="26" t="s">
        <v>225</v>
      </c>
    </row>
    <row r="44" spans="1:9">
      <c r="A44" s="170">
        <v>43</v>
      </c>
      <c r="B44" s="17" t="s">
        <v>165</v>
      </c>
      <c r="C44" s="17" t="s">
        <v>37</v>
      </c>
      <c r="D44" s="16">
        <v>21</v>
      </c>
      <c r="E44" s="16">
        <f>COUNTIF('Програма-кодове'!$C$2:$AD$36,A44)</f>
        <v>21</v>
      </c>
      <c r="F44" s="16">
        <f t="shared" si="0"/>
        <v>0</v>
      </c>
      <c r="G44" s="127" t="str">
        <f t="shared" si="1"/>
        <v xml:space="preserve"> </v>
      </c>
      <c r="H44" s="26" t="s">
        <v>225</v>
      </c>
    </row>
    <row r="45" spans="1:9">
      <c r="A45" s="170">
        <v>44</v>
      </c>
      <c r="B45" s="17" t="s">
        <v>173</v>
      </c>
      <c r="C45" s="17" t="s">
        <v>37</v>
      </c>
      <c r="D45" s="16">
        <v>21</v>
      </c>
      <c r="E45" s="16">
        <f>COUNTIF('Програма-кодове'!$C$2:$AD$36,A45)</f>
        <v>21</v>
      </c>
      <c r="F45" s="16">
        <f t="shared" si="0"/>
        <v>0</v>
      </c>
      <c r="G45" s="127" t="str">
        <f t="shared" si="1"/>
        <v xml:space="preserve"> </v>
      </c>
      <c r="H45" s="26" t="s">
        <v>225</v>
      </c>
    </row>
    <row r="46" spans="1:9">
      <c r="A46" s="170">
        <v>45</v>
      </c>
      <c r="B46" s="17" t="s">
        <v>67</v>
      </c>
      <c r="C46" s="17" t="s">
        <v>38</v>
      </c>
      <c r="D46" s="16">
        <v>24</v>
      </c>
      <c r="E46" s="16">
        <f>COUNTIF('Програма-кодове'!$C$2:$AD$36,A46)+E75</f>
        <v>24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221</v>
      </c>
      <c r="C47" s="17" t="s">
        <v>39</v>
      </c>
      <c r="D47" s="16">
        <v>21</v>
      </c>
      <c r="E47" s="16">
        <f>COUNTIF('Програма-кодове'!$C$2:$AD$36,A47)+E60+E64+E65+E67</f>
        <v>21</v>
      </c>
      <c r="F47" s="16">
        <f t="shared" si="0"/>
        <v>0</v>
      </c>
      <c r="G47" s="127" t="str">
        <f t="shared" si="1"/>
        <v xml:space="preserve"> </v>
      </c>
      <c r="H47" s="149" t="s">
        <v>325</v>
      </c>
    </row>
    <row r="48" spans="1:9">
      <c r="A48" s="170">
        <v>47</v>
      </c>
      <c r="B48" s="17" t="s">
        <v>88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206</v>
      </c>
    </row>
    <row r="49" spans="1:12">
      <c r="A49" s="170">
        <v>48</v>
      </c>
      <c r="B49" s="17" t="s">
        <v>115</v>
      </c>
      <c r="C49" s="17" t="s">
        <v>43</v>
      </c>
      <c r="D49" s="16">
        <v>16</v>
      </c>
      <c r="E49" s="16">
        <f>COUNTIF('Програма-кодове'!$C$2:$AD$36,A49)</f>
        <v>16</v>
      </c>
      <c r="F49" s="16">
        <f t="shared" si="0"/>
        <v>0</v>
      </c>
      <c r="G49" s="127" t="str">
        <f t="shared" si="1"/>
        <v xml:space="preserve"> </v>
      </c>
      <c r="H49" s="26" t="s">
        <v>206</v>
      </c>
    </row>
    <row r="50" spans="1:12">
      <c r="A50" s="170">
        <v>49</v>
      </c>
      <c r="B50" s="17" t="s">
        <v>216</v>
      </c>
      <c r="C50" s="17" t="s">
        <v>43</v>
      </c>
      <c r="D50" s="16">
        <v>16</v>
      </c>
      <c r="E50" s="16">
        <f>COUNTIF('Програма-кодове'!$C$2:$AD$36,A50)</f>
        <v>16</v>
      </c>
      <c r="F50" s="16">
        <f t="shared" si="0"/>
        <v>0</v>
      </c>
      <c r="G50" s="127" t="str">
        <f t="shared" si="1"/>
        <v xml:space="preserve"> </v>
      </c>
      <c r="H50" s="26" t="s">
        <v>206</v>
      </c>
    </row>
    <row r="51" spans="1:12" ht="14.25" customHeight="1">
      <c r="A51" s="173">
        <v>50</v>
      </c>
      <c r="B51" s="18" t="s">
        <v>259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326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21" t="s">
        <v>338</v>
      </c>
      <c r="B54" s="24" t="s">
        <v>376</v>
      </c>
      <c r="C54" s="17" t="s">
        <v>76</v>
      </c>
      <c r="D54" s="16">
        <v>2</v>
      </c>
      <c r="E54" s="16">
        <v>2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261</v>
      </c>
    </row>
    <row r="55" spans="1:12">
      <c r="A55" s="321" t="s">
        <v>345</v>
      </c>
      <c r="B55" s="24" t="s">
        <v>346</v>
      </c>
      <c r="C55" s="17" t="s">
        <v>76</v>
      </c>
      <c r="E55" s="16">
        <f>COUNTIF('Програма-кодове'!$C$2:$AD$36,A55)</f>
        <v>0</v>
      </c>
      <c r="F55" s="16">
        <f>E55-D55</f>
        <v>0</v>
      </c>
      <c r="G55" s="127" t="str">
        <f t="shared" si="3"/>
        <v xml:space="preserve"> </v>
      </c>
      <c r="H55" s="26" t="s">
        <v>226</v>
      </c>
    </row>
    <row r="56" spans="1:12">
      <c r="A56" s="173" t="s">
        <v>288</v>
      </c>
      <c r="B56" s="27" t="s">
        <v>289</v>
      </c>
      <c r="C56" s="17" t="s">
        <v>217</v>
      </c>
      <c r="D56" s="16">
        <v>6</v>
      </c>
      <c r="E56" s="16">
        <f>COUNTIF('Програма-кодове'!$C$2:$AD$36,A56)</f>
        <v>6</v>
      </c>
      <c r="F56" s="16">
        <f>E56-D56</f>
        <v>0</v>
      </c>
      <c r="G56" s="127" t="str">
        <f t="shared" si="3"/>
        <v xml:space="preserve"> </v>
      </c>
      <c r="H56" s="26" t="s">
        <v>262</v>
      </c>
    </row>
    <row r="57" spans="1:12">
      <c r="A57" s="321" t="s">
        <v>68</v>
      </c>
      <c r="B57" s="24" t="s">
        <v>69</v>
      </c>
      <c r="C57" s="17" t="s">
        <v>36</v>
      </c>
      <c r="D57" s="16">
        <v>18</v>
      </c>
      <c r="E57" s="16">
        <f>COUNTIF('Програма-кодове'!$C$2:$AD$36,A57)</f>
        <v>18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263</v>
      </c>
    </row>
    <row r="58" spans="1:12" s="18" customFormat="1">
      <c r="A58" s="321" t="s">
        <v>160</v>
      </c>
      <c r="B58" s="17" t="s">
        <v>210</v>
      </c>
      <c r="C58" s="17" t="s">
        <v>36</v>
      </c>
      <c r="D58" s="16">
        <v>19</v>
      </c>
      <c r="E58" s="16">
        <f>COUNTIF('Програма-кодове'!$C$2:$AD$36,A58)</f>
        <v>19</v>
      </c>
      <c r="F58" s="16">
        <f t="shared" si="4"/>
        <v>0</v>
      </c>
      <c r="G58" s="127" t="str">
        <f t="shared" si="3"/>
        <v xml:space="preserve"> </v>
      </c>
      <c r="H58" s="26" t="s">
        <v>264</v>
      </c>
      <c r="I58" s="168"/>
      <c r="J58" s="16"/>
      <c r="K58" s="16"/>
      <c r="L58" s="16"/>
    </row>
    <row r="59" spans="1:12" s="18" customFormat="1">
      <c r="A59" s="321" t="s">
        <v>290</v>
      </c>
      <c r="B59" s="24" t="s">
        <v>298</v>
      </c>
      <c r="C59" s="17" t="s">
        <v>36</v>
      </c>
      <c r="D59" s="16">
        <v>1</v>
      </c>
      <c r="E59" s="16">
        <f>COUNTIF('Програма-кодове'!$C$2:$AD$36,A59)</f>
        <v>1</v>
      </c>
      <c r="F59" s="16">
        <f t="shared" si="4"/>
        <v>0</v>
      </c>
      <c r="G59" s="127" t="str">
        <f t="shared" si="3"/>
        <v xml:space="preserve"> </v>
      </c>
      <c r="H59" s="26" t="s">
        <v>265</v>
      </c>
      <c r="I59" s="168"/>
      <c r="J59" s="16"/>
      <c r="K59" s="16"/>
      <c r="L59" s="16"/>
    </row>
    <row r="60" spans="1:12" s="18" customFormat="1">
      <c r="A60" s="173" t="s">
        <v>347</v>
      </c>
      <c r="B60" s="27" t="s">
        <v>348</v>
      </c>
      <c r="C60" s="17" t="s">
        <v>36</v>
      </c>
      <c r="D60" s="16">
        <v>2</v>
      </c>
      <c r="E60" s="16">
        <f>COUNTIF('Програма-кодове'!$C$2:$AD$36,A60)</f>
        <v>2</v>
      </c>
      <c r="F60" s="16">
        <f t="shared" si="4"/>
        <v>0</v>
      </c>
      <c r="G60" s="127" t="str">
        <f t="shared" si="3"/>
        <v xml:space="preserve"> </v>
      </c>
      <c r="H60" s="26" t="s">
        <v>227</v>
      </c>
      <c r="I60" s="168"/>
      <c r="J60" s="16"/>
      <c r="K60" s="16"/>
      <c r="L60" s="16"/>
    </row>
    <row r="61" spans="1:12" s="18" customFormat="1">
      <c r="A61" s="322" t="s">
        <v>240</v>
      </c>
      <c r="B61" s="26" t="s">
        <v>252</v>
      </c>
      <c r="C61" s="17" t="s">
        <v>36</v>
      </c>
      <c r="D61" s="16">
        <v>4</v>
      </c>
      <c r="E61" s="16">
        <f>COUNTIF('Програма-кодове'!$C$2:$AD$36,A61)</f>
        <v>4</v>
      </c>
      <c r="F61" s="16">
        <f t="shared" si="4"/>
        <v>0</v>
      </c>
      <c r="G61" s="127"/>
      <c r="H61" s="26" t="s">
        <v>266</v>
      </c>
      <c r="I61" s="168"/>
      <c r="J61" s="16"/>
      <c r="K61" s="16"/>
      <c r="L61" s="16"/>
    </row>
    <row r="62" spans="1:12" s="18" customFormat="1">
      <c r="A62" s="321" t="s">
        <v>334</v>
      </c>
      <c r="B62" s="17" t="s">
        <v>335</v>
      </c>
      <c r="C62" s="17" t="s">
        <v>36</v>
      </c>
      <c r="D62" s="16">
        <v>10</v>
      </c>
      <c r="E62" s="16">
        <f>COUNTIF('Програма-кодове'!$C$2:$AD$36,A62)</f>
        <v>10</v>
      </c>
      <c r="F62" s="16">
        <f t="shared" si="4"/>
        <v>0</v>
      </c>
      <c r="G62" s="127" t="str">
        <f>IF(F62&gt;0,"Повече",IF(F62&lt;0,"Липса"," "))</f>
        <v xml:space="preserve"> </v>
      </c>
      <c r="H62" s="26" t="s">
        <v>267</v>
      </c>
      <c r="I62" s="168"/>
      <c r="J62" s="16"/>
      <c r="K62" s="16"/>
      <c r="L62" s="16"/>
    </row>
    <row r="63" spans="1:12" s="18" customFormat="1">
      <c r="A63" s="321" t="s">
        <v>351</v>
      </c>
      <c r="B63" s="26" t="s">
        <v>252</v>
      </c>
      <c r="C63" s="17" t="s">
        <v>217</v>
      </c>
      <c r="D63" s="16">
        <v>4</v>
      </c>
      <c r="E63" s="16">
        <f>COUNTIF('Програма-кодове'!$C$2:$AD$35,A63)</f>
        <v>4</v>
      </c>
      <c r="F63" s="16">
        <f t="shared" si="4"/>
        <v>0</v>
      </c>
      <c r="G63" s="127" t="str">
        <f>IF(F63&gt;0,"Повече",IF(F63&lt;0,"Липса"," "))</f>
        <v xml:space="preserve"> </v>
      </c>
      <c r="H63" s="26" t="s">
        <v>268</v>
      </c>
      <c r="I63" s="168"/>
      <c r="J63" s="16"/>
      <c r="K63" s="16"/>
      <c r="L63" s="16"/>
    </row>
    <row r="64" spans="1:12">
      <c r="A64" s="322" t="s">
        <v>294</v>
      </c>
      <c r="B64" s="26" t="s">
        <v>295</v>
      </c>
      <c r="C64" s="17" t="s">
        <v>233</v>
      </c>
      <c r="D64" s="16">
        <v>5</v>
      </c>
      <c r="E64" s="16">
        <f>COUNTIF('Програма-кодове'!$C$2:$AD$36,A64)</f>
        <v>5</v>
      </c>
      <c r="F64" s="16">
        <f t="shared" si="4"/>
        <v>0</v>
      </c>
      <c r="G64" s="127" t="str">
        <f>IF(F64&gt;0,"Повече",IF(F64&lt;0,"Липса"," "))</f>
        <v xml:space="preserve"> </v>
      </c>
      <c r="H64" s="26" t="s">
        <v>327</v>
      </c>
    </row>
    <row r="65" spans="1:12">
      <c r="A65" s="322" t="s">
        <v>161</v>
      </c>
      <c r="B65" s="26" t="s">
        <v>222</v>
      </c>
      <c r="C65" s="17" t="s">
        <v>233</v>
      </c>
      <c r="D65" s="16">
        <v>1</v>
      </c>
      <c r="E65" s="16">
        <f>COUNTIF('Програма-кодове'!$C$2:$AD$36,A65)</f>
        <v>1</v>
      </c>
      <c r="F65" s="16">
        <f t="shared" si="4"/>
        <v>0</v>
      </c>
      <c r="G65" s="127" t="str">
        <f>IF(F65&gt;0,"Повече",IF(F65&lt;0,"Липса"," "))</f>
        <v xml:space="preserve"> </v>
      </c>
      <c r="H65" s="26" t="s">
        <v>269</v>
      </c>
    </row>
    <row r="66" spans="1:12">
      <c r="A66" s="321"/>
      <c r="C66" s="17" t="s">
        <v>233</v>
      </c>
      <c r="E66" s="16">
        <f>COUNTIF('Програма-кодове'!$C$2:$AD$36,A66)</f>
        <v>0</v>
      </c>
      <c r="F66" s="16">
        <f t="shared" si="4"/>
        <v>0</v>
      </c>
      <c r="G66" s="127" t="str">
        <f>IF(F66&gt;0,"Повече",IF(F66&lt;0,"Липса"," "))</f>
        <v xml:space="preserve"> </v>
      </c>
      <c r="H66" s="26" t="s">
        <v>320</v>
      </c>
    </row>
    <row r="67" spans="1:12">
      <c r="A67" s="322" t="s">
        <v>349</v>
      </c>
      <c r="B67" s="26" t="s">
        <v>350</v>
      </c>
      <c r="C67" s="17" t="s">
        <v>217</v>
      </c>
      <c r="D67" s="16">
        <v>2</v>
      </c>
      <c r="E67" s="16">
        <f>COUNTIF('Програма-кодове'!$C$2:$AD$36,A67)</f>
        <v>2</v>
      </c>
      <c r="F67" s="16">
        <f t="shared" si="4"/>
        <v>0</v>
      </c>
    </row>
    <row r="68" spans="1:12">
      <c r="A68" s="323">
        <v>0</v>
      </c>
      <c r="B68" s="27"/>
      <c r="E68" s="16">
        <f>COUNTIF('Програма-кодове'!$C$2:$AD$36,A68)</f>
        <v>0</v>
      </c>
      <c r="F68" s="16">
        <f>E68-D68</f>
        <v>0</v>
      </c>
      <c r="G68" s="16" t="str">
        <f t="shared" ref="G68:G76" si="5">IF(F68&gt;0,"Повече",IF(F68&lt;0,"Липса"," "))</f>
        <v xml:space="preserve"> </v>
      </c>
    </row>
    <row r="69" spans="1:12">
      <c r="A69" s="173">
        <v>1</v>
      </c>
      <c r="B69" s="27"/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22" t="s">
        <v>299</v>
      </c>
      <c r="B70" s="27" t="s">
        <v>300</v>
      </c>
      <c r="C70" s="17" t="s">
        <v>114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5"/>
        <v xml:space="preserve"> </v>
      </c>
      <c r="H70" s="16" t="s">
        <v>319</v>
      </c>
      <c r="I70" s="168"/>
      <c r="J70" s="16"/>
      <c r="K70" s="16"/>
      <c r="L70" s="16"/>
    </row>
    <row r="71" spans="1:12">
      <c r="A71" s="173" t="s">
        <v>291</v>
      </c>
      <c r="B71" s="27" t="s">
        <v>184</v>
      </c>
      <c r="C71" s="17" t="s">
        <v>114</v>
      </c>
      <c r="D71" s="16">
        <v>12</v>
      </c>
      <c r="E71" s="16">
        <f>COUNTIF('Програма-кодове'!C2:AD36,A71)-4</f>
        <v>12</v>
      </c>
      <c r="F71" s="16">
        <f t="shared" si="4"/>
        <v>0</v>
      </c>
      <c r="G71" s="16" t="str">
        <f t="shared" si="5"/>
        <v xml:space="preserve"> </v>
      </c>
      <c r="H71" s="16" t="s">
        <v>207</v>
      </c>
    </row>
    <row r="72" spans="1:12" s="18" customFormat="1">
      <c r="A72" s="324" t="s">
        <v>292</v>
      </c>
      <c r="B72" s="18" t="s">
        <v>185</v>
      </c>
      <c r="C72" s="17" t="s">
        <v>114</v>
      </c>
      <c r="D72" s="86">
        <v>10</v>
      </c>
      <c r="E72" s="16">
        <f>COUNTIF('Програма-кодове'!$C$2:$AD$36,A72)-4</f>
        <v>10</v>
      </c>
      <c r="F72" s="16">
        <f t="shared" si="4"/>
        <v>0</v>
      </c>
      <c r="G72" s="16" t="str">
        <f t="shared" si="5"/>
        <v xml:space="preserve"> </v>
      </c>
      <c r="H72" s="16" t="s">
        <v>208</v>
      </c>
      <c r="I72" s="168"/>
      <c r="J72" s="16"/>
      <c r="K72" s="16"/>
      <c r="L72" s="16"/>
    </row>
    <row r="73" spans="1:12" s="18" customFormat="1">
      <c r="A73" s="324" t="s">
        <v>219</v>
      </c>
      <c r="B73" s="18" t="s">
        <v>211</v>
      </c>
      <c r="C73" s="18" t="s">
        <v>47</v>
      </c>
      <c r="D73" s="86">
        <v>10</v>
      </c>
      <c r="E73" s="16">
        <f>COUNTIF('Програма-кодове'!$C$2:$AD$36,A73)</f>
        <v>10</v>
      </c>
      <c r="F73" s="16">
        <f t="shared" ref="F73:F79" si="6">E73-D73</f>
        <v>0</v>
      </c>
      <c r="G73" s="16" t="str">
        <f t="shared" si="5"/>
        <v xml:space="preserve"> </v>
      </c>
      <c r="H73" s="16"/>
      <c r="I73" s="168"/>
      <c r="J73" s="16"/>
      <c r="K73" s="16"/>
      <c r="L73" s="16"/>
    </row>
    <row r="74" spans="1:12" s="18" customFormat="1">
      <c r="A74" s="324" t="s">
        <v>168</v>
      </c>
      <c r="B74" s="18" t="s">
        <v>110</v>
      </c>
      <c r="C74" s="18" t="s">
        <v>40</v>
      </c>
      <c r="D74" s="86">
        <v>19</v>
      </c>
      <c r="E74" s="16">
        <f>COUNTIF('Програма-кодове'!$C$2:$AD$36,A74)</f>
        <v>19</v>
      </c>
      <c r="F74" s="16">
        <f t="shared" si="6"/>
        <v>0</v>
      </c>
      <c r="G74" s="16" t="str">
        <f t="shared" si="5"/>
        <v xml:space="preserve"> </v>
      </c>
      <c r="H74" s="16"/>
      <c r="I74" s="168"/>
      <c r="J74" s="16"/>
      <c r="K74" s="16"/>
      <c r="L74" s="16"/>
    </row>
    <row r="75" spans="1:12" s="18" customFormat="1">
      <c r="A75" s="321" t="s">
        <v>200</v>
      </c>
      <c r="B75" s="18" t="s">
        <v>318</v>
      </c>
      <c r="C75" s="17" t="s">
        <v>43</v>
      </c>
      <c r="D75" s="86">
        <v>8</v>
      </c>
      <c r="E75" s="16">
        <f>COUNTIF('Програма-кодове'!$C$2:$AD$36,A75)</f>
        <v>8</v>
      </c>
      <c r="F75" s="16">
        <f t="shared" si="6"/>
        <v>0</v>
      </c>
      <c r="G75" s="16" t="str">
        <f t="shared" si="5"/>
        <v xml:space="preserve"> </v>
      </c>
      <c r="H75" s="16" t="s">
        <v>206</v>
      </c>
      <c r="I75" s="168"/>
      <c r="J75" s="16"/>
      <c r="K75" s="16"/>
      <c r="L75" s="16"/>
    </row>
    <row r="76" spans="1:12">
      <c r="A76" s="170" t="s">
        <v>186</v>
      </c>
      <c r="B76" s="17" t="s">
        <v>170</v>
      </c>
      <c r="C76" s="17" t="s">
        <v>45</v>
      </c>
      <c r="E76" s="16">
        <f>COUNTIF('Програма-кодове'!$C$2:$AD$36,A76)</f>
        <v>0</v>
      </c>
      <c r="F76" s="16">
        <f t="shared" si="6"/>
        <v>0</v>
      </c>
      <c r="G76" s="16" t="str">
        <f t="shared" si="5"/>
        <v xml:space="preserve"> </v>
      </c>
    </row>
    <row r="77" spans="1:12">
      <c r="A77" s="170" t="s">
        <v>293</v>
      </c>
      <c r="B77" s="17" t="s">
        <v>259</v>
      </c>
      <c r="C77" s="17" t="s">
        <v>120</v>
      </c>
      <c r="E77" s="16">
        <f>COUNTIF('Програма-кодове'!$C$2:$AD$36,A77)</f>
        <v>0</v>
      </c>
      <c r="F77" s="16">
        <f t="shared" si="6"/>
        <v>0</v>
      </c>
      <c r="G77" s="16" t="str">
        <f>IF(F77&gt;0,"Повече",IF(F77&lt;0,"Липса"," "))</f>
        <v xml:space="preserve"> </v>
      </c>
    </row>
    <row r="78" spans="1:12">
      <c r="A78" s="170" t="s">
        <v>310</v>
      </c>
      <c r="B78" s="17" t="s">
        <v>164</v>
      </c>
      <c r="C78" s="17" t="s">
        <v>47</v>
      </c>
      <c r="E78" s="16">
        <f>COUNTIF('Програма-кодове'!$C$2:$AD$36,A78)</f>
        <v>0</v>
      </c>
      <c r="F78" s="16">
        <f t="shared" si="6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164</v>
      </c>
      <c r="C79" s="17" t="s">
        <v>174</v>
      </c>
      <c r="E79" s="16">
        <f>COUNTIF('Програма-кодове'!$C$2:$AD$36,A79)</f>
        <v>0</v>
      </c>
      <c r="F79" s="16">
        <f t="shared" si="6"/>
        <v>0</v>
      </c>
    </row>
    <row r="80" spans="1:12">
      <c r="A80" s="170" t="s">
        <v>312</v>
      </c>
      <c r="B80" s="17" t="s">
        <v>314</v>
      </c>
      <c r="C80" s="17" t="s">
        <v>315</v>
      </c>
    </row>
    <row r="81" spans="1:3">
      <c r="A81" s="170" t="s">
        <v>313</v>
      </c>
      <c r="B81" s="17" t="s">
        <v>316</v>
      </c>
      <c r="C81" s="17" t="s">
        <v>315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77"/>
  <sheetViews>
    <sheetView topLeftCell="A204" workbookViewId="0">
      <selection activeCell="G1" sqref="G1:K65536"/>
    </sheetView>
  </sheetViews>
  <sheetFormatPr defaultColWidth="9.125" defaultRowHeight="13.1"/>
  <cols>
    <col min="1" max="1" width="3.875" style="13" customWidth="1"/>
    <col min="2" max="6" width="26" style="12" customWidth="1"/>
    <col min="7" max="7" width="3.875" style="12" customWidth="1"/>
    <col min="8" max="11" width="4" style="21" customWidth="1"/>
    <col min="12" max="16384" width="9.125" style="21"/>
  </cols>
  <sheetData>
    <row r="1" spans="1:7" ht="19.5" customHeight="1" thickBot="1">
      <c r="A1" s="398" t="s">
        <v>24</v>
      </c>
      <c r="B1" s="398"/>
      <c r="C1" s="398"/>
      <c r="D1" s="398"/>
      <c r="E1" s="398"/>
      <c r="F1" s="398"/>
    </row>
    <row r="2" spans="1:7" s="43" customFormat="1" ht="11.3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3" customHeight="1">
      <c r="A3" s="13">
        <v>1</v>
      </c>
      <c r="B3" s="12" t="str">
        <f>VLOOKUP('Програма-кодове'!C2,Списък!$A$1:$C$210,3,FALSE)</f>
        <v>математика</v>
      </c>
      <c r="C3" s="12" t="str">
        <f>VLOOKUP('Програма-кодове'!D2,Списък!$A$1:$C$210,3,FALSE)</f>
        <v>география</v>
      </c>
      <c r="D3" s="12" t="str">
        <f>VLOOKUP('Програма-кодове'!E2,Списък!$A$1:$C$210,3,FALSE)</f>
        <v>английски език</v>
      </c>
    </row>
    <row r="4" spans="1:7" ht="11.3" customHeight="1">
      <c r="A4" s="13">
        <v>2</v>
      </c>
      <c r="B4" s="12" t="str">
        <f>VLOOKUP('Програма-кодове'!C3,Списък!$A$1:$C$210,3,FALSE)</f>
        <v>математика</v>
      </c>
      <c r="C4" s="12" t="str">
        <f>VLOOKUP('Програма-кодове'!D3,Списък!$A$1:$C$210,3,FALSE)</f>
        <v>история</v>
      </c>
      <c r="D4" s="12" t="str">
        <f>VLOOKUP('Програма-кодове'!E3,Списък!$A$1:$C$210,3,FALSE)</f>
        <v>биология</v>
      </c>
    </row>
    <row r="5" spans="1:7" ht="11.3" customHeight="1">
      <c r="A5" s="13">
        <v>3</v>
      </c>
      <c r="B5" s="12" t="str">
        <f>VLOOKUP('Програма-кодове'!C4,Списък!$A$1:$C$210,3,FALSE)</f>
        <v>немски език</v>
      </c>
      <c r="C5" s="12" t="str">
        <f>VLOOKUP('Програма-кодове'!D4,Списък!$A$1:$C$210,3,FALSE)</f>
        <v>английски език</v>
      </c>
      <c r="D5" s="12" t="str">
        <f>VLOOKUP('Програма-кодове'!E4,Списък!$A$1:$C$210,3,FALSE)</f>
        <v>физкултура</v>
      </c>
    </row>
    <row r="6" spans="1:7" ht="11.3" customHeight="1">
      <c r="A6" s="13">
        <v>4</v>
      </c>
      <c r="B6" s="12" t="str">
        <f>VLOOKUP('Програма-кодове'!C5,Списък!$A$1:$C$210,3,FALSE)</f>
        <v>музика</v>
      </c>
      <c r="C6" s="12" t="str">
        <f>VLOOKUP('Програма-кодове'!D5,Списък!$A$1:$C$210,3,FALSE)</f>
        <v>математика</v>
      </c>
      <c r="D6" s="12" t="str">
        <f>VLOOKUP('Програма-кодове'!E5,Списък!$A$1:$C$210,3,FALSE)</f>
        <v>химия</v>
      </c>
    </row>
    <row r="7" spans="1:7" ht="11.3" customHeight="1">
      <c r="A7" s="13">
        <v>5</v>
      </c>
      <c r="B7" s="12" t="str">
        <f>VLOOKUP('Програма-кодове'!C6,Списък!$A$1:$C$210,3,FALSE)</f>
        <v>география</v>
      </c>
      <c r="C7" s="12" t="str">
        <f>VLOOKUP('Програма-кодове'!D6,Списък!$A$1:$C$210,3,FALSE)</f>
        <v>бълг. език</v>
      </c>
      <c r="D7" s="12" t="str">
        <f>VLOOKUP('Програма-кодове'!E6,Списък!$A$1:$C$210,3,FALSE)</f>
        <v>бълг. език</v>
      </c>
    </row>
    <row r="8" spans="1:7" ht="11.3" customHeight="1">
      <c r="A8" s="13">
        <v>6</v>
      </c>
      <c r="B8" s="12" t="str">
        <f>VLOOKUP('Програма-кодове'!C7,Списък!$A$1:$C$210,3,FALSE)</f>
        <v>физика</v>
      </c>
      <c r="C8" s="12" t="str">
        <f>VLOOKUP('Програма-кодове'!D7,Списък!$A$1:$C$210,3,FALSE)</f>
        <v>музика</v>
      </c>
      <c r="D8" s="12" t="str">
        <f>VLOOKUP('Програма-кодове'!E7,Списък!$A$1:$C$210,3,FALSE)</f>
        <v>физика</v>
      </c>
    </row>
    <row r="9" spans="1:7" ht="11.3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математика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3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3" customHeight="1">
      <c r="A12" s="13">
        <v>1</v>
      </c>
      <c r="B12" s="12" t="str">
        <f>VLOOKUP('Програма-кодове'!F2,Списък!$A$1:$C$210,3,FALSE)</f>
        <v>бълг. език</v>
      </c>
      <c r="C12" s="12" t="str">
        <f>VLOOKUP('Програма-кодове'!G2,Списък!$A$1:$C$210,3,FALSE)</f>
        <v>бълг. език</v>
      </c>
      <c r="D12" s="12" t="str">
        <f>VLOOKUP('Програма-кодове'!H2,Списък!$A$1:$C$210,3,FALSE)</f>
        <v>математика</v>
      </c>
      <c r="E12" s="12" t="str">
        <f>VLOOKUP('Програма-кодове'!I2,Списък!$A$1:$C$210,3,FALSE)</f>
        <v>рисуване</v>
      </c>
      <c r="F12" s="12" t="str">
        <f>VLOOKUP('Програма-кодове'!J2,Списък!$A$1:$C$210,3,FALSE)</f>
        <v>английски език</v>
      </c>
    </row>
    <row r="13" spans="1:7" ht="11.3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бълг. език</v>
      </c>
      <c r="D13" s="12" t="str">
        <f>VLOOKUP('Програма-кодове'!H3,Списък!$A$1:$C$210,3,FALSE)</f>
        <v>рисуване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английски език</v>
      </c>
    </row>
    <row r="14" spans="1:7" ht="11.3" customHeight="1">
      <c r="A14" s="13">
        <v>3</v>
      </c>
      <c r="B14" s="12" t="str">
        <f>VLOOKUP('Програма-кодове'!F4,Списък!$A$1:$C$210,3,FALSE)</f>
        <v>английски език</v>
      </c>
      <c r="C14" s="12" t="str">
        <f>VLOOKUP('Програма-кодове'!G4,Списък!$A$1:$C$210,3,FALSE)</f>
        <v>физкултура</v>
      </c>
      <c r="D14" s="12" t="str">
        <f>VLOOKUP('Програма-кодове'!H4,Списък!$A$1:$C$210,3,FALSE)</f>
        <v>бълг.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3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английски език</v>
      </c>
      <c r="D15" s="12" t="str">
        <f>VLOOKUP('Програма-кодове'!H5,Списък!$A$1:$C$210,3,FALSE)</f>
        <v>бълг.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3" customHeight="1">
      <c r="A16" s="13">
        <v>5</v>
      </c>
      <c r="B16" s="12" t="str">
        <f>VLOOKUP('Програма-кодове'!F6,Списък!$A$1:$C$210,3,FALSE)</f>
        <v>физкултура</v>
      </c>
      <c r="C16" s="12" t="str">
        <f>VLOOKUP('Програма-кодове'!G6,Списък!$A$1:$C$210,3,FALSE)</f>
        <v>английски език</v>
      </c>
      <c r="D16" s="12" t="str">
        <f>VLOOKUP('Програма-кодове'!H6,Списък!$A$1:$C$210,3,FALSE)</f>
        <v>английски език</v>
      </c>
      <c r="E16" s="12" t="str">
        <f>VLOOKUP('Програма-кодове'!I6,Списък!$A$1:$C$210,3,FALSE)</f>
        <v>английски език</v>
      </c>
      <c r="F16" s="12" t="str">
        <f>VLOOKUP('Програма-кодове'!J6,Списък!$A$1:$C$210,3,FALSE)</f>
        <v>математика</v>
      </c>
    </row>
    <row r="17" spans="1:11" ht="11.3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английски език</v>
      </c>
      <c r="D17" s="12" t="str">
        <f>VLOOKUP('Програма-кодове'!H7,Списък!$A$1:$C$210,3,FALSE)</f>
        <v>английски език</v>
      </c>
      <c r="E17" s="12" t="str">
        <f>VLOOKUP('Програма-кодове'!I7,Списък!$A$1:$C$210,3,FALSE)</f>
        <v>бълг. език</v>
      </c>
      <c r="F17" s="12" t="str">
        <f>VLOOKUP('Програма-кодове'!J7,Списък!$A$1:$C$210,3,FALSE)</f>
        <v>философия</v>
      </c>
    </row>
    <row r="18" spans="1:11" ht="11.3" customHeight="1">
      <c r="A18" s="13">
        <v>7</v>
      </c>
      <c r="B18" s="12" t="str">
        <f>VLOOKUP('Програма-кодове'!F8,Списък!$A$1:$C$210,3,FALSE)</f>
        <v>английски език</v>
      </c>
      <c r="C18" s="12" t="str">
        <f>VLOOKUP('Програма-кодове'!G8,Списък!$A$1:$C$210,3,FALSE)</f>
        <v>английски език</v>
      </c>
      <c r="D18" s="12" t="str">
        <f>VLOOKUP('Програма-кодове'!H8,Списък!$A$1:$C$210,3,FALSE)</f>
        <v>английски език</v>
      </c>
      <c r="E18" s="12" t="str">
        <f>VLOOKUP('Програма-кодове'!I8,Списък!$A$1:$C$210,3,FALSE)</f>
        <v>бълг. език</v>
      </c>
      <c r="F18" s="12" t="str">
        <f>VLOOKUP('Програма-кодове'!J8,Списък!$A$1:$C$210,3,FALSE)</f>
        <v>физкултура</v>
      </c>
    </row>
    <row r="19" spans="1:11" ht="2.95" customHeight="1">
      <c r="A19" s="14"/>
      <c r="B19" s="15"/>
      <c r="C19" s="15"/>
      <c r="D19" s="15"/>
      <c r="E19" s="15"/>
      <c r="F19" s="15"/>
    </row>
    <row r="20" spans="1:11" s="43" customFormat="1" ht="11.3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3" customHeight="1">
      <c r="A21" s="13">
        <v>1</v>
      </c>
      <c r="B21" s="12" t="str">
        <f>VLOOKUP('Програма-кодове'!K2,Списък!$A$1:$C$210,3,FALSE)</f>
        <v>английски език</v>
      </c>
      <c r="C21" s="12" t="str">
        <f>VLOOKUP('Програма-кодове'!L2,Списък!$A$1:$C$210,3,FALSE)</f>
        <v>химия</v>
      </c>
      <c r="D21" s="12" t="str">
        <f>VLOOKUP('Програма-кодове'!M2,Списък!$A$1:$C$210,3,FALSE)</f>
        <v>физика</v>
      </c>
      <c r="E21" s="12" t="str">
        <f>VLOOKUP('Програма-кодове'!N2,Списък!$A$1:$C$210,3,FALSE)</f>
        <v>физкултура</v>
      </c>
      <c r="F21" s="12" t="str">
        <f>VLOOKUP('Програма-кодове'!O2,Списък!$A$1:$C$210,3,FALSE)</f>
        <v>география</v>
      </c>
      <c r="H21" s="12"/>
      <c r="I21" s="12"/>
      <c r="J21" s="12"/>
      <c r="K21" s="12"/>
    </row>
    <row r="22" spans="1:11" ht="11.3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физика</v>
      </c>
      <c r="D22" s="12" t="str">
        <f>VLOOKUP('Програма-кодове'!M3,Списък!$A$1:$C$210,3,FALSE)</f>
        <v>химия</v>
      </c>
      <c r="E22" s="12" t="str">
        <f>VLOOKUP('Програма-кодове'!N3,Списък!$A$1:$C$210,3,FALSE)</f>
        <v>физика</v>
      </c>
      <c r="F22" s="12" t="str">
        <f>VLOOKUP('Програма-кодове'!O3,Списък!$A$1:$C$210,3,FALSE)</f>
        <v>история</v>
      </c>
      <c r="H22" s="12"/>
      <c r="I22" s="12"/>
      <c r="J22" s="12"/>
      <c r="K22" s="12"/>
    </row>
    <row r="23" spans="1:11" ht="11.3" customHeight="1">
      <c r="A23" s="13">
        <v>3</v>
      </c>
      <c r="B23" s="12" t="str">
        <f>VLOOKUP('Програма-кодове'!K4,Списък!$A$1:$C$210,3,FALSE)</f>
        <v>география</v>
      </c>
      <c r="C23" s="12" t="str">
        <f>VLOOKUP('Програма-кодове'!L4,Списък!$A$1:$C$210,3,FALSE)</f>
        <v>математика</v>
      </c>
      <c r="D23" s="12" t="str">
        <f>VLOOKUP('Програма-кодове'!M4,Списък!$A$1:$C$210,3,FALSE)</f>
        <v>история</v>
      </c>
      <c r="E23" s="12" t="str">
        <f>VLOOKUP('Програма-кодове'!N4,Списък!$A$1:$C$210,3,FALSE)</f>
        <v>английски език</v>
      </c>
      <c r="F23" s="12" t="str">
        <f>VLOOKUP('Програма-кодове'!O4,Списък!$A$1:$C$210,3,FALSE)</f>
        <v>бълг. език</v>
      </c>
      <c r="H23" s="12"/>
      <c r="I23" s="12"/>
      <c r="J23" s="12"/>
      <c r="K23" s="12"/>
    </row>
    <row r="24" spans="1:11" ht="11.3" customHeight="1">
      <c r="A24" s="13">
        <v>4</v>
      </c>
      <c r="B24" s="12" t="str">
        <f>VLOOKUP('Програма-кодове'!K5,Списък!$A$1:$C$210,3,FALSE)</f>
        <v>химия</v>
      </c>
      <c r="C24" s="12" t="str">
        <f>VLOOKUP('Програма-кодове'!L5,Списък!$A$1:$C$210,3,FALSE)</f>
        <v>бълг. език</v>
      </c>
      <c r="D24" s="12" t="str">
        <f>VLOOKUP('Програма-кодове'!M5,Списък!$A$1:$C$210,3,FALSE)</f>
        <v>география</v>
      </c>
      <c r="E24" s="12" t="str">
        <f>VLOOKUP('Програма-кодове'!N5,Списък!$A$1:$C$210,3,FALSE)</f>
        <v>английски език</v>
      </c>
      <c r="F24" s="12" t="str">
        <f>VLOOKUP('Програма-кодове'!O5,Списък!$A$1:$C$210,3,FALSE)</f>
        <v>физкултура</v>
      </c>
      <c r="H24" s="12"/>
      <c r="I24" s="12"/>
      <c r="J24" s="12"/>
      <c r="K24" s="12"/>
    </row>
    <row r="25" spans="1:11" ht="11.3" customHeight="1">
      <c r="A25" s="13">
        <v>5</v>
      </c>
      <c r="B25" s="12" t="str">
        <f>VLOOKUP('Програма-кодове'!K6,Списък!$A$1:$C$210,3,FALSE)</f>
        <v>физика</v>
      </c>
      <c r="C25" s="12" t="str">
        <f>VLOOKUP('Програма-кодове'!L6,Списък!$A$1:$C$210,3,FALSE)</f>
        <v>бълг. език</v>
      </c>
      <c r="D25" s="12" t="str">
        <f>VLOOKUP('Програма-кодове'!M6,Списък!$A$1:$C$210,3,FALSE)</f>
        <v>музика</v>
      </c>
      <c r="E25" s="12" t="str">
        <f>VLOOKUP('Програма-кодове'!N6,Списък!$A$1:$C$210,3,FALSE)</f>
        <v>бълг. език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3" customHeight="1">
      <c r="A26" s="13">
        <v>6</v>
      </c>
      <c r="B26" s="12" t="str">
        <f>VLOOKUP('Програма-кодове'!K7,Списък!$A$1:$C$210,3,FALSE)</f>
        <v>математика</v>
      </c>
      <c r="C26" s="12" t="str">
        <f>VLOOKUP('Програма-кодове'!L7,Списък!$A$1:$C$210,3,FALSE)</f>
        <v>физкултура</v>
      </c>
      <c r="D26" s="12" t="str">
        <f>VLOOKUP('Програма-кодове'!M7,Списък!$A$1:$C$210,3,FALSE)</f>
        <v>бълг. език</v>
      </c>
      <c r="E26" s="12" t="str">
        <f>VLOOKUP('Програма-кодове'!N7,Списък!$A$1:$C$210,3,FALSE)</f>
        <v>география</v>
      </c>
      <c r="F26" s="12" t="str">
        <f>VLOOKUP('Програма-кодове'!O7,Списък!$A$1:$C$210,3,FALSE)</f>
        <v>ІІ - ри чужд език</v>
      </c>
      <c r="H26" s="12"/>
      <c r="I26" s="12"/>
      <c r="J26" s="12"/>
      <c r="K26" s="12"/>
    </row>
    <row r="27" spans="1:11" ht="11.3" customHeight="1">
      <c r="A27" s="13">
        <v>7</v>
      </c>
      <c r="B27" s="12" t="str">
        <f>VLOOKUP('Програма-кодове'!K8,Списък!$A$1:$C$210,3,FALSE)</f>
        <v>бълг. език</v>
      </c>
      <c r="C27" s="12" t="str">
        <f>VLOOKUP('Програма-кодове'!L8,Списък!$A$1:$C$210,3,FALSE)</f>
        <v>география</v>
      </c>
      <c r="D27" s="12" t="str">
        <f>VLOOKUP('Програма-кодове'!M8,Списък!$A$1:$C$210,3,FALSE)</f>
        <v>математика</v>
      </c>
      <c r="E27" s="12" t="str">
        <f>VLOOKUP('Програма-кодове'!N8,Списък!$A$1:$C$210,3,FALSE)</f>
        <v>математика</v>
      </c>
      <c r="F27" s="12" t="str">
        <f>VLOOKUP('Програма-кодове'!O8,Списък!$A$1:$C$210,3,FALSE)</f>
        <v>ІІ - ри чужд език</v>
      </c>
      <c r="H27" s="12"/>
      <c r="I27" s="12"/>
      <c r="J27" s="12"/>
      <c r="K27" s="12"/>
    </row>
    <row r="28" spans="1:11" ht="2.95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3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3" customHeight="1">
      <c r="A30" s="13">
        <v>1</v>
      </c>
      <c r="B30" s="12" t="str">
        <f>VLOOKUP('Програма-кодове'!P2,Списък!$A$1:$C$210,3,FALSE)</f>
        <v>математика</v>
      </c>
      <c r="C30" s="12" t="str">
        <f>VLOOKUP('Програма-кодове'!Q2,Списък!$A$1:$C$210,3,FALSE)</f>
        <v>математика</v>
      </c>
      <c r="D30" s="12" t="str">
        <f>VLOOKUP('Програма-кодове'!R2,Списък!$A$1:$C$210,3,FALSE)</f>
        <v>история</v>
      </c>
      <c r="E30" s="12" t="str">
        <f>VLOOKUP('Програма-кодове'!S2,Списък!$A$1:$C$210,3,FALSE)</f>
        <v>философия</v>
      </c>
      <c r="F30" s="12" t="str">
        <f>VLOOKUP('Програма-кодове'!T2,Списък!$A$1:$C$210,3,FALSE)</f>
        <v>английски език</v>
      </c>
      <c r="H30" s="12"/>
      <c r="I30" s="12"/>
      <c r="J30" s="12"/>
      <c r="K30" s="12"/>
    </row>
    <row r="31" spans="1:11" ht="11.3" customHeight="1">
      <c r="A31" s="13">
        <v>2</v>
      </c>
      <c r="B31" s="12" t="str">
        <f>VLOOKUP('Програма-кодове'!P3,Списък!$A$1:$C$210,3,FALSE)</f>
        <v>математика</v>
      </c>
      <c r="C31" s="12" t="str">
        <f>VLOOKUP('Програма-кодове'!Q3,Списък!$A$1:$C$210,3,FALSE)</f>
        <v>математика</v>
      </c>
      <c r="D31" s="12" t="str">
        <f>VLOOKUP('Програма-кодове'!R3,Списък!$A$1:$C$210,3,FALSE)</f>
        <v>биология</v>
      </c>
      <c r="E31" s="12" t="str">
        <f>VLOOKUP('Програма-кодове'!S3,Списък!$A$1:$C$210,3,FALSE)</f>
        <v>информатика</v>
      </c>
      <c r="F31" s="12" t="str">
        <f>VLOOKUP('Програма-кодове'!T3,Списък!$A$1:$C$210,3,FALSE)</f>
        <v>английски език</v>
      </c>
      <c r="H31" s="12"/>
      <c r="I31" s="12"/>
      <c r="J31" s="12"/>
      <c r="K31" s="12"/>
    </row>
    <row r="32" spans="1:11" ht="11.3" customHeight="1">
      <c r="A32" s="13">
        <v>3</v>
      </c>
      <c r="B32" s="12" t="str">
        <f>VLOOKUP('Програма-кодове'!P4,Списък!$A$1:$C$210,3,FALSE)</f>
        <v>информатика</v>
      </c>
      <c r="C32" s="12" t="str">
        <f>VLOOKUP('Програма-кодове'!Q4,Списък!$A$1:$C$210,3,FALSE)</f>
        <v>философия</v>
      </c>
      <c r="D32" s="12" t="str">
        <f>VLOOKUP('Програма-кодове'!R4,Списък!$A$1:$C$210,3,FALSE)</f>
        <v>математика</v>
      </c>
      <c r="E32" s="12" t="str">
        <f>VLOOKUP('Програма-кодове'!S4,Списък!$A$1:$C$210,3,FALSE)</f>
        <v>биология</v>
      </c>
      <c r="F32" s="12" t="str">
        <f>VLOOKUP('Програма-кодове'!T4,Списък!$A$1:$C$210,3,FALSE)</f>
        <v>химия</v>
      </c>
      <c r="H32" s="12"/>
      <c r="I32" s="12"/>
      <c r="J32" s="12"/>
      <c r="K32" s="12"/>
    </row>
    <row r="33" spans="1:11" ht="11.3" customHeight="1">
      <c r="A33" s="13">
        <v>4</v>
      </c>
      <c r="B33" s="12" t="str">
        <f>VLOOKUP('Програма-кодове'!P5,Списък!$A$1:$C$210,3,FALSE)</f>
        <v>философия</v>
      </c>
      <c r="C33" s="12" t="str">
        <f>VLOOKUP('Програма-кодове'!Q5,Списък!$A$1:$C$210,3,FALSE)</f>
        <v>биология</v>
      </c>
      <c r="D33" s="12" t="str">
        <f>VLOOKUP('Програма-кодове'!R5,Списък!$A$1:$C$210,3,FALSE)</f>
        <v>математика</v>
      </c>
      <c r="E33" s="12" t="str">
        <f>VLOOKUP('Програма-кодове'!S5,Списък!$A$1:$C$210,3,FALSE)</f>
        <v>история</v>
      </c>
      <c r="F33" s="12" t="str">
        <f>VLOOKUP('Програма-кодове'!T5,Списък!$A$1:$C$210,3,FALSE)</f>
        <v>физкултура</v>
      </c>
      <c r="H33" s="12"/>
      <c r="I33" s="12"/>
      <c r="J33" s="12"/>
      <c r="K33" s="12"/>
    </row>
    <row r="34" spans="1:11" ht="11.3" customHeight="1">
      <c r="A34" s="13">
        <v>5</v>
      </c>
      <c r="B34" s="12" t="str">
        <f>VLOOKUP('Програма-кодове'!P6,Списък!$A$1:$C$210,3,FALSE)</f>
        <v>биология</v>
      </c>
      <c r="C34" s="12" t="str">
        <f>VLOOKUP('Програма-кодове'!Q6,Списък!$A$1:$C$210,3,FALSE)</f>
        <v>история</v>
      </c>
      <c r="D34" s="12" t="str">
        <f>VLOOKUP('Програма-кодове'!R6,Списък!$A$1:$C$210,3,FALSE)</f>
        <v>ИТ/ИТ</v>
      </c>
      <c r="E34" s="12" t="str">
        <f>VLOOKUP('Програма-кодове'!S6,Списък!$A$1:$C$210,3,FALSE)</f>
        <v>математика</v>
      </c>
      <c r="F34" s="12" t="str">
        <f>VLOOKUP('Програма-кодове'!T6,Списък!$A$1:$C$210,3,FALSE)</f>
        <v>философия</v>
      </c>
      <c r="H34" s="12"/>
      <c r="I34" s="12"/>
      <c r="J34" s="12"/>
      <c r="K34" s="12"/>
    </row>
    <row r="35" spans="1:11" ht="11.3" customHeight="1">
      <c r="A35" s="13">
        <v>6</v>
      </c>
      <c r="B35" s="12" t="str">
        <f>VLOOKUP('Програма-кодове'!P7,Списък!$A$1:$C$210,3,FALSE)</f>
        <v>физкултура</v>
      </c>
      <c r="C35" s="12" t="str">
        <f>VLOOKUP('Програма-кодове'!Q7,Списък!$A$1:$C$210,3,FALSE)</f>
        <v>ИТ/ИТ</v>
      </c>
      <c r="D35" s="12" t="str">
        <f>VLOOKUP('Програма-кодове'!R7,Списък!$A$1:$C$210,3,FALSE)</f>
        <v>бълг. език</v>
      </c>
      <c r="E35" s="12" t="str">
        <f>VLOOKUP('Програма-кодове'!S7,Списък!$A$1:$C$210,3,FALSE)</f>
        <v>математика</v>
      </c>
      <c r="F35" s="12" t="str">
        <f>VLOOKUP('Програма-кодове'!T7,Списък!$A$1:$C$210,3,FALSE)</f>
        <v>история</v>
      </c>
      <c r="H35" s="12"/>
      <c r="I35" s="12"/>
      <c r="J35" s="12"/>
      <c r="K35" s="12"/>
    </row>
    <row r="36" spans="1:11" ht="11.3" customHeight="1">
      <c r="A36" s="13">
        <v>7</v>
      </c>
      <c r="B36" s="12" t="str">
        <f>VLOOKUP('Програма-кодове'!P8,Списък!$A$1:$C$210,3,FALSE)</f>
        <v>история</v>
      </c>
      <c r="C36" s="12" t="str">
        <f>VLOOKUP('Програма-кодове'!Q8,Списък!$A$1:$C$210,3,FALSE)</f>
        <v>бълг. език</v>
      </c>
      <c r="D36" s="12" t="str">
        <f>VLOOKUP('Програма-кодове'!R8,Списък!$A$1:$C$210,3,FALSE)</f>
        <v>философия</v>
      </c>
      <c r="E36" s="12" t="str">
        <f>VLOOKUP('Програма-кодове'!S8,Списък!$A$1:$C$210,3,FALSE)</f>
        <v>физкултура</v>
      </c>
      <c r="F36" s="12" t="str">
        <f>VLOOKUP('Програма-кодове'!T8,Списък!$A$1:$C$210,3,FALSE)</f>
        <v>ИТ/ИТ</v>
      </c>
      <c r="H36" s="12"/>
      <c r="I36" s="12"/>
      <c r="J36" s="12"/>
      <c r="K36" s="12"/>
    </row>
    <row r="37" spans="1:11" ht="2.95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3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3" customHeight="1">
      <c r="A39" s="13">
        <v>1</v>
      </c>
      <c r="B39" s="12" t="str">
        <f>VLOOKUP('Програма-кодове'!U2,Списък!$A$1:$C$210,3,FALSE)</f>
        <v>биология</v>
      </c>
      <c r="C39" s="12" t="str">
        <f>VLOOKUP('Програма-кодове'!V2,Списък!$A$1:$C$210,3,FALSE)</f>
        <v>информатика</v>
      </c>
      <c r="D39" s="12" t="str">
        <f>VLOOKUP('Програма-кодове'!W2,Списък!$A$1:$C$210,3,FALSE)</f>
        <v>бълг. език</v>
      </c>
      <c r="E39" s="21" t="str">
        <f>VLOOKUP('Програма-кодове'!X2,Списък!$A$1:$C$210,3,FALSE)</f>
        <v>немски език</v>
      </c>
      <c r="F39" s="21" t="str">
        <f>VLOOKUP('Програма-кодове'!Y2,Списък!$A$1:$C$210,3,FALSE)</f>
        <v>химия</v>
      </c>
      <c r="H39" s="12"/>
      <c r="I39" s="12"/>
      <c r="J39" s="12"/>
      <c r="K39" s="12"/>
    </row>
    <row r="40" spans="1:11" ht="11.3" customHeight="1">
      <c r="A40" s="13">
        <v>2</v>
      </c>
      <c r="B40" s="12" t="str">
        <f>VLOOKUP('Програма-кодове'!U3,Списък!$A$1:$C$210,3,FALSE)</f>
        <v>география</v>
      </c>
      <c r="C40" s="12" t="str">
        <f>VLOOKUP('Програма-кодове'!V3,Списък!$A$1:$C$210,3,FALSE)</f>
        <v>физкултура</v>
      </c>
      <c r="D40" s="12" t="str">
        <f>VLOOKUP('Програма-кодове'!W3,Списък!$A$1:$C$210,3,FALSE)</f>
        <v>информатика</v>
      </c>
      <c r="E40" s="21" t="str">
        <f>VLOOKUP('Програма-кодове'!X3,Списък!$A$1:$C$210,3,FALSE)</f>
        <v>немски език</v>
      </c>
      <c r="F40" s="21" t="str">
        <f>VLOOKUP('Програма-кодове'!Y3,Списък!$A$1:$C$210,3,FALSE)</f>
        <v>бълг. език</v>
      </c>
      <c r="H40" s="12"/>
      <c r="I40" s="12"/>
      <c r="J40" s="12"/>
      <c r="K40" s="12"/>
    </row>
    <row r="41" spans="1:11" ht="11.3" customHeight="1">
      <c r="A41" s="13">
        <v>3</v>
      </c>
      <c r="B41" s="12" t="str">
        <f>VLOOKUP('Програма-кодове'!U4,Списък!$A$1:$C$210,3,FALSE)</f>
        <v>английски език</v>
      </c>
      <c r="C41" s="12" t="str">
        <f>VLOOKUP('Програма-кодове'!V4,Списък!$A$1:$C$210,3,FALSE)</f>
        <v>математика</v>
      </c>
      <c r="D41" s="12" t="str">
        <f>VLOOKUP('Програма-кодове'!W4,Списък!$A$1:$C$210,3,FALSE)</f>
        <v>физика</v>
      </c>
      <c r="E41" s="21" t="str">
        <f>VLOOKUP('Програма-кодове'!X4,Списък!$A$1:$C$210,3,FALSE)</f>
        <v>биология</v>
      </c>
      <c r="F41" s="21" t="str">
        <f>VLOOKUP('Програма-кодове'!Y4,Списък!$A$1:$C$210,3,FALSE)</f>
        <v>география</v>
      </c>
      <c r="H41" s="12"/>
      <c r="I41" s="12"/>
      <c r="J41" s="12"/>
      <c r="K41" s="12"/>
    </row>
    <row r="42" spans="1:11" ht="11.3" customHeight="1">
      <c r="A42" s="13">
        <v>4</v>
      </c>
      <c r="B42" s="12" t="str">
        <f>VLOOKUP('Програма-кодове'!U5,Списък!$A$1:$C$210,3,FALSE)</f>
        <v>английски език</v>
      </c>
      <c r="C42" s="12" t="str">
        <f>VLOOKUP('Програма-кодове'!V5,Списък!$A$1:$C$210,3,FALSE)</f>
        <v>математика</v>
      </c>
      <c r="D42" s="12" t="str">
        <f>VLOOKUP('Програма-кодове'!W5,Списък!$A$1:$C$210,3,FALSE)</f>
        <v>география</v>
      </c>
      <c r="E42" s="21" t="str">
        <f>VLOOKUP('Програма-кодове'!X5,Списък!$A$1:$C$210,3,FALSE)</f>
        <v>математика</v>
      </c>
      <c r="F42" s="21" t="str">
        <f>VLOOKUP('Програма-кодове'!Y5,Списък!$A$1:$C$210,3,FALSE)</f>
        <v>физика</v>
      </c>
      <c r="H42" s="12"/>
      <c r="I42" s="12"/>
      <c r="J42" s="12"/>
      <c r="K42" s="12"/>
    </row>
    <row r="43" spans="1:11" ht="11.3" customHeight="1">
      <c r="A43" s="13">
        <v>5</v>
      </c>
      <c r="B43" s="12" t="str">
        <f>VLOOKUP('Програма-кодове'!U6,Списък!$A$1:$C$210,3,FALSE)</f>
        <v>физика</v>
      </c>
      <c r="C43" s="12" t="str">
        <f>VLOOKUP('Програма-кодове'!V6,Списък!$A$1:$C$210,3,FALSE)</f>
        <v>география</v>
      </c>
      <c r="D43" s="12" t="str">
        <f>VLOOKUP('Програма-кодове'!W6,Списък!$A$1:$C$210,3,FALSE)</f>
        <v>математика</v>
      </c>
      <c r="E43" s="21" t="str">
        <f>VLOOKUP('Програма-кодове'!X6,Списък!$A$1:$C$210,3,FALSE)</f>
        <v>математика</v>
      </c>
      <c r="F43" s="21" t="str">
        <f>VLOOKUP('Програма-кодове'!Y6,Списък!$A$1:$C$210,3,FALSE)</f>
        <v>биология</v>
      </c>
      <c r="H43" s="12"/>
      <c r="I43" s="12"/>
      <c r="J43" s="12"/>
      <c r="K43" s="12"/>
    </row>
    <row r="44" spans="1:11" ht="11.3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биология</v>
      </c>
      <c r="D44" s="12" t="str">
        <f>VLOOKUP('Програма-кодове'!W7,Списък!$A$1:$C$210,3,FALSE)</f>
        <v>математика</v>
      </c>
      <c r="E44" s="21" t="str">
        <f>VLOOKUP('Програма-кодове'!X7,Списък!$A$1:$C$210,3,FALSE)</f>
        <v>география</v>
      </c>
      <c r="F44" s="21" t="str">
        <f>VLOOKUP('Програма-кодове'!Y7,Списък!$A$1:$C$210,3,FALSE)</f>
        <v>английски език</v>
      </c>
      <c r="H44" s="12"/>
      <c r="I44" s="12"/>
      <c r="J44" s="12"/>
      <c r="K44" s="12"/>
    </row>
    <row r="45" spans="1:11" ht="11.3" customHeight="1">
      <c r="A45" s="13">
        <v>7</v>
      </c>
      <c r="B45" s="12" t="str">
        <f>VLOOKUP('Програма-кодове'!U8,Списък!$A$1:$C$210,3,FALSE)</f>
        <v>математика</v>
      </c>
      <c r="C45" s="12" t="str">
        <f>VLOOKUP('Програма-кодове'!V8,Списък!$A$1:$C$210,3,FALSE)</f>
        <v>физика</v>
      </c>
      <c r="D45" s="12" t="str">
        <f>VLOOKUP('Програма-кодове'!W8,Списък!$A$1:$C$210,3,FALSE)</f>
        <v>физкултура</v>
      </c>
      <c r="E45" s="21" t="str">
        <f>VLOOKUP('Програма-кодове'!X8,Списък!$A$1:$C$210,3,FALSE)</f>
        <v>физика</v>
      </c>
      <c r="F45" s="21" t="str">
        <f>VLOOKUP('Програма-кодове'!Y8,Списък!$A$1:$C$210,3,FALSE)</f>
        <v>английски език</v>
      </c>
      <c r="H45" s="12"/>
      <c r="I45" s="12"/>
      <c r="J45" s="12"/>
      <c r="K45" s="12"/>
    </row>
    <row r="46" spans="1:11" ht="2.95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3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3" customHeight="1">
      <c r="A48" s="13">
        <v>1</v>
      </c>
      <c r="B48" s="12" t="str">
        <f>VLOOKUP('Програма-кодове'!Z2,Списък!$A$1:$C$210,3,FALSE)</f>
        <v>бълг. език</v>
      </c>
      <c r="C48" s="12" t="str">
        <f>VLOOKUP('Програма-кодове'!AA2,Списък!$A$1:$C$210,3,FALSE)</f>
        <v>математика</v>
      </c>
      <c r="D48" s="12" t="str">
        <f>VLOOKUP('Програма-кодове'!AB2,Списък!$A$1:$C$210,3,FALSE)</f>
        <v>история</v>
      </c>
      <c r="E48" s="12" t="str">
        <f>VLOOKUP('Програма-кодове'!AC2,Списък!$A$1:$C$210,3,FALSE)</f>
        <v>философия</v>
      </c>
      <c r="F48" s="12" t="str">
        <f>VLOOKUP('Програма-кодове'!AD2,Списък!$A$1:$C$210,3,FALSE)</f>
        <v>английски език</v>
      </c>
      <c r="H48" s="12"/>
      <c r="I48" s="12"/>
      <c r="J48" s="12"/>
      <c r="K48" s="12"/>
    </row>
    <row r="49" spans="1:11" ht="11.3" customHeight="1">
      <c r="A49" s="13">
        <v>2</v>
      </c>
      <c r="B49" s="12" t="str">
        <f>VLOOKUP('Програма-кодове'!Z3,Списък!$A$1:$C$210,3,FALSE)</f>
        <v>бълг. език</v>
      </c>
      <c r="C49" s="12" t="str">
        <f>VLOOKUP('Програма-кодове'!AA3,Списък!$A$1:$C$210,3,FALSE)</f>
        <v>философия</v>
      </c>
      <c r="D49" s="12" t="str">
        <f>VLOOKUP('Програма-кодове'!AB3,Списък!$A$1:$C$210,3,FALSE)</f>
        <v>математика</v>
      </c>
      <c r="E49" s="12" t="str">
        <f>VLOOKUP('Програма-кодове'!AC3,Списък!$A$1:$C$210,3,FALSE)</f>
        <v>английски език</v>
      </c>
      <c r="F49" s="12" t="str">
        <f>VLOOKUP('Програма-кодове'!AD3,Списък!$A$1:$C$210,3,FALSE)</f>
        <v>философия</v>
      </c>
      <c r="H49" s="12"/>
      <c r="I49" s="12"/>
      <c r="J49" s="12"/>
      <c r="K49" s="12"/>
    </row>
    <row r="50" spans="1:11" ht="11.3" customHeight="1">
      <c r="A50" s="13">
        <v>3</v>
      </c>
      <c r="B50" s="12" t="str">
        <f>VLOOKUP('Програма-кодове'!Z4,Списък!$A$1:$C$210,3,FALSE)</f>
        <v>английски език</v>
      </c>
      <c r="C50" s="12" t="str">
        <f>VLOOKUP('Програма-кодове'!AA4,Списък!$A$1:$C$210,3,FALSE)</f>
        <v>бълг. език</v>
      </c>
      <c r="D50" s="12" t="str">
        <f>VLOOKUP('Програма-кодове'!AB4,Списък!$A$1:$C$210,3,FALSE)</f>
        <v>философия</v>
      </c>
      <c r="E50" s="12" t="str">
        <f>VLOOKUP('Програма-кодове'!AC4,Списък!$A$1:$C$210,3,FALSE)</f>
        <v>математика</v>
      </c>
      <c r="F50" s="12" t="str">
        <f>VLOOKUP('Програма-кодове'!AD4,Списък!$A$1:$C$210,3,FALSE)</f>
        <v>химия</v>
      </c>
      <c r="H50" s="12"/>
      <c r="I50" s="12"/>
      <c r="J50" s="12"/>
      <c r="K50" s="12"/>
    </row>
    <row r="51" spans="1:11" ht="11.3" customHeight="1">
      <c r="A51" s="13">
        <v>4</v>
      </c>
      <c r="B51" s="12" t="str">
        <f>VLOOKUP('Програма-кодове'!Z5,Списък!$A$1:$C$210,3,FALSE)</f>
        <v>информатика</v>
      </c>
      <c r="C51" s="12" t="str">
        <f>VLOOKUP('Програма-кодове'!AA5,Списък!$A$1:$C$210,3,FALSE)</f>
        <v>бълг. език</v>
      </c>
      <c r="D51" s="12" t="str">
        <f>VLOOKUP('Програма-кодове'!AB5,Списък!$A$1:$C$210,3,FALSE)</f>
        <v>английски език</v>
      </c>
      <c r="E51" s="12" t="str">
        <f>VLOOKUP('Програма-кодове'!AC5,Списък!$A$1:$C$210,3,FALSE)</f>
        <v>математика</v>
      </c>
      <c r="F51" s="12" t="str">
        <f>VLOOKUP('Програма-кодове'!AD5,Списък!$A$1:$C$210,3,FALSE)</f>
        <v>история</v>
      </c>
      <c r="H51" s="12"/>
      <c r="I51" s="12"/>
      <c r="J51" s="12"/>
      <c r="K51" s="12"/>
    </row>
    <row r="52" spans="1:11" ht="11.3" customHeight="1">
      <c r="A52" s="13">
        <v>5</v>
      </c>
      <c r="B52" s="12" t="str">
        <f>VLOOKUP('Програма-кодове'!Z6,Списък!$A$1:$C$210,3,FALSE)</f>
        <v>история</v>
      </c>
      <c r="C52" s="12" t="str">
        <f>VLOOKUP('Програма-кодове'!AA6,Списък!$A$1:$C$210,3,FALSE)</f>
        <v>английски език</v>
      </c>
      <c r="D52" s="12" t="str">
        <f>VLOOKUP('Програма-кодове'!AB6,Списък!$A$1:$C$210,3,FALSE)</f>
        <v>информатика</v>
      </c>
      <c r="E52" s="12" t="str">
        <f>VLOOKUP('Програма-кодове'!AC6,Списък!$A$1:$C$210,3,FALSE)</f>
        <v>немски език</v>
      </c>
      <c r="F52" s="12" t="str">
        <f>VLOOKUP('Програма-кодове'!AD6,Списък!$A$1:$C$210,3,FALSE)</f>
        <v>физкултура</v>
      </c>
      <c r="H52" s="12"/>
      <c r="I52" s="12"/>
      <c r="J52" s="12"/>
      <c r="K52" s="12"/>
    </row>
    <row r="53" spans="1:11" ht="11.3" customHeight="1">
      <c r="A53" s="13">
        <v>6</v>
      </c>
      <c r="B53" s="12" t="str">
        <f>VLOOKUP('Програма-кодове'!Z7,Списък!$A$1:$C$210,3,FALSE)</f>
        <v>философия</v>
      </c>
      <c r="C53" s="12" t="str">
        <f>VLOOKUP('Програма-кодове'!AA7,Списък!$A$1:$C$210,3,FALSE)</f>
        <v>информатика</v>
      </c>
      <c r="D53" s="12" t="str">
        <f>VLOOKUP('Програма-кодове'!AB7,Списък!$A$1:$C$210,3,FALSE)</f>
        <v>бълг. език</v>
      </c>
      <c r="E53" s="12" t="str">
        <f>VLOOKUP('Програма-кодове'!AC7,Списък!$A$1:$C$210,3,FALSE)</f>
        <v>история</v>
      </c>
      <c r="F53" s="12" t="str">
        <f>VLOOKUP('Програма-кодове'!AD7,Списък!$A$1:$C$210,3,FALSE)</f>
        <v>биология</v>
      </c>
      <c r="H53" s="12"/>
      <c r="I53" s="12"/>
      <c r="J53" s="12"/>
      <c r="K53" s="12"/>
    </row>
    <row r="54" spans="1:11" ht="11.3" customHeight="1">
      <c r="A54" s="13">
        <v>7</v>
      </c>
      <c r="B54" s="12" t="str">
        <f>VLOOKUP('Програма-кодове'!Z8,Списък!$A$1:$C$210,3,FALSE)</f>
        <v>математика</v>
      </c>
      <c r="C54" s="12" t="str">
        <f>VLOOKUP('Програма-кодове'!AA8,Списък!$A$1:$C$210,3,FALSE)</f>
        <v>история</v>
      </c>
      <c r="D54" s="12" t="str">
        <f>VLOOKUP('Програма-кодове'!AB8,Списък!$A$1:$C$210,3,FALSE)</f>
        <v>бълг. език</v>
      </c>
      <c r="E54" s="12" t="str">
        <f>VLOOKUP('Програма-кодове'!AC8,Списък!$A$1:$C$210,3,FALSE)</f>
        <v>информатика</v>
      </c>
      <c r="F54" s="12" t="str">
        <f>VLOOKUP('Програма-кодове'!AD8,Списък!$A$1:$C$210,3,FALSE)</f>
        <v>биология</v>
      </c>
      <c r="H54" s="12"/>
      <c r="I54" s="12"/>
      <c r="J54" s="12"/>
      <c r="K54" s="12"/>
    </row>
    <row r="55" spans="1:11" ht="2.95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0.95" customHeight="1" thickBot="1">
      <c r="A56" s="398" t="s">
        <v>25</v>
      </c>
      <c r="B56" s="398"/>
      <c r="C56" s="398"/>
      <c r="D56" s="398"/>
      <c r="E56" s="398"/>
      <c r="F56" s="398"/>
      <c r="H56" s="12"/>
      <c r="I56" s="12"/>
      <c r="J56" s="12"/>
      <c r="K56" s="12"/>
    </row>
    <row r="57" spans="1:11" s="43" customFormat="1" ht="11.3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3" customHeight="1">
      <c r="A58" s="13">
        <v>1</v>
      </c>
      <c r="B58" s="12" t="str">
        <f>VLOOKUP('Програма-кодове'!C9,Списък!$A$1:$C$210,3,FALSE)</f>
        <v>бълг. език</v>
      </c>
      <c r="C58" s="12" t="str">
        <f>VLOOKUP('Програма-кодове'!D9,Списък!$A$1:$C$210,3,FALSE)</f>
        <v>английски език</v>
      </c>
      <c r="D58" s="12" t="str">
        <f>VLOOKUP('Програма-кодове'!E9,Списък!$A$1:$C$210,3,FALSE)</f>
        <v>химия</v>
      </c>
      <c r="H58" s="12"/>
      <c r="I58" s="12"/>
      <c r="J58" s="12"/>
      <c r="K58" s="12"/>
    </row>
    <row r="59" spans="1:11" ht="11.3" customHeight="1">
      <c r="A59" s="13">
        <v>2</v>
      </c>
      <c r="B59" s="12" t="str">
        <f>VLOOKUP('Програма-кодове'!C10,Списък!$A$1:$C$210,3,FALSE)</f>
        <v>физика</v>
      </c>
      <c r="C59" s="12" t="str">
        <f>VLOOKUP('Програма-кодове'!D10,Списък!$A$1:$C$210,3,FALSE)</f>
        <v>история</v>
      </c>
      <c r="D59" s="12" t="str">
        <f>VLOOKUP('Програма-кодове'!E10,Списък!$A$1:$C$210,3,FALSE)</f>
        <v>музика</v>
      </c>
      <c r="H59" s="12"/>
      <c r="I59" s="12"/>
      <c r="J59" s="12"/>
      <c r="K59" s="12"/>
    </row>
    <row r="60" spans="1:11" ht="11.3" customHeight="1">
      <c r="A60" s="13">
        <v>3</v>
      </c>
      <c r="B60" s="12" t="str">
        <f>VLOOKUP('Програма-кодове'!C11,Списък!$A$1:$C$210,3,FALSE)</f>
        <v>ИТ/ТП</v>
      </c>
      <c r="C60" s="12" t="str">
        <f>VLOOKUP('Програма-кодове'!D11,Списък!$A$1:$C$210,3,FALSE)</f>
        <v>математика</v>
      </c>
      <c r="D60" s="12" t="str">
        <f>VLOOKUP('Програма-кодове'!E11,Списък!$A$1:$C$210,3,FALSE)</f>
        <v>история</v>
      </c>
      <c r="H60" s="12"/>
      <c r="I60" s="12"/>
      <c r="J60" s="12"/>
      <c r="K60" s="12"/>
    </row>
    <row r="61" spans="1:11" ht="11.3" customHeight="1">
      <c r="A61" s="13">
        <v>4</v>
      </c>
      <c r="B61" s="12" t="str">
        <f>VLOOKUP('Програма-кодове'!C12,Списък!$A$1:$C$210,3,FALSE)</f>
        <v>музика</v>
      </c>
      <c r="C61" s="12" t="str">
        <f>VLOOKUP('Програма-кодове'!D12,Списък!$A$1:$C$210,3,FALSE)</f>
        <v>ИТ/ТП</v>
      </c>
      <c r="D61" s="12" t="str">
        <f>VLOOKUP('Програма-кодове'!E12,Списък!$A$1:$C$210,3,FALSE)</f>
        <v>математика</v>
      </c>
      <c r="H61" s="12"/>
      <c r="I61" s="12"/>
      <c r="J61" s="12"/>
      <c r="K61" s="12"/>
    </row>
    <row r="62" spans="1:11" ht="11.3" customHeight="1">
      <c r="A62" s="13">
        <v>5</v>
      </c>
      <c r="B62" s="12" t="str">
        <f>VLOOKUP('Програма-кодове'!C13,Списък!$A$1:$C$210,3,FALSE)</f>
        <v>информатика</v>
      </c>
      <c r="C62" s="12" t="str">
        <f>VLOOKUP('Програма-кодове'!D13,Списък!$A$1:$C$210,3,FALSE)</f>
        <v>физкултура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3" customHeight="1">
      <c r="A63" s="13">
        <v>6</v>
      </c>
      <c r="B63" s="12" t="str">
        <f>VLOOKUP('Програма-кодове'!C14,Списък!$A$1:$C$210,3,FALSE)</f>
        <v>математика</v>
      </c>
      <c r="C63" s="12" t="str">
        <f>VLOOKUP('Програма-кодове'!D14,Списък!$A$1:$C$210,3,FALSE)</f>
        <v>ИТ/ИТ</v>
      </c>
      <c r="D63" s="12" t="str">
        <f>VLOOKUP('Програма-кодове'!E14,Списък!$A$1:$C$210,3,FALSE)</f>
        <v>английски език</v>
      </c>
      <c r="H63" s="12"/>
      <c r="I63" s="12"/>
      <c r="J63" s="12"/>
      <c r="K63" s="12"/>
    </row>
    <row r="64" spans="1:11" ht="11.3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2.95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3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3" customHeight="1">
      <c r="A67" s="13">
        <v>1</v>
      </c>
      <c r="B67" s="12" t="str">
        <f>VLOOKUP('Програма-кодове'!F9,Списък!$A$1:$C$210,3,FALSE)</f>
        <v>информатика</v>
      </c>
      <c r="C67" s="12" t="str">
        <f>VLOOKUP('Програма-кодове'!G9,Списък!$A$1:$C$210,3,FALSE)</f>
        <v>английски език</v>
      </c>
      <c r="D67" s="12" t="str">
        <f>VLOOKUP('Програма-кодове'!H9,Списък!$A$1:$C$210,3,FALSE)</f>
        <v>математика</v>
      </c>
      <c r="E67" s="12" t="str">
        <f>VLOOKUP('Програма-кодове'!I9,Списък!$A$1:$C$210,3,FALSE)</f>
        <v>физкултура</v>
      </c>
      <c r="F67" s="12" t="str">
        <f>VLOOKUP('Програма-кодове'!J9,Списък!$A$1:$C$210,3,FALSE)</f>
        <v>английски език</v>
      </c>
      <c r="H67" s="12"/>
      <c r="I67" s="12"/>
      <c r="J67" s="12"/>
      <c r="K67" s="12"/>
    </row>
    <row r="68" spans="1:11" ht="11.3" customHeight="1">
      <c r="A68" s="13">
        <v>2</v>
      </c>
      <c r="B68" s="12" t="str">
        <f>VLOOKUP('Програма-кодове'!F10,Списък!$A$1:$C$210,3,FALSE)</f>
        <v>бълг. език</v>
      </c>
      <c r="C68" s="12" t="str">
        <f>VLOOKUP('Програма-кодове'!G10,Списък!$A$1:$C$210,3,FALSE)</f>
        <v>английски език</v>
      </c>
      <c r="D68" s="12" t="str">
        <f>VLOOKUP('Програма-кодове'!H10,Списък!$A$1:$C$210,3,FALSE)</f>
        <v>физкултура</v>
      </c>
      <c r="E68" s="12" t="str">
        <f>VLOOKUP('Програма-кодове'!I10,Списък!$A$1:$C$210,3,FALSE)</f>
        <v>информатика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3" customHeight="1">
      <c r="A69" s="13">
        <v>3</v>
      </c>
      <c r="B69" s="12" t="str">
        <f>VLOOKUP('Програма-кодове'!F11,Списък!$A$1:$C$210,3,FALSE)</f>
        <v>математика</v>
      </c>
      <c r="C69" s="12" t="str">
        <f>VLOOKUP('Програма-кодове'!G11,Списък!$A$1:$C$210,3,FALSE)</f>
        <v>английски език</v>
      </c>
      <c r="D69" s="12" t="str">
        <f>VLOOKUP('Програма-кодове'!H11,Списък!$A$1:$C$210,3,FALSE)</f>
        <v>информатика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английски език</v>
      </c>
      <c r="H69" s="12"/>
      <c r="I69" s="12"/>
      <c r="J69" s="12"/>
      <c r="K69" s="12"/>
    </row>
    <row r="70" spans="1:11" ht="11.3" customHeight="1">
      <c r="A70" s="13">
        <v>4</v>
      </c>
      <c r="B70" s="12" t="str">
        <f>VLOOKUP('Програма-кодове'!F12,Списък!$A$1:$C$210,3,FALSE)</f>
        <v>английски език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английски език</v>
      </c>
      <c r="E70" s="12" t="str">
        <f>VLOOKUP('Програма-кодове'!I12,Списък!$A$1:$C$210,3,FALSE)</f>
        <v>английски език</v>
      </c>
      <c r="F70" s="12" t="str">
        <f>VLOOKUP('Програма-кодове'!J12,Списък!$A$1:$C$210,3,FALSE)</f>
        <v>физкултура</v>
      </c>
      <c r="H70" s="12"/>
      <c r="I70" s="12"/>
      <c r="J70" s="12"/>
      <c r="K70" s="12"/>
    </row>
    <row r="71" spans="1:11" ht="11.3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математика</v>
      </c>
      <c r="D71" s="12" t="str">
        <f>VLOOKUP('Програма-кодове'!H13,Списък!$A$1:$C$210,3,FALSE)</f>
        <v>английски език</v>
      </c>
      <c r="E71" s="12" t="str">
        <f>VLOOKUP('Програма-кодове'!I13,Списък!$A$1:$C$210,3,FALSE)</f>
        <v>английски език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3" customHeight="1">
      <c r="A72" s="13">
        <v>6</v>
      </c>
      <c r="B72" s="12" t="str">
        <f>VLOOKUP('Програма-кодове'!F14,Списък!$A$1:$C$210,3,FALSE)</f>
        <v>английски език</v>
      </c>
      <c r="C72" s="12" t="str">
        <f>VLOOKUP('Програма-кодове'!G14,Списък!$A$1:$C$210,3,FALSE)</f>
        <v>информатика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математика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3" customHeight="1">
      <c r="A73" s="13">
        <v>7</v>
      </c>
      <c r="B73" s="12" t="str">
        <f>VLOOKUP('Програма-кодове'!F15,Списък!$A$1:$C$210,3,FALSE)</f>
        <v>английски език</v>
      </c>
      <c r="C73" s="12" t="str">
        <f>VLOOKUP('Програма-кодове'!G15,Списък!$A$1:$C$210,3,FALSE)</f>
        <v>рисуване</v>
      </c>
      <c r="D73" s="12" t="str">
        <f>VLOOKUP('Програма-кодове'!H15,Списък!$A$1:$C$210,3,FALSE)</f>
        <v>английски език</v>
      </c>
      <c r="E73" s="12" t="str">
        <f>VLOOKUP('Програма-кодове'!I15,Списък!$A$1:$C$210,3,FALSE)</f>
        <v>английски език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3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2.95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3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3" customHeight="1">
      <c r="A77" s="13">
        <v>1</v>
      </c>
      <c r="B77" s="12" t="str">
        <f>VLOOKUP('Програма-кодове'!K9,Списък!$A$1:$C$210,3,FALSE)</f>
        <v>ІІ - ри чужд език</v>
      </c>
      <c r="C77" s="21" t="str">
        <f>VLOOKUP('Програма-кодове'!L9,Списък!$A$1:$C$210,3,FALSE)</f>
        <v>английски език</v>
      </c>
      <c r="D77" s="12" t="str">
        <f>VLOOKUP('Програма-кодове'!M9,Списък!$A$1:$C$210,3,FALSE)</f>
        <v>ІІ - ри чужд език</v>
      </c>
      <c r="E77" s="12" t="str">
        <f>VLOOKUP('Програма-кодове'!N9,Списък!$A$1:$C$210,3,FALSE)</f>
        <v>биология</v>
      </c>
      <c r="F77" s="12" t="str">
        <f>VLOOKUP('Програма-кодове'!O9,Списък!$A$1:$C$210,3,FALSE)</f>
        <v>философия</v>
      </c>
      <c r="H77" s="12"/>
      <c r="I77" s="12"/>
      <c r="J77" s="12"/>
      <c r="K77" s="12"/>
    </row>
    <row r="78" spans="1:11" ht="11.3" customHeight="1">
      <c r="A78" s="13">
        <v>2</v>
      </c>
      <c r="B78" s="12" t="str">
        <f>VLOOKUP('Програма-кодове'!K10,Списък!$A$1:$C$210,3,FALSE)</f>
        <v>ІІ - ри чужд език</v>
      </c>
      <c r="C78" s="21" t="str">
        <f>VLOOKUP('Програма-кодове'!L10,Списък!$A$1:$C$210,3,FALSE)</f>
        <v>английски език</v>
      </c>
      <c r="D78" s="12" t="str">
        <f>VLOOKUP('Програма-кодове'!M10,Списък!$A$1:$C$210,3,FALSE)</f>
        <v>ІІ - ри чужд език</v>
      </c>
      <c r="E78" s="12" t="str">
        <f>VLOOKUP('Програма-кодове'!N10,Списък!$A$1:$C$210,3,FALSE)</f>
        <v>химия</v>
      </c>
      <c r="F78" s="12" t="str">
        <f>VLOOKUP('Програма-кодове'!O10,Списък!$A$1:$C$210,3,FALSE)</f>
        <v>биология</v>
      </c>
      <c r="H78" s="12"/>
      <c r="I78" s="12"/>
      <c r="J78" s="12"/>
      <c r="K78" s="12"/>
    </row>
    <row r="79" spans="1:11" ht="11.3" customHeight="1">
      <c r="A79" s="13">
        <v>3</v>
      </c>
      <c r="B79" s="12" t="str">
        <f>VLOOKUP('Програма-кодове'!K11,Списък!$A$1:$C$210,3,FALSE)</f>
        <v>бълг. език</v>
      </c>
      <c r="C79" s="21" t="str">
        <f>VLOOKUP('Програма-кодове'!L11,Списък!$A$1:$C$210,3,FALSE)</f>
        <v>ІІ - ри чужд език</v>
      </c>
      <c r="D79" s="12" t="str">
        <f>VLOOKUP('Програма-кодове'!M11,Списък!$A$1:$C$210,3,FALSE)</f>
        <v>биология</v>
      </c>
      <c r="E79" s="12" t="str">
        <f>VLOOKUP('Програма-кодове'!N11,Списък!$A$1:$C$210,3,FALSE)</f>
        <v>ІІ - ри чужд език</v>
      </c>
      <c r="F79" s="12" t="str">
        <f>VLOOKUP('Програма-кодове'!O11,Списък!$A$1:$C$210,3,FALSE)</f>
        <v>история</v>
      </c>
      <c r="H79" s="12"/>
      <c r="I79" s="12"/>
      <c r="J79" s="12"/>
      <c r="K79" s="12"/>
    </row>
    <row r="80" spans="1:11" ht="11.3" customHeight="1">
      <c r="A80" s="13">
        <v>4</v>
      </c>
      <c r="B80" s="12" t="str">
        <f>VLOOKUP('Програма-кодове'!K12,Списък!$A$1:$C$210,3,FALSE)</f>
        <v>бълг. език</v>
      </c>
      <c r="C80" s="21" t="str">
        <f>VLOOKUP('Програма-кодове'!L12,Списък!$A$1:$C$210,3,FALSE)</f>
        <v>ІІ - ри чужд език</v>
      </c>
      <c r="D80" s="12" t="str">
        <f>VLOOKUP('Програма-кодове'!M12,Списък!$A$1:$C$210,3,FALSE)</f>
        <v>английски език</v>
      </c>
      <c r="E80" s="12" t="str">
        <f>VLOOKUP('Програма-кодове'!N12,Списък!$A$1:$C$210,3,FALSE)</f>
        <v>ІІ - ри чужд език</v>
      </c>
      <c r="F80" s="12" t="str">
        <f>VLOOKUP('Програма-кодове'!O12,Списък!$A$1:$C$210,3,FALSE)</f>
        <v>физкултура</v>
      </c>
      <c r="H80" s="12"/>
      <c r="I80" s="12"/>
      <c r="J80" s="12"/>
      <c r="K80" s="12"/>
    </row>
    <row r="81" spans="1:11" ht="11.3" customHeight="1">
      <c r="A81" s="13">
        <v>5</v>
      </c>
      <c r="B81" s="12" t="str">
        <f>VLOOKUP('Програма-кодове'!K13,Списък!$A$1:$C$210,3,FALSE)</f>
        <v>химия</v>
      </c>
      <c r="C81" s="21" t="str">
        <f>VLOOKUP('Програма-кодове'!L13,Списък!$A$1:$C$210,3,FALSE)</f>
        <v>история</v>
      </c>
      <c r="D81" s="12" t="str">
        <f>VLOOKUP('Програма-кодове'!M13,Списък!$A$1:$C$210,3,FALSE)</f>
        <v>английски език</v>
      </c>
      <c r="E81" s="12" t="str">
        <f>VLOOKUP('Програма-кодове'!N13,Списък!$A$1:$C$210,3,FALSE)</f>
        <v>история</v>
      </c>
      <c r="F81" s="12" t="str">
        <f>VLOOKUP('Програма-кодове'!O13,Списък!$A$1:$C$210,3,FALSE)</f>
        <v>химия</v>
      </c>
      <c r="H81" s="12"/>
      <c r="I81" s="12"/>
      <c r="J81" s="12"/>
      <c r="K81" s="12"/>
    </row>
    <row r="82" spans="1:11" ht="11.3" customHeight="1">
      <c r="A82" s="13">
        <v>6</v>
      </c>
      <c r="B82" s="12" t="str">
        <f>VLOOKUP('Програма-кодове'!K14,Списък!$A$1:$C$210,3,FALSE)</f>
        <v>история</v>
      </c>
      <c r="C82" s="21" t="str">
        <f>VLOOKUP('Програма-кодове'!L14,Списък!$A$1:$C$210,3,FALSE)</f>
        <v>химия</v>
      </c>
      <c r="D82" s="12" t="str">
        <f>VLOOKUP('Програма-кодове'!M14,Списък!$A$1:$C$210,3,FALSE)</f>
        <v>история</v>
      </c>
      <c r="E82" s="12" t="str">
        <f>VLOOKUP('Програма-кодове'!N14,Списък!$A$1:$C$210,3,FALSE)</f>
        <v>бълг. език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3" customHeight="1">
      <c r="A83" s="13">
        <v>7</v>
      </c>
      <c r="B83" s="12" t="str">
        <f>VLOOKUP('Програма-кодове'!K15,Списък!$A$1:$C$210,3,FALSE)</f>
        <v>информатика</v>
      </c>
      <c r="C83" s="21" t="str">
        <f>VLOOKUP('Програма-кодове'!L15,Списък!$A$1:$C$210,3,FALSE)</f>
        <v>биология</v>
      </c>
      <c r="D83" s="12" t="str">
        <f>VLOOKUP('Програма-кодове'!M15,Списък!$A$1:$C$210,3,FALSE)</f>
        <v>физкултура</v>
      </c>
      <c r="E83" s="12" t="str">
        <f>VLOOKUP('Програма-кодове'!N15,Списък!$A$1:$C$210,3,FALSE)</f>
        <v>бълг. език</v>
      </c>
      <c r="F83" s="12" t="str">
        <f>VLOOKUP('Програма-кодове'!O15,Списък!$A$1:$C$210,3,FALSE)</f>
        <v>английски език</v>
      </c>
      <c r="H83" s="12"/>
      <c r="I83" s="12"/>
      <c r="J83" s="12"/>
      <c r="K83" s="12"/>
    </row>
    <row r="84" spans="1:11" ht="11.3" customHeight="1">
      <c r="C84" s="21"/>
      <c r="H84" s="12"/>
      <c r="I84" s="12"/>
      <c r="J84" s="12"/>
      <c r="K84" s="12"/>
    </row>
    <row r="85" spans="1:11" ht="2.95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3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3" customHeight="1">
      <c r="A87" s="13">
        <v>1</v>
      </c>
      <c r="B87" s="12" t="str">
        <f>VLOOKUP('Програма-кодове'!P9,Списък!$A$1:$C$209,3,FALSE)</f>
        <v>физика</v>
      </c>
      <c r="C87" s="21" t="str">
        <f>VLOOKUP('Програма-кодове'!Q9,Списък!$A$1:$C$209,3,FALSE)</f>
        <v>химия</v>
      </c>
      <c r="D87" s="12" t="str">
        <f>VLOOKUP('Програма-кодове'!R9,Списък!$A$1:$C$209,3,FALSE)</f>
        <v>бълг. език</v>
      </c>
      <c r="E87" s="12" t="str">
        <f>VLOOKUP('Програма-кодове'!S9,Списък!$A$1:$C$209,3,FALSE)</f>
        <v>математика</v>
      </c>
      <c r="F87" s="12" t="str">
        <f>VLOOKUP('Програма-кодове'!T9,Списък!$A$1:$C$209,3,FALSE)</f>
        <v>история</v>
      </c>
      <c r="H87" s="12"/>
      <c r="I87" s="12"/>
      <c r="J87" s="12"/>
      <c r="K87" s="12"/>
    </row>
    <row r="88" spans="1:11" ht="11.3" customHeight="1">
      <c r="A88" s="13">
        <v>2</v>
      </c>
      <c r="B88" s="12" t="str">
        <f>VLOOKUP('Програма-кодове'!P10,Списък!$A$1:$C$209,3,FALSE)</f>
        <v>математика</v>
      </c>
      <c r="C88" s="21" t="str">
        <f>VLOOKUP('Програма-кодове'!Q10,Списък!$A$1:$C$209,3,FALSE)</f>
        <v>география</v>
      </c>
      <c r="D88" s="12" t="str">
        <f>VLOOKUP('Програма-кодове'!R10,Списък!$A$1:$C$209,3,FALSE)</f>
        <v>бълг. език</v>
      </c>
      <c r="E88" s="12" t="str">
        <f>VLOOKUP('Програма-кодове'!S10,Списък!$A$1:$C$209,3,FALSE)</f>
        <v>химия</v>
      </c>
      <c r="F88" s="12" t="str">
        <f>VLOOKUP('Програма-кодове'!T10,Списък!$A$1:$C$209,3,FALSE)</f>
        <v>физика</v>
      </c>
      <c r="H88" s="12"/>
      <c r="I88" s="12"/>
      <c r="J88" s="12"/>
      <c r="K88" s="12"/>
    </row>
    <row r="89" spans="1:11" ht="11.3" customHeight="1">
      <c r="A89" s="13">
        <v>3</v>
      </c>
      <c r="B89" s="12" t="str">
        <f>VLOOKUP('Програма-кодове'!P11,Списък!$A$1:$C$209,3,FALSE)</f>
        <v>химия</v>
      </c>
      <c r="C89" s="21" t="str">
        <f>VLOOKUP('Програма-кодове'!Q11,Списък!$A$1:$C$209,3,FALSE)</f>
        <v>физкултура</v>
      </c>
      <c r="D89" s="12" t="str">
        <f>VLOOKUP('Програма-кодове'!R11,Списък!$A$1:$C$209,3,FALSE)</f>
        <v>физика</v>
      </c>
      <c r="E89" s="12" t="str">
        <f>VLOOKUP('Програма-кодове'!S11,Списък!$A$1:$C$209,3,FALSE)</f>
        <v>английски език</v>
      </c>
      <c r="F89" s="12" t="str">
        <f>VLOOKUP('Програма-кодове'!T11,Списък!$A$1:$C$209,3,FALSE)</f>
        <v>математика</v>
      </c>
      <c r="H89" s="12"/>
      <c r="I89" s="12"/>
      <c r="J89" s="12"/>
      <c r="K89" s="12"/>
    </row>
    <row r="90" spans="1:11" ht="11.3" customHeight="1">
      <c r="A90" s="13">
        <v>4</v>
      </c>
      <c r="B90" s="12" t="str">
        <f>VLOOKUP('Програма-кодове'!P12,Списък!$A$1:$C$209,3,FALSE)</f>
        <v>география</v>
      </c>
      <c r="C90" s="21" t="str">
        <f>VLOOKUP('Програма-кодове'!Q12,Списък!$A$1:$C$209,3,FALSE)</f>
        <v>бълг. език</v>
      </c>
      <c r="D90" s="12" t="str">
        <f>VLOOKUP('Програма-кодове'!R12,Списък!$A$1:$C$209,3,FALSE)</f>
        <v>химия</v>
      </c>
      <c r="E90" s="12" t="str">
        <f>VLOOKUP('Програма-кодове'!S12,Списък!$A$1:$C$209,3,FALSE)</f>
        <v>английски език</v>
      </c>
      <c r="F90" s="12" t="str">
        <f>VLOOKUP('Програма-кодове'!T12,Списък!$A$1:$C$209,3,FALSE)</f>
        <v>химия</v>
      </c>
      <c r="H90" s="12"/>
      <c r="I90" s="12"/>
      <c r="J90" s="12"/>
      <c r="K90" s="12"/>
    </row>
    <row r="91" spans="1:11" ht="11.3" customHeight="1">
      <c r="A91" s="13">
        <v>5</v>
      </c>
      <c r="B91" s="12" t="str">
        <f>VLOOKUP('Програма-кодове'!P13,Списък!$A$1:$C$209,3,FALSE)</f>
        <v>музика</v>
      </c>
      <c r="C91" s="21" t="str">
        <f>VLOOKUP('Програма-кодове'!Q13,Списък!$A$1:$C$209,3,FALSE)</f>
        <v>бълг. език</v>
      </c>
      <c r="D91" s="12" t="str">
        <f>VLOOKUP('Програма-кодове'!R13,Списък!$A$1:$C$209,3,FALSE)</f>
        <v>английски език</v>
      </c>
      <c r="E91" s="12" t="str">
        <f>VLOOKUP('Програма-кодове'!S13,Списък!$A$1:$C$209,3,FALSE)</f>
        <v>физика</v>
      </c>
      <c r="F91" s="12" t="str">
        <f>VLOOKUP('Програма-кодове'!T13,Списък!$A$1:$C$209,3,FALSE)</f>
        <v>география</v>
      </c>
      <c r="H91" s="12"/>
      <c r="I91" s="12"/>
      <c r="J91" s="12"/>
      <c r="K91" s="12"/>
    </row>
    <row r="92" spans="1:11" ht="11.3" customHeight="1">
      <c r="A92" s="13">
        <v>6</v>
      </c>
      <c r="B92" s="12" t="str">
        <f>VLOOKUP('Програма-кодове'!P14,Списък!$A$1:$C$209,3,FALSE)</f>
        <v>бълг. език</v>
      </c>
      <c r="C92" s="21" t="str">
        <f>VLOOKUP('Програма-кодове'!Q14,Списък!$A$1:$C$209,3,FALSE)</f>
        <v>физика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география</v>
      </c>
      <c r="F92" s="12" t="str">
        <f>VLOOKUP('Програма-кодове'!T14,Списък!$A$1:$C$209,3,FALSE)</f>
        <v>музика</v>
      </c>
      <c r="H92" s="12"/>
      <c r="I92" s="12"/>
      <c r="J92" s="12"/>
      <c r="K92" s="12"/>
    </row>
    <row r="93" spans="1:11" ht="11.3" customHeight="1">
      <c r="A93" s="13">
        <v>7</v>
      </c>
      <c r="B93" s="12" t="str">
        <f>VLOOKUP('Програма-кодове'!P15,Списък!$A$1:$C$209,3,FALSE)</f>
        <v>бълг. език</v>
      </c>
      <c r="C93" s="21" t="str">
        <f>VLOOKUP('Програма-кодове'!Q15,Списък!$A$1:$C$209,3,FALSE)</f>
        <v>математика</v>
      </c>
      <c r="D93" s="12" t="str">
        <f>VLOOKUP('Програма-кодове'!R15,Списък!$A$1:$C$209,3,FALSE)</f>
        <v>география</v>
      </c>
      <c r="E93" s="12" t="str">
        <f>VLOOKUP('Програма-кодове'!S15,Списък!$A$1:$C$209,3,FALSE)</f>
        <v>музика</v>
      </c>
      <c r="F93" s="12" t="str">
        <f>VLOOKUP('Програма-кодове'!T15,Списък!$A$1:$C$209,3,FALSE)</f>
        <v>биология</v>
      </c>
      <c r="H93" s="12"/>
      <c r="I93" s="12"/>
      <c r="J93" s="12"/>
      <c r="K93" s="12"/>
    </row>
    <row r="94" spans="1:11" ht="2.95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3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3" customHeight="1">
      <c r="A96" s="13">
        <v>1</v>
      </c>
      <c r="B96" s="21" t="str">
        <f>VLOOKUP('Програма-кодове'!U9,Списък!$A$1:$C$209,3,FALSE)</f>
        <v>история</v>
      </c>
      <c r="C96" s="12" t="str">
        <f>VLOOKUP('Програма-кодове'!V9,Списък!$A$1:$C$209,3,FALSE)</f>
        <v>математика</v>
      </c>
      <c r="D96" s="21" t="str">
        <f>VLOOKUP('Програма-кодове'!W9,Списък!$A$1:$C$209,3,FALSE)</f>
        <v>информатика</v>
      </c>
      <c r="E96" s="12" t="str">
        <f>VLOOKUP('Програма-кодове'!X9,Списък!$A$1:$C$209,3,FALSE)</f>
        <v>бълг. език</v>
      </c>
      <c r="F96" s="12" t="str">
        <f>VLOOKUP('Програма-кодове'!Y9,Списък!$A$1:$C$209,3,FALSE)</f>
        <v>физкултура</v>
      </c>
      <c r="H96" s="12"/>
      <c r="I96" s="12"/>
      <c r="J96" s="12"/>
      <c r="K96" s="12"/>
    </row>
    <row r="97" spans="1:11" ht="11.3" customHeight="1">
      <c r="A97" s="13">
        <v>2</v>
      </c>
      <c r="B97" s="21" t="str">
        <f>VLOOKUP('Програма-кодове'!U10,Списък!$A$1:$C$209,3,FALSE)</f>
        <v>бълг. език</v>
      </c>
      <c r="C97" s="12" t="str">
        <f>VLOOKUP('Програма-кодове'!V10,Списък!$A$1:$C$209,3,FALSE)</f>
        <v>химия</v>
      </c>
      <c r="D97" s="21" t="str">
        <f>VLOOKUP('Програма-кодове'!W10,Списък!$A$1:$C$209,3,FALSE)</f>
        <v>математика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история</v>
      </c>
      <c r="H97" s="12"/>
      <c r="I97" s="12"/>
      <c r="J97" s="12"/>
      <c r="K97" s="12"/>
    </row>
    <row r="98" spans="1:11" ht="11.3" customHeight="1">
      <c r="A98" s="13">
        <v>3</v>
      </c>
      <c r="B98" s="21" t="str">
        <f>VLOOKUP('Програма-кодове'!U11,Списък!$A$1:$C$209,3,FALSE)</f>
        <v>химия</v>
      </c>
      <c r="C98" s="12" t="str">
        <f>VLOOKUP('Програма-кодове'!V11,Списък!$A$1:$C$209,3,FALSE)</f>
        <v>информатика</v>
      </c>
      <c r="D98" s="21" t="str">
        <f>VLOOKUP('Програма-кодове'!W11,Списък!$A$1:$C$209,3,FALSE)</f>
        <v>химия</v>
      </c>
      <c r="E98" s="12" t="str">
        <f>VLOOKUP('Програма-кодове'!X11,Списък!$A$1:$C$209,3,FALSE)</f>
        <v>немски език</v>
      </c>
      <c r="F98" s="12" t="str">
        <f>VLOOKUP('Програма-кодове'!Y11,Списък!$A$1:$C$209,3,FALSE)</f>
        <v>философия</v>
      </c>
      <c r="H98" s="12"/>
      <c r="I98" s="12"/>
      <c r="J98" s="12"/>
      <c r="K98" s="12"/>
    </row>
    <row r="99" spans="1:11" ht="11.3" customHeight="1">
      <c r="A99" s="13">
        <v>4</v>
      </c>
      <c r="B99" s="21" t="str">
        <f>VLOOKUP('Програма-кодове'!U12,Списък!$A$1:$C$209,3,FALSE)</f>
        <v>информатика</v>
      </c>
      <c r="C99" s="12" t="str">
        <f>VLOOKUP('Програма-кодове'!V12,Списък!$A$1:$C$209,3,FALSE)</f>
        <v>бълг. език</v>
      </c>
      <c r="D99" s="21" t="str">
        <f>VLOOKUP('Програма-кодове'!W12,Списък!$A$1:$C$209,3,FALSE)</f>
        <v>философия</v>
      </c>
      <c r="E99" s="12" t="str">
        <f>VLOOKUP('Програма-кодове'!X12,Списък!$A$1:$C$209,3,FALSE)</f>
        <v>английски език</v>
      </c>
      <c r="F99" s="12" t="str">
        <f>VLOOKUP('Програма-кодове'!Y12,Списък!$A$1:$C$209,3,FALSE)</f>
        <v>биология</v>
      </c>
      <c r="H99" s="12"/>
      <c r="I99" s="12"/>
      <c r="J99" s="12"/>
      <c r="K99" s="12"/>
    </row>
    <row r="100" spans="1:11" ht="11.3" customHeight="1">
      <c r="A100" s="13">
        <v>5</v>
      </c>
      <c r="B100" s="21" t="str">
        <f>VLOOKUP('Програма-кодове'!U13,Списък!$A$1:$C$209,3,FALSE)</f>
        <v>математика</v>
      </c>
      <c r="C100" s="12" t="str">
        <f>VLOOKUP('Програма-кодове'!V13,Списък!$A$1:$C$209,3,FALSE)</f>
        <v>философия</v>
      </c>
      <c r="D100" s="21" t="str">
        <f>VLOOKUP('Програма-кодове'!W13,Списък!$A$1:$C$209,3,FALSE)</f>
        <v>история</v>
      </c>
      <c r="E100" s="12" t="str">
        <f>VLOOKUP('Програма-кодове'!X13,Списък!$A$1:$C$209,3,FALSE)</f>
        <v>английски език</v>
      </c>
      <c r="F100" s="12" t="str">
        <f>VLOOKUP('Програма-кодове'!Y13,Списък!$A$1:$C$209,3,FALSE)</f>
        <v>биология</v>
      </c>
      <c r="H100" s="12"/>
      <c r="I100" s="12"/>
      <c r="J100" s="12"/>
      <c r="K100" s="12"/>
    </row>
    <row r="101" spans="1:11" ht="11.3" customHeight="1">
      <c r="A101" s="13">
        <v>6</v>
      </c>
      <c r="B101" s="21" t="str">
        <f>VLOOKUP('Програма-кодове'!U14,Списък!$A$1:$C$209,3,FALSE)</f>
        <v>физкултура</v>
      </c>
      <c r="C101" s="12" t="str">
        <f>VLOOKUP('Програма-кодове'!V14,Списък!$A$1:$C$209,3,FALSE)</f>
        <v>английски език</v>
      </c>
      <c r="D101" s="21" t="str">
        <f>VLOOKUP('Програма-кодове'!W14,Списък!$A$1:$C$209,3,FALSE)</f>
        <v>английски език</v>
      </c>
      <c r="E101" s="12" t="str">
        <f>VLOOKUP('Програма-кодове'!X14,Списък!$A$1:$C$209,3,FALSE)</f>
        <v>философия</v>
      </c>
      <c r="F101" s="12" t="str">
        <f>VLOOKUP('Програма-кодове'!Y14,Списък!$A$1:$C$209,3,FALSE)</f>
        <v>химия</v>
      </c>
      <c r="H101" s="12"/>
      <c r="I101" s="12"/>
      <c r="J101" s="12"/>
      <c r="K101" s="12"/>
    </row>
    <row r="102" spans="1:11" ht="11.3" customHeight="1">
      <c r="A102" s="13">
        <v>7</v>
      </c>
      <c r="B102" s="21" t="str">
        <f>VLOOKUP('Програма-кодове'!U15,Списък!$A$1:$C$209,3,FALSE)</f>
        <v>философия</v>
      </c>
      <c r="C102" s="12" t="str">
        <f>VLOOKUP('Програма-кодове'!V15,Списък!$A$1:$C$209,3,FALSE)</f>
        <v>английски език</v>
      </c>
      <c r="D102" s="21" t="str">
        <f>VLOOKUP('Програма-кодове'!W15,Списък!$A$1:$C$209,3,FALSE)</f>
        <v>английски език</v>
      </c>
      <c r="E102" s="12" t="str">
        <f>VLOOKUP('Програма-кодове'!X15,Списък!$A$1:$C$209,3,FALSE)</f>
        <v>история</v>
      </c>
      <c r="F102" s="12" t="str">
        <f>VLOOKUP('Програма-кодове'!Y15,Списък!$A$1:$C$209,3,FALSE)</f>
        <v>математика</v>
      </c>
      <c r="H102" s="12"/>
      <c r="I102" s="12"/>
      <c r="J102" s="12"/>
      <c r="K102" s="12"/>
    </row>
    <row r="103" spans="1:11" ht="2.95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3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3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физкултура</v>
      </c>
      <c r="D105" s="12" t="str">
        <f>VLOOKUP('Програма-кодове'!AB9,Списък!$A$1:$C$209,3,FALSE)</f>
        <v>физика</v>
      </c>
      <c r="E105" s="12" t="str">
        <f>VLOOKUP('Програма-кодове'!AC9,Списък!$A$1:$C$209,3,FALSE)</f>
        <v>математика</v>
      </c>
      <c r="F105" s="12" t="str">
        <f>VLOOKUP('Програма-кодове'!AD9,Списък!$A$1:$C$209,3,FALSE)</f>
        <v>английски език</v>
      </c>
      <c r="H105" s="12"/>
      <c r="I105" s="12"/>
      <c r="J105" s="12"/>
      <c r="K105" s="12"/>
    </row>
    <row r="106" spans="1:11" ht="11.3" customHeight="1">
      <c r="A106" s="13">
        <v>2</v>
      </c>
      <c r="B106" s="12" t="str">
        <f>VLOOKUP('Програма-кодове'!Z10,Списък!$A$1:$C$209,3,FALSE)</f>
        <v>математика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география</v>
      </c>
      <c r="E106" s="12" t="str">
        <f>VLOOKUP('Програма-кодове'!AC10,Списък!$A$1:$C$209,3,FALSE)</f>
        <v>физкултура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3" customHeight="1">
      <c r="A107" s="13">
        <v>3</v>
      </c>
      <c r="B107" s="12" t="str">
        <f>VLOOKUP('Програма-кодове'!Z11,Списък!$A$1:$C$209,3,FALSE)</f>
        <v>математика</v>
      </c>
      <c r="C107" s="12" t="str">
        <f>VLOOKUP('Програма-кодове'!AA11,Списък!$A$1:$C$209,3,FALSE)</f>
        <v>география</v>
      </c>
      <c r="D107" s="12" t="str">
        <f>VLOOKUP('Програма-кодове'!AB11,Списък!$A$1:$C$209,3,FALSE)</f>
        <v>физкултура</v>
      </c>
      <c r="E107" s="12" t="str">
        <f>VLOOKUP('Програма-кодове'!AC11,Списък!$A$1:$C$209,3,FALSE)</f>
        <v>информатика</v>
      </c>
      <c r="F107" s="12" t="str">
        <f>VLOOKUP('Програма-кодове'!AD11,Списък!$A$1:$C$209,3,FALSE)</f>
        <v>математика</v>
      </c>
      <c r="H107" s="12"/>
      <c r="I107" s="12"/>
      <c r="J107" s="12"/>
      <c r="K107" s="12"/>
    </row>
    <row r="108" spans="1:11" ht="11.3" customHeight="1">
      <c r="A108" s="13">
        <v>4</v>
      </c>
      <c r="B108" s="12" t="str">
        <f>VLOOKUP('Програма-кодове'!Z12,Списък!$A$1:$C$209,3,FALSE)</f>
        <v>физика</v>
      </c>
      <c r="C108" s="12" t="str">
        <f>VLOOKUP('Програма-кодове'!AA12,Списък!$A$1:$C$209,3,FALSE)</f>
        <v>математика</v>
      </c>
      <c r="D108" s="12" t="str">
        <f>VLOOKUP('Програма-кодове'!AB12,Списък!$A$1:$C$209,3,FALSE)</f>
        <v>информатика</v>
      </c>
      <c r="E108" s="12" t="str">
        <f>VLOOKUP('Програма-кодове'!AC12,Списък!$A$1:$C$209,3,FALSE)</f>
        <v>английски език</v>
      </c>
      <c r="F108" s="12" t="str">
        <f>VLOOKUP('Програма-кодове'!AD12,Списък!$A$1:$C$209,3,FALSE)</f>
        <v>бълг. език</v>
      </c>
      <c r="H108" s="12"/>
      <c r="I108" s="12"/>
      <c r="J108" s="12"/>
      <c r="K108" s="12"/>
    </row>
    <row r="109" spans="1:11" ht="11.3" customHeight="1">
      <c r="A109" s="13">
        <v>5</v>
      </c>
      <c r="B109" s="12" t="str">
        <f>VLOOKUP('Програма-кодове'!Z13,Списък!$A$1:$C$209,3,FALSE)</f>
        <v>физкултура</v>
      </c>
      <c r="C109" s="12" t="str">
        <f>VLOOKUP('Програма-кодове'!AA13,Списък!$A$1:$C$209,3,FALSE)</f>
        <v>математика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физика</v>
      </c>
      <c r="F109" s="12" t="str">
        <f>VLOOKUP('Програма-кодове'!AD13,Списък!$A$1:$C$209,3,FALSE)</f>
        <v>бълг. език</v>
      </c>
      <c r="H109" s="12"/>
      <c r="I109" s="12"/>
      <c r="J109" s="12"/>
      <c r="K109" s="12"/>
    </row>
    <row r="110" spans="1:11" ht="11.3" customHeight="1">
      <c r="A110" s="13">
        <v>6</v>
      </c>
      <c r="B110" s="12" t="str">
        <f>VLOOKUP('Програма-кодове'!Z14,Списък!$A$1:$C$209,3,FALSE)</f>
        <v>английски език</v>
      </c>
      <c r="C110" s="12" t="str">
        <f>VLOOKUP('Програма-кодове'!AA14,Списък!$A$1:$C$209,3,FALSE)</f>
        <v>физика</v>
      </c>
      <c r="D110" s="12" t="str">
        <f>VLOOKUP('Програма-кодове'!AB14,Списък!$A$1:$C$209,3,FALSE)</f>
        <v>математика</v>
      </c>
      <c r="E110" s="12" t="str">
        <f>VLOOKUP('Програма-кодове'!AC14,Списък!$A$1:$C$209,3,FALSE)</f>
        <v>бълг. език</v>
      </c>
      <c r="F110" s="12" t="str">
        <f>VLOOKUP('Програма-кодове'!AD14,Списък!$A$1:$C$209,3,FALSE)</f>
        <v>физкултура</v>
      </c>
      <c r="H110" s="12"/>
      <c r="I110" s="12"/>
      <c r="J110" s="12"/>
      <c r="K110" s="12"/>
    </row>
    <row r="111" spans="1:11" ht="11.3" customHeight="1">
      <c r="A111" s="13">
        <v>7</v>
      </c>
      <c r="B111" s="12" t="str">
        <f>VLOOKUP('Програма-кодове'!Z15,Списък!$A$1:$C$209,3,FALSE)</f>
        <v>география</v>
      </c>
      <c r="C111" s="12" t="str">
        <f>VLOOKUP('Програма-кодове'!AA15,Списък!$A$1:$C$209,3,FALSE)</f>
        <v>английски език</v>
      </c>
      <c r="D111" s="12" t="str">
        <f>VLOOKUP('Програма-кодове'!AB15,Списък!$A$1:$C$209,3,FALSE)</f>
        <v>математика</v>
      </c>
      <c r="E111" s="12" t="str">
        <f>VLOOKUP('Програма-кодове'!AC15,Списък!$A$1:$C$209,3,FALSE)</f>
        <v>бълг. език</v>
      </c>
      <c r="F111" s="12" t="str">
        <f>VLOOKUP('Програма-кодове'!AD15,Списък!$A$1:$C$209,3,FALSE)</f>
        <v>физика</v>
      </c>
      <c r="H111" s="12"/>
      <c r="I111" s="12"/>
      <c r="J111" s="12"/>
      <c r="K111" s="12"/>
    </row>
    <row r="112" spans="1:11" ht="2.95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.05" customHeight="1" thickBot="1">
      <c r="A113" s="398" t="s">
        <v>26</v>
      </c>
      <c r="B113" s="398"/>
      <c r="C113" s="398"/>
      <c r="D113" s="398"/>
      <c r="E113" s="398"/>
      <c r="F113" s="398"/>
      <c r="H113" s="12"/>
      <c r="I113" s="12"/>
      <c r="J113" s="12"/>
      <c r="K113" s="12"/>
    </row>
    <row r="114" spans="1:11" s="43" customFormat="1" ht="11.3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3" customHeight="1">
      <c r="A115" s="13">
        <v>1</v>
      </c>
      <c r="B115" s="12" t="str">
        <f>VLOOKUP('Програма-кодове'!C16,Списък!$A$1:$C$210,3,FALSE)</f>
        <v>немски език</v>
      </c>
      <c r="C115" s="12" t="str">
        <f>VLOOKUP('Програма-кодове'!D16,Списък!$A$1:$C$210,3,FALSE)</f>
        <v>музика</v>
      </c>
      <c r="D115" s="12" t="str">
        <f>VLOOKUP('Програма-кодове'!E16,Списък!$A$1:$C$210,3,FALSE)</f>
        <v>физкултура</v>
      </c>
      <c r="H115" s="12"/>
      <c r="I115" s="12"/>
      <c r="J115" s="12"/>
      <c r="K115" s="12"/>
    </row>
    <row r="116" spans="1:11" ht="11.3" customHeight="1">
      <c r="A116" s="13">
        <v>2</v>
      </c>
      <c r="B116" s="12" t="str">
        <f>VLOOKUP('Програма-кодове'!C17,Списък!$A$1:$C$210,3,FALSE)</f>
        <v>история</v>
      </c>
      <c r="C116" s="12" t="str">
        <f>VLOOKUP('Програма-кодове'!D17,Списък!$A$1:$C$210,3,FALSE)</f>
        <v>бълг. език</v>
      </c>
      <c r="D116" s="12" t="str">
        <f>VLOOKUP('Програма-кодове'!E17,Списък!$A$1:$C$210,3,FALSE)</f>
        <v>ИТ/ТП</v>
      </c>
      <c r="H116" s="12"/>
      <c r="I116" s="12"/>
      <c r="J116" s="12"/>
      <c r="K116" s="12"/>
    </row>
    <row r="117" spans="1:11" ht="11.3" customHeight="1">
      <c r="A117" s="13">
        <v>3</v>
      </c>
      <c r="B117" s="12" t="str">
        <f>VLOOKUP('Програма-кодове'!C18,Списък!$A$1:$C$210,3,FALSE)</f>
        <v>бълг. език</v>
      </c>
      <c r="C117" s="12" t="str">
        <f>VLOOKUP('Програма-кодове'!D18,Списък!$A$1:$C$210,3,FALSE)</f>
        <v>бълг. език</v>
      </c>
      <c r="D117" s="12" t="str">
        <f>VLOOKUP('Програма-кодове'!E18,Списък!$A$1:$C$210,3,FALSE)</f>
        <v>математика</v>
      </c>
      <c r="H117" s="12"/>
      <c r="I117" s="12"/>
      <c r="J117" s="12"/>
      <c r="K117" s="12"/>
    </row>
    <row r="118" spans="1:11" ht="11.3" customHeight="1">
      <c r="A118" s="13">
        <v>4</v>
      </c>
      <c r="B118" s="12" t="str">
        <f>VLOOKUP('Програма-кодове'!C19,Списък!$A$1:$C$210,3,FALSE)</f>
        <v>физкултура</v>
      </c>
      <c r="C118" s="12" t="str">
        <f>VLOOKUP('Програма-кодове'!D19,Списък!$A$1:$C$210,3,FALSE)</f>
        <v>рисуване</v>
      </c>
      <c r="D118" s="12" t="str">
        <f>VLOOKUP('Програма-кодове'!E19,Списък!$A$1:$C$210,3,FALSE)</f>
        <v>география</v>
      </c>
      <c r="H118" s="12"/>
      <c r="I118" s="12"/>
      <c r="J118" s="12"/>
      <c r="K118" s="12"/>
    </row>
    <row r="119" spans="1:11" ht="11.3" customHeight="1">
      <c r="A119" s="13">
        <v>5</v>
      </c>
      <c r="B119" s="12" t="str">
        <f>VLOOKUP('Програма-кодове'!C20,Списък!$A$1:$C$210,3,FALSE)</f>
        <v>рисуване</v>
      </c>
      <c r="C119" s="12" t="str">
        <f>VLOOKUP('Програма-кодове'!D20,Списък!$A$1:$C$210,3,FALSE)</f>
        <v>физика</v>
      </c>
      <c r="D119" s="12" t="str">
        <f>VLOOKUP('Програма-кодове'!E20,Списък!$A$1:$C$210,3,FALSE)</f>
        <v>бълг. език</v>
      </c>
      <c r="H119" s="12"/>
      <c r="I119" s="12"/>
      <c r="J119" s="12"/>
      <c r="K119" s="12"/>
    </row>
    <row r="120" spans="1:11" ht="11.3" customHeight="1">
      <c r="A120" s="13">
        <v>6</v>
      </c>
      <c r="B120" s="12" t="str">
        <f>VLOOKUP('Програма-кодове'!C21,Списък!$A$1:$C$210,3,FALSE)</f>
        <v>математика</v>
      </c>
      <c r="C120" s="12" t="str">
        <f>VLOOKUP('Програма-кодове'!D21,Списък!$A$1:$C$210,3,FALSE)</f>
        <v>математика</v>
      </c>
      <c r="D120" s="12" t="str">
        <f>VLOOKUP('Програма-кодове'!E21,Списък!$A$1:$C$210,3,FALSE)</f>
        <v>ИТ/ТП</v>
      </c>
      <c r="H120" s="12"/>
      <c r="I120" s="12"/>
      <c r="J120" s="12"/>
      <c r="K120" s="12"/>
    </row>
    <row r="121" spans="1:11" ht="11.3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2.95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3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3" customHeight="1">
      <c r="A124" s="13">
        <v>1</v>
      </c>
      <c r="B124" s="12" t="str">
        <f>VLOOKUP('Програма-кодове'!F16,Списък!$A$1:$C$210,3,FALSE)</f>
        <v>рисуване</v>
      </c>
      <c r="C124" s="12" t="str">
        <f>VLOOKUP('Програма-кодове'!G16,Списък!$A$1:$C$210,3,FALSE)</f>
        <v>английски език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ИТ/ИТ</v>
      </c>
      <c r="F124" s="12" t="str">
        <f>VLOOKUP('Програма-кодове'!J16,Списък!$A$1:$C$210,3,FALSE)</f>
        <v>математика</v>
      </c>
      <c r="H124" s="12"/>
      <c r="I124" s="12"/>
      <c r="J124" s="12"/>
      <c r="K124" s="12"/>
    </row>
    <row r="125" spans="1:11" ht="11.3" customHeight="1">
      <c r="A125" s="13">
        <v>2</v>
      </c>
      <c r="B125" s="12" t="str">
        <f>VLOOKUP('Програма-кодове'!F17,Списък!$A$1:$C$210,3,FALSE)</f>
        <v>ИТ/ИТ</v>
      </c>
      <c r="C125" s="12" t="str">
        <f>VLOOKUP('Програма-кодове'!G17,Списък!$A$1:$C$210,3,FALSE)</f>
        <v>английски език</v>
      </c>
      <c r="D125" s="12" t="str">
        <f>VLOOKUP('Програма-кодове'!H17,Списък!$A$1:$C$210,3,FALSE)</f>
        <v>английски език</v>
      </c>
      <c r="E125" s="12" t="str">
        <f>VLOOKUP('Програма-кодове'!I17,Списък!$A$1:$C$210,3,FALSE)</f>
        <v>математика</v>
      </c>
      <c r="F125" s="12" t="str">
        <f>VLOOKUP('Програма-кодове'!J17,Списък!$A$1:$C$210,3,FALSE)</f>
        <v>бълг. език</v>
      </c>
      <c r="H125" s="12"/>
      <c r="I125" s="12"/>
      <c r="J125" s="12"/>
      <c r="K125" s="12"/>
    </row>
    <row r="126" spans="1:11" ht="11.3" customHeight="1">
      <c r="A126" s="13">
        <v>3</v>
      </c>
      <c r="B126" s="12" t="str">
        <f>VLOOKUP('Програма-кодове'!F18,Списък!$A$1:$C$210,3,FALSE)</f>
        <v>математика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английски език</v>
      </c>
      <c r="E126" s="12" t="str">
        <f>VLOOKUP('Програма-кодове'!I18,Списък!$A$1:$C$210,3,FALSE)</f>
        <v>бълг. език</v>
      </c>
      <c r="F126" s="12" t="str">
        <f>VLOOKUP('Програма-кодове'!J18,Списък!$A$1:$C$210,3,FALSE)</f>
        <v>ИТ/ИТ</v>
      </c>
      <c r="H126" s="12"/>
      <c r="I126" s="12"/>
      <c r="J126" s="12"/>
      <c r="K126" s="12"/>
    </row>
    <row r="127" spans="1:11" ht="11.3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ИТ/ИТ</v>
      </c>
      <c r="D127" s="12" t="str">
        <f>VLOOKUP('Програма-кодове'!H19,Списък!$A$1:$C$210,3,FALSE)</f>
        <v>английски език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английски език</v>
      </c>
      <c r="H127" s="12"/>
      <c r="I127" s="12"/>
      <c r="J127" s="12"/>
      <c r="K127" s="12"/>
    </row>
    <row r="128" spans="1:11" ht="11.3" customHeight="1">
      <c r="A128" s="13">
        <v>5</v>
      </c>
      <c r="B128" s="12" t="str">
        <f>VLOOKUP('Програма-кодове'!F20,Списък!$A$1:$C$210,3,FALSE)</f>
        <v>английски език</v>
      </c>
      <c r="C128" s="12" t="str">
        <f>VLOOKUP('Програма-кодове'!G20,Списък!$A$1:$C$210,3,FALSE)</f>
        <v>математика</v>
      </c>
      <c r="D128" s="12" t="str">
        <f>VLOOKUP('Програма-кодове'!H20,Списък!$A$1:$C$210,3,FALSE)</f>
        <v>ИТ/ИТ</v>
      </c>
      <c r="E128" s="12" t="str">
        <f>VLOOKUP('Програма-кодове'!I20,Списък!$A$1:$C$210,3,FALSE)</f>
        <v>английски език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3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бълг. език</v>
      </c>
      <c r="D129" s="12" t="str">
        <f>VLOOKUP('Програма-кодове'!H21,Списък!$A$1:$C$210,3,FALSE)</f>
        <v>физкултура</v>
      </c>
      <c r="E129" s="12" t="str">
        <f>VLOOKUP('Програма-кодове'!I21,Списък!$A$1:$C$210,3,FALSE)</f>
        <v>английски език</v>
      </c>
      <c r="F129" s="12" t="str">
        <f>VLOOKUP('Програма-кодове'!J21,Списък!$A$1:$C$210,3,FALSE)</f>
        <v>английски език</v>
      </c>
      <c r="H129" s="12"/>
      <c r="I129" s="12"/>
      <c r="J129" s="12"/>
      <c r="K129" s="12"/>
    </row>
    <row r="130" spans="1:11" ht="11.3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3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2.95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3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3" customHeight="1">
      <c r="A134" s="13">
        <v>1</v>
      </c>
      <c r="B134" s="12" t="str">
        <f>VLOOKUP('Програма-кодове'!K16,Списък!$A$1:$C$209,3,FALSE)</f>
        <v>история</v>
      </c>
      <c r="C134" s="12" t="str">
        <f>VLOOKUP('Програма-кодове'!L16,Списък!$A$1:$C$209,3,FALSE)</f>
        <v>информатика</v>
      </c>
      <c r="D134" s="12" t="str">
        <f>VLOOKUP('Програма-кодове'!M16,Списък!$A$1:$C$209,3,FALSE)</f>
        <v>бълг. език</v>
      </c>
      <c r="E134" s="12" t="str">
        <f>VLOOKUP('Програма-кодове'!N16,Списък!$A$1:$C$209,3,FALSE)</f>
        <v>математика</v>
      </c>
      <c r="F134" s="12" t="str">
        <f>VLOOKUP('Програма-кодове'!O16,Списък!$A$1:$C$209,3,FALSE)</f>
        <v>английски език</v>
      </c>
      <c r="H134" s="12"/>
      <c r="I134" s="12"/>
      <c r="J134" s="12"/>
      <c r="K134" s="12"/>
    </row>
    <row r="135" spans="1:11" ht="11.3" customHeight="1">
      <c r="A135" s="13">
        <v>2</v>
      </c>
      <c r="B135" s="12" t="str">
        <f>VLOOKUP('Програма-кодове'!K17,Списък!$A$1:$C$209,3,FALSE)</f>
        <v>музика</v>
      </c>
      <c r="C135" s="12" t="str">
        <f>VLOOKUP('Програма-кодове'!L17,Списък!$A$1:$C$209,3,FALSE)</f>
        <v>математика</v>
      </c>
      <c r="D135" s="12" t="str">
        <f>VLOOKUP('Програма-кодове'!M17,Списък!$A$1:$C$209,3,FALSE)</f>
        <v>бълг. език</v>
      </c>
      <c r="E135" s="12" t="str">
        <f>VLOOKUP('Програма-кодове'!N17,Списък!$A$1:$C$209,3,FALSE)</f>
        <v>информатика</v>
      </c>
      <c r="F135" s="12" t="str">
        <f>VLOOKUP('Програма-кодове'!O17,Списък!$A$1:$C$209,3,FALSE)</f>
        <v>физика</v>
      </c>
      <c r="H135" s="12"/>
      <c r="I135" s="12"/>
      <c r="J135" s="12"/>
      <c r="K135" s="12"/>
    </row>
    <row r="136" spans="1:11" ht="11.3" customHeight="1">
      <c r="A136" s="13">
        <v>3</v>
      </c>
      <c r="B136" s="12" t="str">
        <f>VLOOKUP('Програма-кодове'!K18,Списък!$A$1:$C$209,3,FALSE)</f>
        <v>математика</v>
      </c>
      <c r="C136" s="12" t="str">
        <f>VLOOKUP('Програма-кодове'!L18,Списък!$A$1:$C$209,3,FALSE)</f>
        <v>английски език</v>
      </c>
      <c r="D136" s="12" t="str">
        <f>VLOOKUP('Програма-кодове'!M18,Списък!$A$1:$C$209,3,FALSE)</f>
        <v>история</v>
      </c>
      <c r="E136" s="12" t="str">
        <f>VLOOKUP('Програма-кодове'!N18,Списък!$A$1:$C$209,3,FALSE)</f>
        <v>химия</v>
      </c>
      <c r="F136" s="12" t="str">
        <f>VLOOKUP('Програма-кодове'!O18,Списък!$A$1:$C$209,3,FALSE)</f>
        <v>биология</v>
      </c>
      <c r="H136" s="12"/>
      <c r="I136" s="12"/>
      <c r="J136" s="12"/>
      <c r="K136" s="12"/>
    </row>
    <row r="137" spans="1:11" ht="11.3" customHeight="1">
      <c r="A137" s="13">
        <v>4</v>
      </c>
      <c r="B137" s="12" t="str">
        <f>VLOOKUP('Програма-кодове'!K19,Списък!$A$1:$C$209,3,FALSE)</f>
        <v>математика</v>
      </c>
      <c r="C137" s="12" t="str">
        <f>VLOOKUP('Програма-кодове'!L19,Списък!$A$1:$C$209,3,FALSE)</f>
        <v>бълг. език</v>
      </c>
      <c r="D137" s="12" t="str">
        <f>VLOOKUP('Програма-кодове'!M19,Списък!$A$1:$C$209,3,FALSE)</f>
        <v>химия</v>
      </c>
      <c r="E137" s="12" t="str">
        <f>VLOOKUP('Програма-кодове'!N19,Списък!$A$1:$C$209,3,FALSE)</f>
        <v>английски език</v>
      </c>
      <c r="F137" s="12" t="str">
        <f>VLOOKUP('Програма-кодове'!O19,Списък!$A$1:$C$209,3,FALSE)</f>
        <v>история</v>
      </c>
      <c r="H137" s="12"/>
      <c r="I137" s="12"/>
      <c r="J137" s="12"/>
      <c r="K137" s="12"/>
    </row>
    <row r="138" spans="1:11" ht="11.3" customHeight="1">
      <c r="A138" s="13">
        <v>5</v>
      </c>
      <c r="B138" s="12" t="str">
        <f>VLOOKUP('Програма-кодове'!K20,Списък!$A$1:$C$209,3,FALSE)</f>
        <v>биология</v>
      </c>
      <c r="C138" s="12" t="str">
        <f>VLOOKUP('Програма-кодове'!L20,Списък!$A$1:$C$209,3,FALSE)</f>
        <v>химия</v>
      </c>
      <c r="D138" s="12" t="str">
        <f>VLOOKUP('Програма-кодове'!M20,Списък!$A$1:$C$209,3,FALSE)</f>
        <v>английски език</v>
      </c>
      <c r="E138" s="12" t="str">
        <f>VLOOKUP('Програма-кодове'!N20,Списък!$A$1:$C$209,3,FALSE)</f>
        <v>философия</v>
      </c>
      <c r="F138" s="12" t="str">
        <f>VLOOKUP('Програма-кодове'!O20,Списък!$A$1:$C$209,3,FALSE)</f>
        <v>химия</v>
      </c>
      <c r="H138" s="12"/>
      <c r="I138" s="12"/>
      <c r="J138" s="12"/>
      <c r="K138" s="12"/>
    </row>
    <row r="139" spans="1:11" ht="11.3" customHeight="1">
      <c r="A139" s="13">
        <v>6</v>
      </c>
      <c r="B139" s="12" t="str">
        <f>VLOOKUP('Програма-кодове'!K21,Списък!$A$1:$C$209,3,FALSE)</f>
        <v>английски език</v>
      </c>
      <c r="C139" s="12" t="str">
        <f>VLOOKUP('Програма-кодове'!L21,Списък!$A$1:$C$209,3,FALSE)</f>
        <v>история</v>
      </c>
      <c r="D139" s="12" t="str">
        <f>VLOOKUP('Програма-кодове'!M21,Списък!$A$1:$C$209,3,FALSE)</f>
        <v>философия</v>
      </c>
      <c r="E139" s="12" t="str">
        <f>VLOOKUP('Програма-кодове'!N21,Списък!$A$1:$C$209,3,FALSE)</f>
        <v>история</v>
      </c>
      <c r="F139" s="12" t="str">
        <f>VLOOKUP('Програма-кодове'!O21,Списък!$A$1:$C$209,3,FALSE)</f>
        <v>математика</v>
      </c>
      <c r="H139" s="12"/>
      <c r="I139" s="12"/>
      <c r="J139" s="12"/>
      <c r="K139" s="12"/>
    </row>
    <row r="140" spans="1:11" ht="11.3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2.95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3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3" customHeight="1">
      <c r="A143" s="13">
        <v>1</v>
      </c>
      <c r="B143" s="12" t="str">
        <f>VLOOKUP('Програма-кодове'!P16,Списък!$A$1:$C$209,3,FALSE)</f>
        <v>английски език</v>
      </c>
      <c r="C143" s="12" t="str">
        <f>VLOOKUP('Програма-кодове'!Q16,Списък!$A$1:$C$209,3,FALSE)</f>
        <v>биология</v>
      </c>
      <c r="D143" s="12" t="str">
        <f>VLOOKUP('Програма-кодове'!R16,Списък!$A$1:$C$209,3,FALSE)</f>
        <v>физкултура</v>
      </c>
      <c r="E143" s="12" t="str">
        <f>VLOOKUP('Програма-кодове'!S16,Списък!$A$1:$C$209,3,FALSE)</f>
        <v>география</v>
      </c>
      <c r="F143" s="12" t="str">
        <f>VLOOKUP('Програма-кодове'!T16,Списък!$A$1:$C$209,3,FALSE)</f>
        <v>биология</v>
      </c>
      <c r="H143" s="12"/>
      <c r="I143" s="12"/>
      <c r="J143" s="12"/>
      <c r="K143" s="12"/>
    </row>
    <row r="144" spans="1:11" ht="11.3" customHeight="1">
      <c r="A144" s="13">
        <v>2</v>
      </c>
      <c r="B144" s="12" t="str">
        <f>VLOOKUP('Програма-кодове'!P17,Списък!$A$1:$C$209,3,FALSE)</f>
        <v>английски език</v>
      </c>
      <c r="C144" s="12" t="str">
        <f>VLOOKUP('Програма-кодове'!Q17,Списък!$A$1:$C$209,3,FALSE)</f>
        <v>философия</v>
      </c>
      <c r="D144" s="12" t="str">
        <f>VLOOKUP('Програма-кодове'!R17,Списък!$A$1:$C$209,3,FALSE)</f>
        <v>география</v>
      </c>
      <c r="E144" s="12" t="str">
        <f>VLOOKUP('Програма-кодове'!S17,Списък!$A$1:$C$209,3,FALSE)</f>
        <v>физкултура</v>
      </c>
      <c r="F144" s="12" t="str">
        <f>VLOOKUP('Програма-кодове'!T17,Списък!$A$1:$C$209,3,FALSE)</f>
        <v>биология</v>
      </c>
      <c r="H144" s="12"/>
      <c r="I144" s="12"/>
      <c r="J144" s="12"/>
      <c r="K144" s="12"/>
    </row>
    <row r="145" spans="1:11" ht="11.3" customHeight="1">
      <c r="A145" s="13">
        <v>3</v>
      </c>
      <c r="B145" s="12" t="str">
        <f>VLOOKUP('Програма-кодове'!P18,Списък!$A$1:$C$209,3,FALSE)</f>
        <v>география</v>
      </c>
      <c r="C145" s="12" t="str">
        <f>VLOOKUP('Програма-кодове'!Q18,Списък!$A$1:$C$209,3,FALSE)</f>
        <v>ІІ - ри чужд език</v>
      </c>
      <c r="D145" s="12">
        <f>VLOOKUP('Програма-кодове'!R18,Списък!$A$1:$C$209,3,FALSE)</f>
        <v>0</v>
      </c>
      <c r="E145" s="12">
        <f>VLOOKUP('Програма-кодове'!S18,Списък!$A$1:$C$209,3,FALSE)</f>
        <v>0</v>
      </c>
      <c r="F145" s="12" t="str">
        <f>VLOOKUP('Програма-кодове'!T18,Списък!$A$1:$C$209,3,FALSE)</f>
        <v>бълг. език</v>
      </c>
      <c r="H145" s="12"/>
      <c r="I145" s="12"/>
      <c r="J145" s="12"/>
      <c r="K145" s="12"/>
    </row>
    <row r="146" spans="1:11" ht="11.3" customHeight="1">
      <c r="A146" s="13">
        <v>4</v>
      </c>
      <c r="B146" s="12" t="str">
        <f>VLOOKUP('Програма-кодове'!P19,Списък!$A$1:$C$209,3,FALSE)</f>
        <v>физкултура</v>
      </c>
      <c r="C146" s="12" t="str">
        <f>VLOOKUP('Програма-кодове'!Q19,Списък!$A$1:$C$209,3,FALSE)</f>
        <v>ІІ - ри чужд език</v>
      </c>
      <c r="D146" s="12">
        <f>VLOOKUP('Програма-кодове'!R19,Списък!$A$1:$C$209,3,FALSE)</f>
        <v>0</v>
      </c>
      <c r="E146" s="12">
        <f>VLOOKUP('Програма-кодове'!S19,Списък!$A$1:$C$209,3,FALSE)</f>
        <v>0</v>
      </c>
      <c r="F146" s="12" t="str">
        <f>VLOOKUP('Програма-кодове'!T19,Списък!$A$1:$C$209,3,FALSE)</f>
        <v>математика</v>
      </c>
      <c r="H146" s="12"/>
      <c r="I146" s="12"/>
      <c r="J146" s="12"/>
      <c r="K146" s="12"/>
    </row>
    <row r="147" spans="1:11" ht="11.3" customHeight="1">
      <c r="A147" s="13">
        <v>5</v>
      </c>
      <c r="B147" s="12" t="str">
        <f>VLOOKUP('Програма-кодове'!P20,Списък!$A$1:$C$209,3,FALSE)</f>
        <v>ІІ - ри чужд език</v>
      </c>
      <c r="C147" s="12" t="str">
        <f>VLOOKUP('Програма-кодове'!Q20,Списък!$A$1:$C$209,3,FALSE)</f>
        <v>английски език</v>
      </c>
      <c r="D147" s="12" t="str">
        <f>VLOOKUP('Програма-кодове'!R20,Списък!$A$1:$C$209,3,FALSE)</f>
        <v>история</v>
      </c>
      <c r="E147" s="12" t="str">
        <f>VLOOKUP('Програма-кодове'!S20,Списък!$A$1:$C$209,3,FALSE)</f>
        <v>бълг. език</v>
      </c>
      <c r="F147" s="12" t="str">
        <f>VLOOKUP('Програма-кодове'!T20,Списък!$A$1:$C$209,3,FALSE)</f>
        <v>ІІ - ри чужд език</v>
      </c>
      <c r="H147" s="12"/>
      <c r="I147" s="12"/>
      <c r="J147" s="12"/>
      <c r="K147" s="12"/>
    </row>
    <row r="148" spans="1:11" ht="11.3" customHeight="1">
      <c r="A148" s="13">
        <v>6</v>
      </c>
      <c r="B148" s="12" t="str">
        <f>VLOOKUP('Програма-кодове'!P21,Списък!$A$1:$C$209,3,FALSE)</f>
        <v>ІІ - ри чужд език</v>
      </c>
      <c r="C148" s="12" t="str">
        <f>VLOOKUP('Програма-кодове'!Q21,Списък!$A$1:$C$209,3,FALSE)</f>
        <v>английски език</v>
      </c>
      <c r="D148" s="12" t="str">
        <f>VLOOKUP('Програма-кодове'!R21,Списък!$A$1:$C$209,3,FALSE)</f>
        <v>математика</v>
      </c>
      <c r="E148" s="12" t="str">
        <f>VLOOKUP('Програма-кодове'!S21,Списък!$A$1:$C$209,3,FALSE)</f>
        <v>бълг. език</v>
      </c>
      <c r="F148" s="12" t="str">
        <f>VLOOKUP('Програма-кодове'!T21,Списък!$A$1:$C$209,3,FALSE)</f>
        <v>ІІ - ри чужд език</v>
      </c>
      <c r="H148" s="12"/>
      <c r="I148" s="12"/>
      <c r="J148" s="12"/>
      <c r="K148" s="12"/>
    </row>
    <row r="149" spans="1:11" ht="11.3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2.95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3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3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история</v>
      </c>
      <c r="D152" s="21" t="str">
        <f>VLOOKUP('Програма-кодове'!W16,Списък!$A$1:$C$209,3,FALSE)</f>
        <v>бълг. език</v>
      </c>
      <c r="E152" s="21" t="str">
        <f>VLOOKUP('Програма-кодове'!X16,Списък!$A$1:$C$209,3,FALSE)</f>
        <v>физика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3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бълг. език</v>
      </c>
      <c r="E153" s="21" t="str">
        <f>VLOOKUP('Програма-кодове'!X17,Списък!$A$1:$C$209,3,FALSE)</f>
        <v>химия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3" customHeight="1">
      <c r="A154" s="13">
        <v>3</v>
      </c>
      <c r="B154" s="21" t="str">
        <f>VLOOKUP('Програма-кодове'!U18,Списък!$A$1:$C$209,3,FALSE)</f>
        <v>физкултура</v>
      </c>
      <c r="C154" s="21" t="str">
        <f>VLOOKUP('Програма-кодове'!V18,Списък!$A$1:$C$209,3,FALSE)</f>
        <v>биология</v>
      </c>
      <c r="D154" s="21" t="str">
        <f>VLOOKUP('Програма-кодове'!W18,Списък!$A$1:$C$209,3,FALSE)</f>
        <v>информатика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английски език</v>
      </c>
      <c r="H154" s="12"/>
      <c r="I154" s="12"/>
      <c r="J154" s="12"/>
      <c r="K154" s="12"/>
    </row>
    <row r="155" spans="1:11" ht="11.3" customHeight="1">
      <c r="A155" s="13">
        <v>4</v>
      </c>
      <c r="B155" s="21" t="str">
        <f>VLOOKUP('Програма-кодове'!U19,Списък!$A$1:$C$209,3,FALSE)</f>
        <v>биология</v>
      </c>
      <c r="C155" s="21" t="str">
        <f>VLOOKUP('Програма-кодове'!V19,Списък!$A$1:$C$209,3,FALSE)</f>
        <v>английски език</v>
      </c>
      <c r="D155" s="21" t="str">
        <f>VLOOKUP('Програма-кодове'!W19,Списък!$A$1:$C$209,3,FALSE)</f>
        <v>английски език</v>
      </c>
      <c r="E155" s="21" t="str">
        <f>VLOOKUP('Програма-кодове'!X19,Списък!$A$1:$C$209,3,FALSE)</f>
        <v>информатика</v>
      </c>
      <c r="F155" s="21" t="str">
        <f>VLOOKUP('Програма-кодове'!Y19,Списък!$A$1:$C$209,3,FALSE)</f>
        <v>физика</v>
      </c>
      <c r="H155" s="12"/>
      <c r="I155" s="12"/>
      <c r="J155" s="12"/>
      <c r="K155" s="12"/>
    </row>
    <row r="156" spans="1:11" ht="11.3" customHeight="1">
      <c r="A156" s="13">
        <v>5</v>
      </c>
      <c r="B156" s="21" t="str">
        <f>VLOOKUP('Програма-кодове'!U20,Списък!$A$1:$C$209,3,FALSE)</f>
        <v>информатика</v>
      </c>
      <c r="C156" s="21" t="str">
        <f>VLOOKUP('Програма-кодове'!V20,Списък!$A$1:$C$209,3,FALSE)</f>
        <v>физика</v>
      </c>
      <c r="D156" s="21" t="str">
        <f>VLOOKUP('Програма-кодове'!W20,Списък!$A$1:$C$209,3,FALSE)</f>
        <v>математика</v>
      </c>
      <c r="E156" s="21" t="str">
        <f>VLOOKUP('Програма-кодове'!X20,Списък!$A$1:$C$209,3,FALSE)</f>
        <v>математика</v>
      </c>
      <c r="F156" s="21" t="str">
        <f>VLOOKUP('Програма-кодове'!Y20,Списък!$A$1:$C$209,3,FALSE)</f>
        <v>бълг. език</v>
      </c>
      <c r="H156" s="12"/>
      <c r="I156" s="12"/>
      <c r="J156" s="12"/>
      <c r="K156" s="12"/>
    </row>
    <row r="157" spans="1:11" ht="11.3" customHeight="1">
      <c r="A157" s="13">
        <v>6</v>
      </c>
      <c r="B157" s="21" t="str">
        <f>VLOOKUP('Програма-кодове'!U21,Списък!$A$1:$C$209,3,FALSE)</f>
        <v>физика</v>
      </c>
      <c r="C157" s="21" t="str">
        <f>VLOOKUP('Програма-кодове'!V21,Списък!$A$1:$C$209,3,FALSE)</f>
        <v>информатика</v>
      </c>
      <c r="D157" s="21" t="str">
        <f>VLOOKUP('Програма-кодове'!W21,Списък!$A$1:$C$209,3,FALSE)</f>
        <v>физика</v>
      </c>
      <c r="E157" s="21" t="str">
        <f>VLOOKUP('Програма-кодове'!X21,Списък!$A$1:$C$209,3,FALSE)</f>
        <v>английски език</v>
      </c>
      <c r="F157" s="21" t="str">
        <f>VLOOKUP('Програма-кодове'!Y21,Списък!$A$1:$C$209,3,FALSE)</f>
        <v>бълг. език</v>
      </c>
      <c r="H157" s="12"/>
      <c r="I157" s="12"/>
      <c r="J157" s="12"/>
      <c r="K157" s="12"/>
    </row>
    <row r="158" spans="1:11" ht="11.3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2.95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3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3" customHeight="1">
      <c r="A161" s="13">
        <v>1</v>
      </c>
      <c r="B161" s="21" t="str">
        <f>VLOOKUP('Програма-кодове'!Z16,Списък!$A$1:$C$209,3,FALSE)</f>
        <v>математика</v>
      </c>
      <c r="C161" s="21" t="str">
        <f>VLOOKUP('Програма-кодове'!AA16,Списък!$A$1:$C$209,3,FALSE)</f>
        <v>бълг. език</v>
      </c>
      <c r="D161" s="21" t="str">
        <f>VLOOKUP('Програма-кодове'!AB16,Списък!$A$1:$C$209,3,FALSE)</f>
        <v>английски език</v>
      </c>
      <c r="E161" s="21" t="str">
        <f>VLOOKUP('Програма-кодове'!AC16,Списък!$A$1:$C$209,3,FALSE)</f>
        <v>информатика</v>
      </c>
      <c r="F161" s="21" t="str">
        <f>VLOOKUP('Програма-кодове'!AD16,Списък!$A$1:$C$209,3,FALSE)</f>
        <v>философия</v>
      </c>
      <c r="H161" s="12"/>
      <c r="I161" s="12"/>
      <c r="J161" s="12"/>
      <c r="K161" s="12"/>
    </row>
    <row r="162" spans="1:11" ht="11.3" customHeight="1">
      <c r="A162" s="13">
        <v>2</v>
      </c>
      <c r="B162" s="21" t="str">
        <f>VLOOKUP('Програма-кодове'!Z17,Списък!$A$1:$C$209,3,FALSE)</f>
        <v>математика</v>
      </c>
      <c r="C162" s="21" t="str">
        <f>VLOOKUP('Програма-кодове'!AA17,Списък!$A$1:$C$209,3,FALSE)</f>
        <v>история</v>
      </c>
      <c r="D162" s="21" t="str">
        <f>VLOOKUP('Програма-кодове'!AB17,Списък!$A$1:$C$209,3,FALSE)</f>
        <v>английски език</v>
      </c>
      <c r="E162" s="21" t="str">
        <f>VLOOKUP('Програма-кодове'!AC17,Списък!$A$1:$C$209,3,FALSE)</f>
        <v>философия</v>
      </c>
      <c r="F162" s="21" t="str">
        <f>VLOOKUP('Програма-кодове'!AD17,Списък!$A$1:$C$209,3,FALSE)</f>
        <v>биология</v>
      </c>
      <c r="H162" s="12"/>
      <c r="I162" s="12"/>
      <c r="J162" s="12"/>
      <c r="K162" s="12"/>
    </row>
    <row r="163" spans="1:11" ht="11.3" customHeight="1">
      <c r="A163" s="13">
        <v>3</v>
      </c>
      <c r="B163" s="21" t="str">
        <f>VLOOKUP('Програма-кодове'!Z18,Списък!$A$1:$C$209,3,FALSE)</f>
        <v>философия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математика</v>
      </c>
      <c r="E163" s="21" t="str">
        <f>VLOOKUP('Програма-кодове'!AC18,Списък!$A$1:$C$209,3,FALSE)</f>
        <v>английски език</v>
      </c>
      <c r="F163" s="21" t="str">
        <f>VLOOKUP('Програма-кодове'!AD18,Списък!$A$1:$C$209,3,FALSE)</f>
        <v>химия</v>
      </c>
      <c r="H163" s="12"/>
      <c r="I163" s="12"/>
      <c r="J163" s="12"/>
      <c r="K163" s="12"/>
    </row>
    <row r="164" spans="1:11" ht="11.3" customHeight="1">
      <c r="A164" s="13">
        <v>4</v>
      </c>
      <c r="B164" s="21" t="str">
        <f>VLOOKUP('Програма-кодове'!Z19,Списък!$A$1:$C$209,3,FALSE)</f>
        <v>бълг. език</v>
      </c>
      <c r="C164" s="21" t="str">
        <f>VLOOKUP('Програма-кодове'!AA19,Списък!$A$1:$C$209,3,FALSE)</f>
        <v>философия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английски език</v>
      </c>
      <c r="F164" s="21" t="str">
        <f>VLOOKUP('Програма-кодове'!AD19,Списък!$A$1:$C$209,3,FALSE)</f>
        <v>химия</v>
      </c>
      <c r="H164" s="12"/>
      <c r="I164" s="12"/>
      <c r="J164" s="12"/>
      <c r="K164" s="12"/>
    </row>
    <row r="165" spans="1:11" ht="11.3" customHeight="1">
      <c r="A165" s="13">
        <v>5</v>
      </c>
      <c r="B165" s="21" t="str">
        <f>VLOOKUP('Програма-кодове'!Z20,Списък!$A$1:$C$209,3,FALSE)</f>
        <v>история</v>
      </c>
      <c r="C165" s="21" t="str">
        <f>VLOOKUP('Програма-кодове'!AA20,Списък!$A$1:$C$209,3,FALSE)</f>
        <v>математика</v>
      </c>
      <c r="D165" s="21" t="str">
        <f>VLOOKUP('Програма-кодове'!AB20,Списък!$A$1:$C$209,3,FALSE)</f>
        <v>информатика</v>
      </c>
      <c r="E165" s="21" t="str">
        <f>VLOOKUP('Програма-кодове'!AC20,Списък!$A$1:$C$209,3,FALSE)</f>
        <v>немски език</v>
      </c>
      <c r="F165" s="21" t="str">
        <f>VLOOKUP('Програма-кодове'!AD20,Списък!$A$1:$C$209,3,FALSE)</f>
        <v>география</v>
      </c>
      <c r="H165" s="12"/>
      <c r="I165" s="12"/>
      <c r="J165" s="12"/>
      <c r="K165" s="12"/>
    </row>
    <row r="166" spans="1:11" ht="11.3" customHeight="1">
      <c r="A166" s="13">
        <v>6</v>
      </c>
      <c r="B166" s="21" t="str">
        <f>VLOOKUP('Програма-кодове'!Z21,Списък!$A$1:$C$209,3,FALSE)</f>
        <v>информатика</v>
      </c>
      <c r="C166" s="21" t="str">
        <f>VLOOKUP('Програма-кодове'!AA21,Списък!$A$1:$C$209,3,FALSE)</f>
        <v>математика</v>
      </c>
      <c r="D166" s="21" t="str">
        <f>VLOOKUP('Програма-кодове'!AB21,Списък!$A$1:$C$209,3,FALSE)</f>
        <v>философия</v>
      </c>
      <c r="E166" s="21" t="str">
        <f>VLOOKUP('Програма-кодове'!AC21,Списък!$A$1:$C$209,3,FALSE)</f>
        <v>немски език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3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2.95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98" t="s">
        <v>27</v>
      </c>
      <c r="B169" s="398"/>
      <c r="C169" s="398"/>
      <c r="D169" s="398"/>
      <c r="E169" s="398"/>
      <c r="F169" s="398"/>
      <c r="H169" s="12"/>
      <c r="I169" s="12"/>
      <c r="J169" s="12"/>
      <c r="K169" s="12"/>
    </row>
    <row r="170" spans="1:11" s="43" customFormat="1" ht="11.3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3" customHeight="1">
      <c r="A171" s="13">
        <v>1</v>
      </c>
      <c r="B171" s="12" t="str">
        <f>VLOOKUP('Програма-кодове'!C23,Списък!$A$1:$C$209,3,FALSE)</f>
        <v>бълг. език</v>
      </c>
      <c r="C171" s="12" t="str">
        <f>VLOOKUP('Програма-кодове'!D23,Списък!$A$1:$C$209,3,FALSE)</f>
        <v>английски език</v>
      </c>
      <c r="D171" s="12" t="str">
        <f>VLOOKUP('Програма-кодове'!E23,Списък!$A$1:$C$209,3,FALSE)</f>
        <v>бълг. език</v>
      </c>
      <c r="H171" s="12"/>
      <c r="I171" s="12"/>
      <c r="J171" s="12"/>
      <c r="K171" s="12"/>
    </row>
    <row r="172" spans="1:11" ht="11.3" customHeight="1">
      <c r="A172" s="13">
        <v>2</v>
      </c>
      <c r="B172" s="12" t="str">
        <f>VLOOKUP('Програма-кодове'!C24,Списък!$A$1:$C$209,3,FALSE)</f>
        <v>бълг. език</v>
      </c>
      <c r="C172" s="12" t="str">
        <f>VLOOKUP('Програма-кодове'!D24,Списък!$A$1:$C$209,3,FALSE)</f>
        <v>бълг. език</v>
      </c>
      <c r="D172" s="12" t="str">
        <f>VLOOKUP('Програма-кодове'!E24,Списък!$A$1:$C$209,3,FALSE)</f>
        <v>бълг. език</v>
      </c>
      <c r="H172" s="12"/>
      <c r="I172" s="12"/>
      <c r="J172" s="12"/>
      <c r="K172" s="12"/>
    </row>
    <row r="173" spans="1:11" ht="11.3" customHeight="1">
      <c r="A173" s="13">
        <v>3</v>
      </c>
      <c r="B173" s="12" t="str">
        <f>VLOOKUP('Програма-кодове'!C25,Списък!$A$1:$C$209,3,FALSE)</f>
        <v>немски език</v>
      </c>
      <c r="C173" s="12" t="str">
        <f>VLOOKUP('Програма-кодове'!D25,Списък!$A$1:$C$209,3,FALSE)</f>
        <v>рисуване</v>
      </c>
      <c r="D173" s="12" t="str">
        <f>VLOOKUP('Програма-кодове'!E25,Списък!$A$1:$C$209,3,FALSE)</f>
        <v>английски език</v>
      </c>
      <c r="H173" s="12"/>
      <c r="I173" s="12"/>
      <c r="J173" s="12"/>
      <c r="K173" s="12"/>
    </row>
    <row r="174" spans="1:11" ht="11.3" customHeight="1">
      <c r="A174" s="13">
        <v>4</v>
      </c>
      <c r="B174" s="12" t="str">
        <f>VLOOKUP('Програма-кодове'!C26,Списък!$A$1:$C$209,3,FALSE)</f>
        <v>история</v>
      </c>
      <c r="C174" s="12" t="str">
        <f>VLOOKUP('Програма-кодове'!D26,Списък!$A$1:$C$209,3,FALSE)</f>
        <v>математика</v>
      </c>
      <c r="D174" s="12" t="str">
        <f>VLOOKUP('Програма-кодове'!E26,Списък!$A$1:$C$209,3,FALSE)</f>
        <v>биология</v>
      </c>
      <c r="H174" s="12"/>
      <c r="I174" s="12"/>
      <c r="J174" s="12"/>
      <c r="K174" s="12"/>
    </row>
    <row r="175" spans="1:11" ht="11.3" customHeight="1">
      <c r="A175" s="13">
        <v>5</v>
      </c>
      <c r="B175" s="12" t="str">
        <f>VLOOKUP('Програма-кодове'!C27,Списък!$A$1:$C$209,3,FALSE)</f>
        <v>рисуване</v>
      </c>
      <c r="C175" s="12" t="str">
        <f>VLOOKUP('Програма-кодове'!D27,Списък!$A$1:$C$209,3,FALSE)</f>
        <v>математика</v>
      </c>
      <c r="D175" s="12" t="str">
        <f>VLOOKUP('Програма-кодове'!E27,Списък!$A$1:$C$209,3,FALSE)</f>
        <v>математика</v>
      </c>
      <c r="H175" s="12"/>
      <c r="I175" s="12"/>
      <c r="J175" s="12"/>
      <c r="K175" s="12"/>
    </row>
    <row r="176" spans="1:11" ht="11.3" customHeight="1">
      <c r="A176" s="13">
        <v>6</v>
      </c>
      <c r="B176" s="12" t="str">
        <f>VLOOKUP('Програма-кодове'!C28,Списък!$A$1:$C$209,3,FALSE)</f>
        <v>математика</v>
      </c>
      <c r="C176" s="12" t="str">
        <f>VLOOKUP('Програма-кодове'!D28,Списък!$A$1:$C$209,3,FALSE)</f>
        <v>география</v>
      </c>
      <c r="D176" s="12" t="str">
        <f>VLOOKUP('Програма-кодове'!E28,Списък!$A$1:$C$209,3,FALSE)</f>
        <v>музика</v>
      </c>
      <c r="H176" s="12"/>
      <c r="I176" s="12"/>
      <c r="J176" s="12"/>
      <c r="K176" s="12"/>
    </row>
    <row r="177" spans="1:11" ht="11.3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2.95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3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3" customHeight="1">
      <c r="A180" s="13">
        <v>1</v>
      </c>
      <c r="B180" s="12" t="str">
        <f>VLOOKUP('Програма-кодове'!F23,Списък!$A$1:$C$209,3,FALSE)</f>
        <v>английски език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математика</v>
      </c>
      <c r="E180" s="12" t="str">
        <f>VLOOKUP('Програма-кодове'!I23,Списък!$A$1:$C$209,3,FALSE)</f>
        <v>философия</v>
      </c>
      <c r="F180" s="12" t="str">
        <f>VLOOKUP('Програма-кодове'!J23,Списък!$A$1:$C$209,3,FALSE)</f>
        <v>английски език</v>
      </c>
      <c r="H180" s="12"/>
      <c r="I180" s="12"/>
      <c r="J180" s="12"/>
      <c r="K180" s="12"/>
    </row>
    <row r="181" spans="1:11" ht="11.3" customHeight="1">
      <c r="A181" s="13">
        <v>2</v>
      </c>
      <c r="B181" s="12" t="str">
        <f>VLOOKUP('Програма-кодове'!F24,Списък!$A$1:$C$209,3,FALSE)</f>
        <v>английски език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философия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английски език</v>
      </c>
      <c r="H181" s="12"/>
      <c r="I181" s="12"/>
      <c r="J181" s="12"/>
      <c r="K181" s="12"/>
    </row>
    <row r="182" spans="1:11" ht="11.3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английски език</v>
      </c>
      <c r="E182" s="12" t="str">
        <f>VLOOKUP('Програма-кодове'!I25,Списък!$A$1:$C$209,3,FALSE)</f>
        <v>физкултура</v>
      </c>
      <c r="F182" s="12" t="str">
        <f>VLOOKUP('Програма-кодове'!J25,Списък!$A$1:$C$209,3,FALSE)</f>
        <v>английски език</v>
      </c>
      <c r="H182" s="12"/>
      <c r="I182" s="12"/>
      <c r="J182" s="12"/>
      <c r="K182" s="12"/>
    </row>
    <row r="183" spans="1:11" ht="11.3" customHeight="1">
      <c r="A183" s="13">
        <v>4</v>
      </c>
      <c r="B183" s="12" t="str">
        <f>VLOOKUP('Програма-кодове'!F26,Списък!$A$1:$C$209,3,FALSE)</f>
        <v>математика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английски език</v>
      </c>
      <c r="F183" s="12" t="str">
        <f>VLOOKUP('Програма-кодове'!J26,Списък!$A$1:$C$209,3,FALSE)</f>
        <v>английски език</v>
      </c>
      <c r="H183" s="12"/>
      <c r="I183" s="12"/>
      <c r="J183" s="12"/>
      <c r="K183" s="12"/>
    </row>
    <row r="184" spans="1:11" ht="11.3" customHeight="1">
      <c r="A184" s="13">
        <v>5</v>
      </c>
      <c r="B184" s="12" t="str">
        <f>VLOOKUP('Програма-кодове'!F27,Списък!$A$1:$C$209,3,FALSE)</f>
        <v>философия</v>
      </c>
      <c r="C184" s="12" t="str">
        <f>VLOOKUP('Програма-кодове'!G27,Списък!$A$1:$C$209,3,FALSE)</f>
        <v>физкултура</v>
      </c>
      <c r="D184" s="12" t="str">
        <f>VLOOKUP('Програма-кодове'!H27,Списък!$A$1:$C$209,3,FALSE)</f>
        <v>английски език</v>
      </c>
      <c r="E184" s="12" t="str">
        <f>VLOOKUP('Програма-кодове'!I27,Списък!$A$1:$C$209,3,FALSE)</f>
        <v>английски език</v>
      </c>
      <c r="F184" s="12" t="str">
        <f>VLOOKUP('Програма-кодове'!J27,Списък!$A$1:$C$209,3,FALSE)</f>
        <v>математика</v>
      </c>
      <c r="H184" s="12"/>
      <c r="I184" s="12"/>
      <c r="J184" s="12"/>
      <c r="K184" s="12"/>
    </row>
    <row r="185" spans="1:11" ht="11.3" customHeight="1">
      <c r="A185" s="13">
        <v>6</v>
      </c>
      <c r="B185" s="12" t="str">
        <f>VLOOKUP('Програма-кодове'!F28,Списък!$A$1:$C$209,3,FALSE)</f>
        <v>бълг. език</v>
      </c>
      <c r="C185" s="12" t="str">
        <f>VLOOKUP('Програма-кодове'!G28,Списък!$A$1:$C$209,3,FALSE)</f>
        <v>философия</v>
      </c>
      <c r="D185" s="12" t="str">
        <f>VLOOKUP('Програма-кодове'!H28,Списък!$A$1:$C$209,3,FALSE)</f>
        <v>английски език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рисуване</v>
      </c>
      <c r="H185" s="12"/>
      <c r="I185" s="12"/>
      <c r="J185" s="12"/>
      <c r="K185" s="12"/>
    </row>
    <row r="186" spans="1:11" ht="11.3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2.95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3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3" customHeight="1">
      <c r="A189" s="13">
        <v>1</v>
      </c>
      <c r="B189" s="12" t="str">
        <f>VLOOKUP('Програма-кодове'!K23,Списък!$A$1:$C$209,3,FALSE)</f>
        <v>история</v>
      </c>
      <c r="C189" s="12" t="str">
        <f>VLOOKUP('Програма-кодове'!L23,Списък!$A$1:$C$209,3,FALSE)</f>
        <v>физика</v>
      </c>
      <c r="D189" s="21" t="str">
        <f>VLOOKUP('Програма-кодове'!M23,Списък!$A$1:$C$209,3,FALSE)</f>
        <v>история</v>
      </c>
      <c r="E189" s="12" t="str">
        <f>VLOOKUP('Програма-кодове'!N23,Списък!$A$1:$C$209,3,FALSE)</f>
        <v>физкултура</v>
      </c>
      <c r="F189" s="12" t="str">
        <f>VLOOKUP('Програма-кодове'!O23,Списък!$A$1:$C$209,3,FALSE)</f>
        <v>география</v>
      </c>
      <c r="H189" s="12"/>
      <c r="I189" s="12"/>
      <c r="J189" s="12"/>
      <c r="K189" s="12"/>
    </row>
    <row r="190" spans="1:11" ht="11.3" customHeight="1">
      <c r="A190" s="13">
        <v>2</v>
      </c>
      <c r="B190" s="12" t="str">
        <f>VLOOKUP('Програма-кодове'!K24,Списък!$A$1:$C$209,3,FALSE)</f>
        <v>физика</v>
      </c>
      <c r="C190" s="12" t="str">
        <f>VLOOKUP('Програма-кодове'!L24,Списък!$A$1:$C$209,3,FALSE)</f>
        <v>физкултура</v>
      </c>
      <c r="D190" s="21" t="str">
        <f>VLOOKUP('Програма-кодове'!M24,Списък!$A$1:$C$209,3,FALSE)</f>
        <v>физика</v>
      </c>
      <c r="E190" s="12" t="str">
        <f>VLOOKUP('Програма-кодове'!N24,Списък!$A$1:$C$209,3,FALSE)</f>
        <v>музика</v>
      </c>
      <c r="F190" s="12" t="str">
        <f>VLOOKUP('Програма-кодове'!O24,Списък!$A$1:$C$209,3,FALSE)</f>
        <v>история</v>
      </c>
      <c r="H190" s="12"/>
      <c r="I190" s="12"/>
      <c r="J190" s="12"/>
      <c r="K190" s="12"/>
    </row>
    <row r="191" spans="1:11" ht="11.3" customHeight="1">
      <c r="A191" s="13">
        <v>3</v>
      </c>
      <c r="B191" s="12" t="str">
        <f>VLOOKUP('Програма-кодове'!K25,Списък!$A$1:$C$209,3,FALSE)</f>
        <v>физкултура</v>
      </c>
      <c r="C191" s="12" t="str">
        <f>VLOOKUP('Програма-кодове'!L25,Списък!$A$1:$C$209,3,FALSE)</f>
        <v>математика</v>
      </c>
      <c r="D191" s="21" t="str">
        <f>VLOOKUP('Програма-кодове'!M25,Списък!$A$1:$C$209,3,FALSE)</f>
        <v>математика</v>
      </c>
      <c r="E191" s="12" t="str">
        <f>VLOOKUP('Програма-кодове'!N25,Списък!$A$1:$C$209,3,FALSE)</f>
        <v>физика</v>
      </c>
      <c r="F191" s="12" t="str">
        <f>VLOOKUP('Програма-кодове'!O25,Списък!$A$1:$C$209,3,FALSE)</f>
        <v>бълг. език</v>
      </c>
      <c r="H191" s="12"/>
      <c r="I191" s="12"/>
      <c r="J191" s="12"/>
      <c r="K191" s="12"/>
    </row>
    <row r="192" spans="1:11" ht="11.3" customHeight="1">
      <c r="A192" s="13">
        <v>4</v>
      </c>
      <c r="B192" s="12" t="str">
        <f>VLOOKUP('Програма-кодове'!K26,Списък!$A$1:$C$209,3,FALSE)</f>
        <v>химия</v>
      </c>
      <c r="C192" s="12" t="str">
        <f>VLOOKUP('Програма-кодове'!L26,Списък!$A$1:$C$209,3,FALSE)</f>
        <v>география</v>
      </c>
      <c r="D192" s="21" t="str">
        <f>VLOOKUP('Програма-кодове'!M26,Списък!$A$1:$C$209,3,FALSE)</f>
        <v>ИТ</v>
      </c>
      <c r="E192" s="12" t="str">
        <f>VLOOKUP('Програма-кодове'!N26,Списък!$A$1:$C$209,3,FALSE)</f>
        <v>английски език</v>
      </c>
      <c r="F192" s="12" t="str">
        <f>VLOOKUP('Програма-кодове'!O26,Списък!$A$1:$C$209,3,FALSE)</f>
        <v>бълг. език</v>
      </c>
      <c r="H192" s="12"/>
      <c r="I192" s="12"/>
      <c r="J192" s="12"/>
      <c r="K192" s="12"/>
    </row>
    <row r="193" spans="1:11" ht="11.3" customHeight="1">
      <c r="A193" s="13">
        <v>5</v>
      </c>
      <c r="B193" s="12" t="str">
        <f>VLOOKUP('Програма-кодове'!K27,Списък!$A$1:$C$209,3,FALSE)</f>
        <v>география</v>
      </c>
      <c r="C193" s="12" t="str">
        <f>VLOOKUP('Програма-кодове'!L27,Списък!$A$1:$C$209,3,FALSE)</f>
        <v>философия</v>
      </c>
      <c r="D193" s="21" t="str">
        <f>VLOOKUP('Програма-кодове'!M27,Списък!$A$1:$C$209,3,FALSE)</f>
        <v>английски език</v>
      </c>
      <c r="E193" s="12" t="str">
        <f>VLOOKUP('Програма-кодове'!N27,Списък!$A$1:$C$209,3,FALSE)</f>
        <v>история</v>
      </c>
      <c r="F193" s="12" t="str">
        <f>VLOOKUP('Програма-кодове'!O27,Списък!$A$1:$C$209,3,FALSE)</f>
        <v>ИТ</v>
      </c>
      <c r="H193" s="12"/>
      <c r="I193" s="12"/>
      <c r="J193" s="12"/>
      <c r="K193" s="12"/>
    </row>
    <row r="194" spans="1:11" ht="11.3" customHeight="1">
      <c r="A194" s="13">
        <v>6</v>
      </c>
      <c r="B194" s="12" t="str">
        <f>VLOOKUP('Програма-кодове'!K28,Списък!$A$1:$C$209,3,FALSE)</f>
        <v>английски език</v>
      </c>
      <c r="C194" s="12" t="str">
        <f>VLOOKUP('Програма-кодове'!L28,Списък!$A$1:$C$209,3,FALSE)</f>
        <v>история</v>
      </c>
      <c r="D194" s="21" t="str">
        <f>VLOOKUP('Програма-кодове'!M28,Списък!$A$1:$C$209,3,FALSE)</f>
        <v>география</v>
      </c>
      <c r="E194" s="12" t="str">
        <f>VLOOKUP('Програма-кодове'!N28,Списък!$A$1:$C$209,3,FALSE)</f>
        <v>математика</v>
      </c>
      <c r="F194" s="12" t="str">
        <f>VLOOKUP('Програма-кодове'!O28,Списък!$A$1:$C$209,3,FALSE)</f>
        <v>математика</v>
      </c>
      <c r="H194" s="12"/>
      <c r="I194" s="12"/>
      <c r="J194" s="12"/>
      <c r="K194" s="12"/>
    </row>
    <row r="195" spans="1:11" ht="11.3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2.95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3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3" customHeight="1">
      <c r="A198" s="13">
        <v>1</v>
      </c>
      <c r="B198" s="12" t="str">
        <f>VLOOKUP('Програма-кодове'!P23,Списък!$A$1:$C$209,3,FALSE)</f>
        <v>математика</v>
      </c>
      <c r="C198" s="21" t="str">
        <f>VLOOKUP('Програма-кодове'!Q23,Списък!$A$1:$C$209,3,FALSE)</f>
        <v>информатика</v>
      </c>
      <c r="D198" s="12" t="str">
        <f>VLOOKUP('Програма-кодове'!R23,Списък!$A$1:$C$209,3,FALSE)</f>
        <v>бълг. език</v>
      </c>
      <c r="E198" s="12" t="str">
        <f>VLOOKUP('Програма-кодове'!S23,Списък!$A$1:$C$209,3,FALSE)</f>
        <v>философия</v>
      </c>
      <c r="F198" s="12" t="str">
        <f>VLOOKUP('Програма-кодове'!T23,Списък!$A$1:$C$209,3,FALSE)</f>
        <v>история</v>
      </c>
      <c r="H198" s="12"/>
      <c r="I198" s="12"/>
      <c r="J198" s="12"/>
      <c r="K198" s="12"/>
    </row>
    <row r="199" spans="1:11" ht="11.3" customHeight="1">
      <c r="A199" s="13">
        <v>2</v>
      </c>
      <c r="B199" s="12" t="str">
        <f>VLOOKUP('Програма-кодове'!P24,Списък!$A$1:$C$209,3,FALSE)</f>
        <v>философия</v>
      </c>
      <c r="C199" s="21" t="str">
        <f>VLOOKUP('Програма-кодове'!Q24,Списък!$A$1:$C$209,3,FALSE)</f>
        <v>география</v>
      </c>
      <c r="D199" s="12" t="str">
        <f>VLOOKUP('Програма-кодове'!R24,Списък!$A$1:$C$209,3,FALSE)</f>
        <v>информатика</v>
      </c>
      <c r="E199" s="12" t="str">
        <f>VLOOKUP('Програма-кодове'!S24,Списък!$A$1:$C$209,3,FALSE)</f>
        <v>история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3" customHeight="1">
      <c r="A200" s="13">
        <v>3</v>
      </c>
      <c r="B200" s="12" t="str">
        <f>VLOOKUP('Програма-кодове'!P25,Списък!$A$1:$C$209,3,FALSE)</f>
        <v>история</v>
      </c>
      <c r="C200" s="21" t="str">
        <f>VLOOKUP('Програма-кодове'!Q25,Списък!$A$1:$C$209,3,FALSE)</f>
        <v>химия</v>
      </c>
      <c r="D200" s="12" t="str">
        <f>VLOOKUP('Програма-кодове'!R25,Списък!$A$1:$C$209,3,FALSE)</f>
        <v>музика</v>
      </c>
      <c r="E200" s="12" t="str">
        <f>VLOOKUP('Програма-кодове'!S25,Списък!$A$1:$C$209,3,FALSE)</f>
        <v>бълг. език</v>
      </c>
      <c r="F200" s="12" t="str">
        <f>VLOOKUP('Програма-кодове'!T25,Списък!$A$1:$C$209,3,FALSE)</f>
        <v>география</v>
      </c>
      <c r="H200" s="12"/>
      <c r="I200" s="12"/>
      <c r="J200" s="12"/>
      <c r="K200" s="12"/>
    </row>
    <row r="201" spans="1:11" ht="11.3" customHeight="1">
      <c r="A201" s="13">
        <v>4</v>
      </c>
      <c r="B201" s="12" t="str">
        <f>VLOOKUP('Програма-кодове'!P26,Списък!$A$1:$C$209,3,FALSE)</f>
        <v>ИТ/ИТ</v>
      </c>
      <c r="C201" s="21" t="str">
        <f>VLOOKUP('Програма-кодове'!Q26,Списък!$A$1:$C$209,3,FALSE)</f>
        <v>бълг. език</v>
      </c>
      <c r="D201" s="12" t="str">
        <f>VLOOKUP('Програма-кодове'!R26,Списък!$A$1:$C$209,3,FALSE)</f>
        <v>философия</v>
      </c>
      <c r="E201" s="12" t="str">
        <f>VLOOKUP('Програма-кодове'!S26,Списък!$A$1:$C$209,3,FALSE)</f>
        <v>биология</v>
      </c>
      <c r="F201" s="12" t="str">
        <f>VLOOKUP('Програма-кодове'!T26,Списък!$A$1:$C$209,3,FALSE)</f>
        <v>философия</v>
      </c>
      <c r="H201" s="12"/>
      <c r="I201" s="12"/>
      <c r="J201" s="12"/>
      <c r="K201" s="12"/>
    </row>
    <row r="202" spans="1:11" ht="11.3" customHeight="1">
      <c r="A202" s="13">
        <v>5</v>
      </c>
      <c r="B202" s="12" t="str">
        <f>VLOOKUP('Програма-кодове'!P27,Списък!$A$1:$C$209,3,FALSE)</f>
        <v>бълг. език</v>
      </c>
      <c r="C202" s="21" t="str">
        <f>VLOOKUP('Програма-кодове'!Q27,Списък!$A$1:$C$209,3,FALSE)</f>
        <v>история</v>
      </c>
      <c r="D202" s="12" t="str">
        <f>VLOOKUP('Програма-кодове'!R27,Списък!$A$1:$C$209,3,FALSE)</f>
        <v>биология</v>
      </c>
      <c r="E202" s="12" t="str">
        <f>VLOOKUP('Програма-кодове'!S27,Списък!$A$1:$C$209,3,FALSE)</f>
        <v>ИТ/ИТ</v>
      </c>
      <c r="F202" s="12" t="str">
        <f>VLOOKUP('Програма-кодове'!T27,Списък!$A$1:$C$209,3,FALSE)</f>
        <v>химия</v>
      </c>
      <c r="H202" s="12"/>
      <c r="I202" s="12"/>
      <c r="J202" s="12"/>
      <c r="K202" s="12"/>
    </row>
    <row r="203" spans="1:11" ht="11.3" customHeight="1">
      <c r="A203" s="13">
        <v>6</v>
      </c>
      <c r="B203" s="12" t="str">
        <f>VLOOKUP('Програма-кодове'!P28,Списък!$A$1:$C$209,3,FALSE)</f>
        <v>биология</v>
      </c>
      <c r="C203" s="21" t="str">
        <f>VLOOKUP('Програма-кодове'!Q28,Списък!$A$1:$C$209,3,FALSE)</f>
        <v>физкултура</v>
      </c>
      <c r="D203" s="12" t="str">
        <f>VLOOKUP('Програма-кодове'!R28,Списък!$A$1:$C$209,3,FALSE)</f>
        <v>математика</v>
      </c>
      <c r="E203" s="12" t="str">
        <f>VLOOKUP('Програма-кодове'!S28,Списък!$A$1:$C$209,3,FALSE)</f>
        <v>математика</v>
      </c>
      <c r="F203" s="12" t="str">
        <f>VLOOKUP('Програма-кодове'!T28,Списък!$A$1:$C$209,3,FALSE)</f>
        <v>бълг. език</v>
      </c>
      <c r="H203" s="12"/>
      <c r="I203" s="12"/>
      <c r="J203" s="12"/>
      <c r="K203" s="12"/>
    </row>
    <row r="204" spans="1:11" ht="11.3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2.95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3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3" customHeight="1">
      <c r="A207" s="13">
        <v>1</v>
      </c>
      <c r="B207" s="12" t="str">
        <f>VLOOKUP('Програма-кодове'!U23,Списък!$A$1:$C$209,3,FALSE)</f>
        <v>информатика</v>
      </c>
      <c r="C207" s="12" t="str">
        <f>VLOOKUP('Програма-кодове'!V23,Списък!$A$1:$C$209,3,FALSE)</f>
        <v>ІІ - ри чужд език</v>
      </c>
      <c r="D207" s="21" t="str">
        <f>VLOOKUP('Програма-кодове'!W23,Списък!$A$1:$C$209,3,FALSE)</f>
        <v>ІІ - ри чужд език</v>
      </c>
      <c r="E207" s="21" t="str">
        <f>VLOOKUP('Програма-кодове'!X23,Списък!$A$1:$C$209,3,FALSE)</f>
        <v>физкултура</v>
      </c>
      <c r="F207" s="12" t="str">
        <f>VLOOKUP('Програма-кодове'!Y23,Списък!$A$1:$C$209,3,FALSE)</f>
        <v>химия</v>
      </c>
      <c r="H207" s="12"/>
      <c r="I207" s="12"/>
      <c r="J207" s="12"/>
      <c r="K207" s="12"/>
    </row>
    <row r="208" spans="1:11" ht="11.3" customHeight="1">
      <c r="A208" s="13">
        <v>2</v>
      </c>
      <c r="B208" s="12" t="str">
        <f>VLOOKUP('Програма-кодове'!U24,Списък!$A$1:$C$209,3,FALSE)</f>
        <v>химия</v>
      </c>
      <c r="C208" s="12" t="str">
        <f>VLOOKUP('Програма-кодове'!V24,Списък!$A$1:$C$209,3,FALSE)</f>
        <v>ІІ - ри чужд език</v>
      </c>
      <c r="D208" s="21" t="str">
        <f>VLOOKUP('Програма-кодове'!W24,Списък!$A$1:$C$209,3,FALSE)</f>
        <v>ІІ - ри чужд език</v>
      </c>
      <c r="E208" s="21" t="str">
        <f>VLOOKUP('Програма-кодове'!X24,Списък!$A$1:$C$209,3,FALSE)</f>
        <v>информатика</v>
      </c>
      <c r="F208" s="12" t="str">
        <f>VLOOKUP('Програма-кодове'!Y24,Списък!$A$1:$C$209,3,FALSE)</f>
        <v>химия</v>
      </c>
      <c r="H208" s="12"/>
      <c r="I208" s="12"/>
      <c r="J208" s="12"/>
      <c r="K208" s="12"/>
    </row>
    <row r="209" spans="1:11" ht="11.3" customHeight="1">
      <c r="A209" s="13">
        <v>3</v>
      </c>
      <c r="B209" s="12" t="str">
        <f>VLOOKUP('Програма-кодове'!U25,Списък!$A$1:$C$209,3,FALSE)</f>
        <v>философия</v>
      </c>
      <c r="C209" s="12" t="str">
        <f>VLOOKUP('Програма-кодове'!V25,Списък!$A$1:$C$209,3,FALSE)</f>
        <v>химия</v>
      </c>
      <c r="D209" s="21" t="str">
        <f>VLOOKUP('Програма-кодове'!W25,Списък!$A$1:$C$209,3,FALSE)</f>
        <v>информатика</v>
      </c>
      <c r="E209" s="21" t="str">
        <f>VLOOKUP('Програма-кодове'!X25,Списък!$A$1:$C$209,3,FALSE)</f>
        <v>бълг. език</v>
      </c>
      <c r="F209" s="12" t="str">
        <f>VLOOKUP('Програма-кодове'!Y25,Списък!$A$1:$C$209,3,FALSE)</f>
        <v>ІІ - ри чужд език</v>
      </c>
      <c r="H209" s="12"/>
      <c r="I209" s="12"/>
      <c r="J209" s="12"/>
      <c r="K209" s="12"/>
    </row>
    <row r="210" spans="1:11" ht="11.3" customHeight="1">
      <c r="A210" s="13">
        <v>4</v>
      </c>
      <c r="B210" s="12" t="str">
        <f>VLOOKUP('Програма-кодове'!U26,Списък!$A$1:$C$209,3,FALSE)</f>
        <v>математика</v>
      </c>
      <c r="C210" s="12" t="str">
        <f>VLOOKUP('Програма-кодове'!V26,Списък!$A$1:$C$209,3,FALSE)</f>
        <v>информатика</v>
      </c>
      <c r="D210" s="21" t="str">
        <f>VLOOKUP('Програма-кодове'!W26,Списък!$A$1:$C$209,3,FALSE)</f>
        <v>химия</v>
      </c>
      <c r="E210" s="21" t="str">
        <f>VLOOKUP('Програма-кодове'!X26,Списък!$A$1:$C$209,3,FALSE)</f>
        <v>бълг. език</v>
      </c>
      <c r="F210" s="12" t="str">
        <f>VLOOKUP('Програма-кодове'!Y26,Списък!$A$1:$C$209,3,FALSE)</f>
        <v>ІІ - ри чужд език</v>
      </c>
      <c r="H210" s="12"/>
      <c r="I210" s="12"/>
      <c r="J210" s="12"/>
      <c r="K210" s="12"/>
    </row>
    <row r="211" spans="1:11" ht="11.3" customHeight="1">
      <c r="A211" s="13">
        <v>5</v>
      </c>
      <c r="B211" s="12" t="str">
        <f>VLOOKUP('Програма-кодове'!U27,Списък!$A$1:$C$209,3,FALSE)</f>
        <v>ІІ - ри чужд език</v>
      </c>
      <c r="C211" s="12" t="str">
        <f>VLOOKUP('Програма-кодове'!V27,Списък!$A$1:$C$209,3,FALSE)</f>
        <v>бълг. език</v>
      </c>
      <c r="D211" s="21" t="str">
        <f>VLOOKUP('Програма-кодове'!W27,Списък!$A$1:$C$209,3,FALSE)</f>
        <v>биология</v>
      </c>
      <c r="E211" s="21" t="str">
        <f>VLOOKUP('Програма-кодове'!X27,Списък!$A$1:$C$209,3,FALSE)</f>
        <v>английски език</v>
      </c>
      <c r="F211" s="12" t="str">
        <f>VLOOKUP('Програма-кодове'!Y27,Списък!$A$1:$C$209,3,FALSE)</f>
        <v>физкултура</v>
      </c>
      <c r="H211" s="12"/>
      <c r="I211" s="12"/>
      <c r="J211" s="12"/>
      <c r="K211" s="12"/>
    </row>
    <row r="212" spans="1:11" ht="11.3" customHeight="1">
      <c r="A212" s="13">
        <v>6</v>
      </c>
      <c r="B212" s="12" t="str">
        <f>VLOOKUP('Програма-кодове'!U28,Списък!$A$1:$C$209,3,FALSE)</f>
        <v>ІІ - ри чужд език</v>
      </c>
      <c r="C212" s="12" t="str">
        <f>VLOOKUP('Програма-кодове'!V28,Списък!$A$1:$C$209,3,FALSE)</f>
        <v>бълг. език</v>
      </c>
      <c r="D212" s="21" t="str">
        <f>VLOOKUP('Програма-кодове'!W28,Списък!$A$1:$C$209,3,FALSE)</f>
        <v>математика</v>
      </c>
      <c r="E212" s="21" t="str">
        <f>VLOOKUP('Програма-кодове'!X28,Списък!$A$1:$C$209,3,FALSE)</f>
        <v>биология</v>
      </c>
      <c r="F212" s="12" t="str">
        <f>VLOOKUP('Програма-кодове'!Y28,Списък!$A$1:$C$209,3,FALSE)</f>
        <v>английски език</v>
      </c>
      <c r="H212" s="12"/>
      <c r="I212" s="12"/>
      <c r="J212" s="12"/>
      <c r="K212" s="12"/>
    </row>
    <row r="213" spans="1:11" ht="11.3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2.95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3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3" customHeight="1">
      <c r="A216" s="13">
        <v>1</v>
      </c>
      <c r="B216" s="12" t="str">
        <f>VLOOKUP('Програма-кодове'!Z23,Списък!$A$1:$C$209,3,FALSE)</f>
        <v>бълг. език</v>
      </c>
      <c r="C216" s="12" t="str">
        <f>VLOOKUP('Програма-кодове'!AA23,Списък!$A$1:$C$209,3,FALSE)</f>
        <v>информатика</v>
      </c>
      <c r="D216" s="12" t="str">
        <f>VLOOKUP('Програма-кодове'!AB23,Списък!$A$1:$C$209,3,FALSE)</f>
        <v>математика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биология</v>
      </c>
      <c r="H216" s="12"/>
      <c r="I216" s="12"/>
      <c r="J216" s="12"/>
      <c r="K216" s="12"/>
    </row>
    <row r="217" spans="1:11" ht="11.3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английски език</v>
      </c>
      <c r="D217" s="12" t="str">
        <f>VLOOKUP('Програма-кодове'!AB24,Списък!$A$1:$C$209,3,FALSE)</f>
        <v>математика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3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английски език</v>
      </c>
      <c r="D218" s="12" t="str">
        <f>VLOOKUP('Програма-кодове'!AB25,Списък!$A$1:$C$209,3,FALSE)</f>
        <v>информатика</v>
      </c>
      <c r="E218" s="12" t="str">
        <f>VLOOKUP('Програма-кодове'!AC25,Списък!$A$1:$C$209,3,FALSE)</f>
        <v>география</v>
      </c>
      <c r="F218" s="12" t="str">
        <f>VLOOKUP('Програма-кодове'!AD25,Списък!$A$1:$C$209,3,FALSE)</f>
        <v>бълг. език</v>
      </c>
      <c r="H218" s="12"/>
      <c r="I218" s="12"/>
      <c r="J218" s="12"/>
      <c r="K218" s="12"/>
    </row>
    <row r="219" spans="1:11" ht="11.3" customHeight="1">
      <c r="A219" s="13">
        <v>4</v>
      </c>
      <c r="B219" s="12" t="str">
        <f>VLOOKUP('Програма-кодове'!Z26,Списък!$A$1:$C$209,3,FALSE)</f>
        <v>математика</v>
      </c>
      <c r="C219" s="12" t="str">
        <f>VLOOKUP('Програма-кодове'!AA26,Списък!$A$1:$C$209,3,FALSE)</f>
        <v>математика</v>
      </c>
      <c r="D219" s="12" t="str">
        <f>VLOOKUP('Програма-кодове'!AB26,Списък!$A$1:$C$209,3,FALSE)</f>
        <v>физкултура</v>
      </c>
      <c r="E219" s="12" t="str">
        <f>VLOOKUP('Програма-кодове'!AC26,Списък!$A$1:$C$209,3,FALSE)</f>
        <v>бълг. език</v>
      </c>
      <c r="F219" s="12" t="str">
        <f>VLOOKUP('Програма-кодове'!AD26,Списък!$A$1:$C$209,3,FALSE)</f>
        <v>история</v>
      </c>
      <c r="H219" s="12"/>
      <c r="I219" s="12"/>
      <c r="J219" s="12"/>
      <c r="K219" s="12"/>
    </row>
    <row r="220" spans="1:11" ht="11.3" customHeight="1">
      <c r="A220" s="13">
        <v>5</v>
      </c>
      <c r="B220" s="12" t="str">
        <f>VLOOKUP('Програма-кодове'!Z27,Списък!$A$1:$C$209,3,FALSE)</f>
        <v>английски език</v>
      </c>
      <c r="C220" s="12" t="str">
        <f>VLOOKUP('Програма-кодове'!AA27,Списък!$A$1:$C$209,3,FALSE)</f>
        <v>физкултура</v>
      </c>
      <c r="D220" s="12" t="str">
        <f>VLOOKUP('Програма-кодове'!AB27,Списък!$A$1:$C$209,3,FALSE)</f>
        <v>бълг. език</v>
      </c>
      <c r="E220" s="12" t="str">
        <f>VLOOKUP('Програма-кодове'!AC27,Списък!$A$1:$C$209,3,FALSE)</f>
        <v>история</v>
      </c>
      <c r="F220" s="12" t="str">
        <f>VLOOKUP('Програма-кодове'!AD27,Списък!$A$1:$C$209,3,FALSE)</f>
        <v>химия</v>
      </c>
      <c r="H220" s="12"/>
      <c r="I220" s="12"/>
      <c r="J220" s="12"/>
      <c r="K220" s="12"/>
    </row>
    <row r="221" spans="1:11" ht="11.3" customHeight="1">
      <c r="A221" s="13">
        <v>6</v>
      </c>
      <c r="B221" s="12" t="str">
        <f>VLOOKUP('Програма-кодове'!Z28,Списък!$A$1:$C$209,3,FALSE)</f>
        <v>английски език</v>
      </c>
      <c r="C221" s="12" t="str">
        <f>VLOOKUP('Програма-кодове'!AA28,Списък!$A$1:$C$209,3,FALSE)</f>
        <v>бълг. език</v>
      </c>
      <c r="D221" s="12" t="str">
        <f>VLOOKUP('Програма-кодове'!AB28,Списък!$A$1:$C$209,3,FALSE)</f>
        <v>история</v>
      </c>
      <c r="E221" s="12" t="str">
        <f>VLOOKUP('Програма-кодове'!AC28,Списък!$A$1:$C$209,3,FALSE)</f>
        <v>физкултура</v>
      </c>
      <c r="F221" s="12" t="str">
        <f>VLOOKUP('Програма-кодове'!AD28,Списък!$A$1:$C$209,3,FALSE)</f>
        <v>химия</v>
      </c>
      <c r="H221" s="12"/>
      <c r="I221" s="12"/>
      <c r="J221" s="12"/>
      <c r="K221" s="12"/>
    </row>
    <row r="222" spans="1:11" ht="11.3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2.95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0.95" customHeight="1" thickBot="1">
      <c r="A224" s="398" t="s">
        <v>28</v>
      </c>
      <c r="B224" s="398"/>
      <c r="C224" s="398"/>
      <c r="D224" s="398"/>
      <c r="E224" s="398"/>
      <c r="F224" s="398"/>
      <c r="H224" s="12"/>
      <c r="I224" s="12"/>
      <c r="J224" s="12"/>
      <c r="K224" s="12"/>
    </row>
    <row r="225" spans="1:11" s="43" customFormat="1" ht="11.3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3" customHeight="1">
      <c r="A226" s="13">
        <v>1</v>
      </c>
      <c r="B226" s="12" t="str">
        <f>VLOOKUP('Програма-кодове'!C30,Списък!$A$1:$C$209,3,FALSE)</f>
        <v>ИТ/ТП</v>
      </c>
      <c r="C226" s="12" t="str">
        <f>VLOOKUP('Програма-кодове'!D30,Списък!$A$1:$C$209,3,FALSE)</f>
        <v>математика</v>
      </c>
      <c r="D226" s="12" t="str">
        <f>VLOOKUP('Програма-кодове'!E30,Списък!$A$1:$C$209,3,FALSE)</f>
        <v>математика</v>
      </c>
      <c r="H226" s="12"/>
      <c r="I226" s="12"/>
      <c r="J226" s="12"/>
      <c r="K226" s="12"/>
    </row>
    <row r="227" spans="1:11" ht="11.3" customHeight="1">
      <c r="A227" s="13">
        <v>2</v>
      </c>
      <c r="B227" s="12" t="str">
        <f>VLOOKUP('Програма-кодове'!C31,Списък!$A$1:$C$209,3,FALSE)</f>
        <v>математика</v>
      </c>
      <c r="C227" s="12" t="str">
        <f>VLOOKUP('Програма-кодове'!D31,Списък!$A$1:$C$209,3,FALSE)</f>
        <v>ИТ/ИТ</v>
      </c>
      <c r="D227" s="12" t="str">
        <f>VLOOKUP('Програма-кодове'!E31,Списък!$A$1:$C$209,3,FALSE)</f>
        <v>математика</v>
      </c>
      <c r="H227" s="12"/>
      <c r="I227" s="12"/>
      <c r="J227" s="12"/>
      <c r="K227" s="12"/>
    </row>
    <row r="228" spans="1:11" ht="11.3" customHeight="1">
      <c r="A228" s="13">
        <v>3</v>
      </c>
      <c r="B228" s="12" t="str">
        <f>VLOOKUP('Програма-кодове'!C32,Списък!$A$1:$C$209,3,FALSE)</f>
        <v>физика</v>
      </c>
      <c r="C228" s="12" t="str">
        <f>VLOOKUP('Програма-кодове'!D32,Списък!$A$1:$C$209,3,FALSE)</f>
        <v>ИТ/ТП</v>
      </c>
      <c r="D228" s="12" t="str">
        <f>VLOOKUP('Програма-кодове'!E32,Списък!$A$1:$C$209,3,FALSE)</f>
        <v>история</v>
      </c>
      <c r="H228" s="12"/>
      <c r="I228" s="12"/>
      <c r="J228" s="12"/>
      <c r="K228" s="12"/>
    </row>
    <row r="229" spans="1:11" ht="11.3" customHeight="1">
      <c r="A229" s="13">
        <v>4</v>
      </c>
      <c r="B229" s="12" t="str">
        <f>VLOOKUP('Програма-кодове'!C33,Списък!$A$1:$C$209,3,FALSE)</f>
        <v>информатика</v>
      </c>
      <c r="C229" s="12" t="str">
        <f>VLOOKUP('Програма-кодове'!D33,Списък!$A$1:$C$209,3,FALSE)</f>
        <v>бълг. език</v>
      </c>
      <c r="D229" s="12" t="str">
        <f>VLOOKUP('Програма-кодове'!E33,Списък!$A$1:$C$209,3,FALSE)</f>
        <v>география</v>
      </c>
      <c r="H229" s="12"/>
      <c r="I229" s="12"/>
      <c r="J229" s="12"/>
      <c r="K229" s="12"/>
    </row>
    <row r="230" spans="1:11" ht="11.3" customHeight="1">
      <c r="A230" s="13">
        <v>5</v>
      </c>
      <c r="B230" s="12" t="str">
        <f>VLOOKUP('Програма-кодове'!C34,Списък!$A$1:$C$209,3,FALSE)</f>
        <v>бълг. език</v>
      </c>
      <c r="C230" s="12" t="str">
        <f>VLOOKUP('Програма-кодове'!D34,Списък!$A$1:$C$209,3,FALSE)</f>
        <v>физика</v>
      </c>
      <c r="D230" s="12" t="str">
        <f>VLOOKUP('Програма-кодове'!E34,Списък!$A$1:$C$209,3,FALSE)</f>
        <v>бълг. език</v>
      </c>
      <c r="H230" s="12"/>
      <c r="I230" s="12"/>
      <c r="J230" s="12"/>
      <c r="K230" s="12"/>
    </row>
    <row r="231" spans="1:11" ht="11.3" customHeight="1">
      <c r="A231" s="13">
        <v>6</v>
      </c>
      <c r="B231" s="12" t="str">
        <f>VLOOKUP('Програма-кодове'!C35,Списък!$A$1:$C$209,3,FALSE)</f>
        <v>физкултура</v>
      </c>
      <c r="C231" s="12" t="str">
        <f>VLOOKUP('Програма-кодове'!D35,Списък!$A$1:$C$209,3,FALSE)</f>
        <v>физкултура</v>
      </c>
      <c r="D231" s="12" t="str">
        <f>VLOOKUP('Програма-кодове'!E35,Списък!$A$1:$C$209,3,FALSE)</f>
        <v>рисуване</v>
      </c>
      <c r="H231" s="12"/>
      <c r="I231" s="12"/>
      <c r="J231" s="12"/>
      <c r="K231" s="12"/>
    </row>
    <row r="232" spans="1:11" ht="11.3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2.95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3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3" customHeight="1">
      <c r="A235" s="13">
        <v>1</v>
      </c>
      <c r="B235" s="12" t="str">
        <f>VLOOKUP('Програма-кодове'!F30,Списък!$A$1:$C$209,3,FALSE)</f>
        <v>английски език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математика</v>
      </c>
      <c r="F235" s="12" t="str">
        <f>VLOOKUP('Програма-кодове'!J30,Списък!$A$1:$C$209,3,FALSE)</f>
        <v>информатика</v>
      </c>
      <c r="H235" s="12"/>
      <c r="I235" s="12"/>
      <c r="J235" s="12"/>
      <c r="K235" s="12"/>
    </row>
    <row r="236" spans="1:11" ht="11.3" customHeight="1">
      <c r="A236" s="13">
        <v>2</v>
      </c>
      <c r="B236" s="12" t="str">
        <f>VLOOKUP('Програма-кодове'!F31,Списък!$A$1:$C$209,3,FALSE)</f>
        <v>английски език</v>
      </c>
      <c r="C236" s="12" t="str">
        <f>VLOOKUP('Програма-кодове'!G31,Списък!$A$1:$C$209,3,FALSE)</f>
        <v>математика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информатика</v>
      </c>
      <c r="F236" s="12" t="str">
        <f>VLOOKUP('Програма-кодове'!J31,Списък!$A$1:$C$209,3,FALSE)</f>
        <v>бълг. език</v>
      </c>
      <c r="H236" s="12"/>
      <c r="I236" s="12"/>
      <c r="J236" s="12"/>
      <c r="K236" s="12"/>
    </row>
    <row r="237" spans="1:11" ht="11.3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английски език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бълг. език</v>
      </c>
      <c r="F237" s="12" t="str">
        <f>VLOOKUP('Програма-кодове'!J32,Списък!$A$1:$C$209,3,FALSE)</f>
        <v>английски език</v>
      </c>
      <c r="H237" s="12"/>
      <c r="I237" s="12"/>
      <c r="J237" s="12"/>
      <c r="K237" s="12"/>
    </row>
    <row r="238" spans="1:11" ht="11.3" customHeight="1">
      <c r="A238" s="13">
        <v>4</v>
      </c>
      <c r="B238" s="12" t="str">
        <f>VLOOKUP('Програма-кодове'!F33,Списък!$A$1:$C$209,3,FALSE)</f>
        <v>английски език</v>
      </c>
      <c r="C238" s="12" t="str">
        <f>VLOOKUP('Програма-кодове'!G33,Списък!$A$1:$C$209,3,FALSE)</f>
        <v>информатика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английски език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3" customHeight="1">
      <c r="A239" s="13">
        <v>5</v>
      </c>
      <c r="B239" s="12" t="str">
        <f>VLOOKUP('Програма-кодове'!F34,Списък!$A$1:$C$209,3,FALSE)</f>
        <v>физкултура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информатика</v>
      </c>
      <c r="E239" s="12" t="str">
        <f>VLOOKUP('Програма-кодове'!I34,Списък!$A$1:$C$209,3,FALSE)</f>
        <v>английски език</v>
      </c>
      <c r="F239" s="12" t="str">
        <f>VLOOKUP('Програма-кодове'!J34,Списък!$A$1:$C$209,3,FALSE)</f>
        <v>английски език</v>
      </c>
      <c r="H239" s="12"/>
      <c r="I239" s="12"/>
      <c r="J239" s="12"/>
      <c r="K239" s="12"/>
    </row>
    <row r="240" spans="1:11" ht="11.3" customHeight="1">
      <c r="A240" s="13">
        <v>6</v>
      </c>
      <c r="B240" s="12" t="str">
        <f>VLOOKUP('Програма-кодове'!F35,Списък!$A$1:$C$209,3,FALSE)</f>
        <v>информатика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английски език</v>
      </c>
      <c r="F240" s="12" t="str">
        <f>VLOOKUP('Програма-кодове'!J35,Списък!$A$1:$C$209,3,FALSE)</f>
        <v>английски език</v>
      </c>
      <c r="H240" s="12"/>
      <c r="I240" s="12"/>
      <c r="J240" s="12"/>
      <c r="K240" s="12"/>
    </row>
    <row r="241" spans="1:11" ht="11.3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2.95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3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3" customHeight="1">
      <c r="A244" s="13">
        <v>1</v>
      </c>
      <c r="B244" s="12" t="str">
        <f>VLOOKUP('Програма-кодове'!K30,Списък!$A$1:$C$209,3,FALSE)</f>
        <v>философия</v>
      </c>
      <c r="C244" s="21" t="str">
        <f>VLOOKUP('Програма-кодове'!L30,Списък!$A$1:$C$209,3,FALSE)</f>
        <v>английски език</v>
      </c>
      <c r="D244" s="12" t="str">
        <f>VLOOKUP('Програма-кодове'!M30,Списък!$A$1:$C$209,3,FALSE)</f>
        <v>химия</v>
      </c>
      <c r="E244" s="21" t="str">
        <f>VLOOKUP('Програма-кодове'!N30,Списък!$A$1:$C$209,3,FALSE)</f>
        <v>информатика</v>
      </c>
      <c r="F244" s="21" t="str">
        <f>VLOOKUP('Програма-кодове'!O30,Списък!$A$1:$C$209,3,FALSE)</f>
        <v>бълг. език</v>
      </c>
      <c r="H244" s="12"/>
      <c r="I244" s="12"/>
      <c r="J244" s="12"/>
      <c r="K244" s="12"/>
    </row>
    <row r="245" spans="1:11" ht="11.3" customHeight="1">
      <c r="A245" s="13">
        <v>2</v>
      </c>
      <c r="B245" s="12" t="str">
        <f>VLOOKUP('Програма-кодове'!K31,Списък!$A$1:$C$209,3,FALSE)</f>
        <v>бълг. език</v>
      </c>
      <c r="C245" s="21" t="str">
        <f>VLOOKUP('Програма-кодове'!L31,Списък!$A$1:$C$209,3,FALSE)</f>
        <v>информатика</v>
      </c>
      <c r="D245" s="12" t="str">
        <f>VLOOKUP('Програма-кодове'!M31,Списък!$A$1:$C$209,3,FALSE)</f>
        <v>математика</v>
      </c>
      <c r="E245" s="21" t="str">
        <f>VLOOKUP('Програма-кодове'!N31,Списък!$A$1:$C$209,3,FALSE)</f>
        <v>биология</v>
      </c>
      <c r="F245" s="21" t="str">
        <f>VLOOKUP('Програма-кодове'!O31,Списък!$A$1:$C$209,3,FALSE)</f>
        <v>английски език</v>
      </c>
      <c r="H245" s="12"/>
      <c r="I245" s="12"/>
      <c r="J245" s="12"/>
      <c r="K245" s="12"/>
    </row>
    <row r="246" spans="1:11" ht="11.3" customHeight="1">
      <c r="A246" s="13">
        <v>3</v>
      </c>
      <c r="B246" s="12" t="str">
        <f>VLOOKUP('Програма-кодове'!K32,Списък!$A$1:$C$209,3,FALSE)</f>
        <v>математика</v>
      </c>
      <c r="C246" s="21" t="str">
        <f>VLOOKUP('Програма-кодове'!L32,Списък!$A$1:$C$209,3,FALSE)</f>
        <v>бълг. език</v>
      </c>
      <c r="D246" s="12" t="str">
        <f>VLOOKUP('Програма-кодове'!M32,Списък!$A$1:$C$209,3,FALSE)</f>
        <v>математика</v>
      </c>
      <c r="E246" s="21" t="str">
        <f>VLOOKUP('Програма-кодове'!N32,Списък!$A$1:$C$209,3,FALSE)</f>
        <v>география</v>
      </c>
      <c r="F246" s="21" t="str">
        <f>VLOOKUP('Програма-кодове'!O32,Списък!$A$1:$C$209,3,FALSE)</f>
        <v>биология</v>
      </c>
      <c r="H246" s="12"/>
      <c r="I246" s="12"/>
      <c r="J246" s="12"/>
      <c r="K246" s="12"/>
    </row>
    <row r="247" spans="1:11" ht="11.3" customHeight="1">
      <c r="A247" s="13">
        <v>4</v>
      </c>
      <c r="B247" s="12" t="str">
        <f>VLOOKUP('Програма-кодове'!K33,Списък!$A$1:$C$209,3,FALSE)</f>
        <v>биология</v>
      </c>
      <c r="C247" s="21" t="str">
        <f>VLOOKUP('Програма-кодове'!L33,Списък!$A$1:$C$209,3,FALSE)</f>
        <v>музика</v>
      </c>
      <c r="D247" s="12" t="str">
        <f>VLOOKUP('Програма-кодове'!M33,Списък!$A$1:$C$209,3,FALSE)</f>
        <v>биология</v>
      </c>
      <c r="E247" s="21" t="str">
        <f>VLOOKUP('Програма-кодове'!N33,Списък!$A$1:$C$209,3,FALSE)</f>
        <v>бълг. език</v>
      </c>
      <c r="F247" s="21" t="str">
        <f>VLOOKUP('Програма-кодове'!O33,Списък!$A$1:$C$209,3,FALSE)</f>
        <v>химия</v>
      </c>
      <c r="H247" s="12"/>
      <c r="I247" s="12"/>
      <c r="J247" s="12"/>
      <c r="K247" s="12"/>
    </row>
    <row r="248" spans="1:11" ht="11.3" customHeight="1">
      <c r="A248" s="13">
        <v>5</v>
      </c>
      <c r="B248" s="12" t="str">
        <f>VLOOKUP('Програма-кодове'!K34,Списък!$A$1:$C$209,3,FALSE)</f>
        <v>история</v>
      </c>
      <c r="C248" s="21" t="str">
        <f>VLOOKUP('Програма-кодове'!L34,Списък!$A$1:$C$209,3,FALSE)</f>
        <v>биология</v>
      </c>
      <c r="D248" s="12" t="str">
        <f>VLOOKUP('Програма-кодове'!M34,Списък!$A$1:$C$209,3,FALSE)</f>
        <v>физкултура</v>
      </c>
      <c r="E248" s="21" t="str">
        <f>VLOOKUP('Програма-кодове'!N34,Списък!$A$1:$C$209,3,FALSE)</f>
        <v>химия</v>
      </c>
      <c r="F248" s="21" t="str">
        <f>VLOOKUP('Програма-кодове'!O34,Списък!$A$1:$C$209,3,FALSE)</f>
        <v>музика</v>
      </c>
      <c r="H248" s="12"/>
      <c r="I248" s="12"/>
      <c r="J248" s="12"/>
      <c r="K248" s="12"/>
    </row>
    <row r="249" spans="1:11" ht="11.3" customHeight="1">
      <c r="A249" s="13">
        <v>6</v>
      </c>
      <c r="B249" s="12" t="str">
        <f>VLOOKUP('Програма-кодове'!K35,Списък!$A$1:$C$209,3,FALSE)</f>
        <v>физкултура</v>
      </c>
      <c r="C249" s="21" t="str">
        <f>VLOOKUP('Програма-кодове'!L35,Списък!$A$1:$C$209,3,FALSE)</f>
        <v>история</v>
      </c>
      <c r="D249" s="12" t="str">
        <f>VLOOKUP('Програма-кодове'!M35,Списък!$A$1:$C$209,3,FALSE)</f>
        <v>бълг. език</v>
      </c>
      <c r="E249" s="21" t="str">
        <f>VLOOKUP('Програма-кодове'!N35,Списък!$A$1:$C$209,3,FALSE)</f>
        <v>история</v>
      </c>
      <c r="F249" s="21" t="str">
        <f>VLOOKUP('Програма-кодове'!O35,Списък!$A$1:$C$209,3,FALSE)</f>
        <v>физика</v>
      </c>
      <c r="H249" s="12"/>
      <c r="I249" s="12"/>
      <c r="J249" s="12"/>
      <c r="K249" s="12"/>
    </row>
    <row r="250" spans="1:11" ht="11.3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2.95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3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3" customHeight="1">
      <c r="A253" s="13">
        <v>1</v>
      </c>
      <c r="B253" s="12" t="str">
        <f>VLOOKUP('Програма-кодове'!P30,Списък!$A$1:$C$209,3,FALSE)</f>
        <v>география</v>
      </c>
      <c r="C253" s="21" t="str">
        <f>VLOOKUP('Програма-кодове'!Q30,Списък!$A$1:$C$209,3,FALSE)</f>
        <v>история</v>
      </c>
      <c r="D253" s="12" t="str">
        <f>VLOOKUP('Програма-кодове'!R30,Списък!$A$1:$C$209,3,FALSE)</f>
        <v>химия</v>
      </c>
      <c r="E253" s="21" t="str">
        <f>VLOOKUP('Програма-кодове'!S30,Списък!$A$1:$C$209,3,FALSE)</f>
        <v>физика</v>
      </c>
      <c r="F253" s="12" t="str">
        <f>VLOOKUP('Програма-кодове'!T30,Списък!$A$1:$C$209,3,FALSE)</f>
        <v>физкултура</v>
      </c>
      <c r="H253" s="12"/>
      <c r="I253" s="12"/>
      <c r="J253" s="12"/>
      <c r="K253" s="12"/>
    </row>
    <row r="254" spans="1:11" ht="11.3" customHeight="1">
      <c r="A254" s="13">
        <v>2</v>
      </c>
      <c r="B254" s="12" t="str">
        <f>VLOOKUP('Програма-кодове'!P31,Списък!$A$1:$C$209,3,FALSE)</f>
        <v>химия</v>
      </c>
      <c r="C254" s="21" t="str">
        <f>VLOOKUP('Програма-кодове'!Q31,Списък!$A$1:$C$209,3,FALSE)</f>
        <v>музика</v>
      </c>
      <c r="D254" s="12" t="str">
        <f>VLOOKUP('Програма-кодове'!R31,Списък!$A$1:$C$209,3,FALSE)</f>
        <v>история</v>
      </c>
      <c r="E254" s="21" t="str">
        <f>VLOOKUP('Програма-кодове'!S31,Списък!$A$1:$C$209,3,FALSE)</f>
        <v>география</v>
      </c>
      <c r="F254" s="12" t="str">
        <f>VLOOKUP('Програма-кодове'!T31,Списък!$A$1:$C$209,3,FALSE)</f>
        <v>физика</v>
      </c>
      <c r="H254" s="12"/>
      <c r="I254" s="12"/>
      <c r="J254" s="12"/>
      <c r="K254" s="12"/>
    </row>
    <row r="255" spans="1:11" ht="11.3" customHeight="1">
      <c r="A255" s="13">
        <v>3</v>
      </c>
      <c r="B255" s="12" t="str">
        <f>VLOOKUP('Програма-кодове'!P32,Списък!$A$1:$C$209,3,FALSE)</f>
        <v>английски език</v>
      </c>
      <c r="C255" s="21" t="str">
        <f>VLOOKUP('Програма-кодове'!Q32,Списък!$A$1:$C$209,3,FALSE)</f>
        <v>математика</v>
      </c>
      <c r="D255" s="12" t="str">
        <f>VLOOKUP('Програма-кодове'!R32,Списък!$A$1:$C$209,3,FALSE)</f>
        <v>физкултура</v>
      </c>
      <c r="E255" s="21" t="str">
        <f>VLOOKUP('Програма-кодове'!S32,Списък!$A$1:$C$209,3,FALSE)</f>
        <v>химия</v>
      </c>
      <c r="F255" s="12" t="str">
        <f>VLOOKUP('Програма-кодове'!T32,Списък!$A$1:$C$209,3,FALSE)</f>
        <v>бълг. език</v>
      </c>
      <c r="H255" s="12"/>
      <c r="I255" s="12"/>
      <c r="J255" s="12"/>
      <c r="K255" s="12"/>
    </row>
    <row r="256" spans="1:11" ht="11.3" customHeight="1">
      <c r="A256" s="13">
        <v>4</v>
      </c>
      <c r="B256" s="12" t="str">
        <f>VLOOKUP('Програма-кодове'!P33,Списък!$A$1:$C$209,3,FALSE)</f>
        <v>история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география</v>
      </c>
      <c r="E256" s="21" t="str">
        <f>VLOOKUP('Програма-кодове'!S33,Списък!$A$1:$C$209,3,FALSE)</f>
        <v>английски език</v>
      </c>
      <c r="F256" s="12" t="str">
        <f>VLOOKUP('Програма-кодове'!T33,Списък!$A$1:$C$209,3,FALSE)</f>
        <v>бълг. език</v>
      </c>
      <c r="H256" s="12"/>
      <c r="I256" s="12"/>
      <c r="J256" s="12"/>
      <c r="K256" s="12"/>
    </row>
    <row r="257" spans="1:11" ht="11.3" customHeight="1">
      <c r="A257" s="13">
        <v>5</v>
      </c>
      <c r="B257" s="12" t="str">
        <f>VLOOKUP('Програма-кодове'!P34,Списък!$A$1:$C$209,3,FALSE)</f>
        <v>бълг. език</v>
      </c>
      <c r="C257" s="21" t="str">
        <f>VLOOKUP('Програма-кодове'!Q34,Списък!$A$1:$C$209,3,FALSE)</f>
        <v>английски език</v>
      </c>
      <c r="D257" s="12" t="str">
        <f>VLOOKUP('Програма-кодове'!R34,Списък!$A$1:$C$209,3,FALSE)</f>
        <v>физика</v>
      </c>
      <c r="E257" s="21" t="str">
        <f>VLOOKUP('Програма-кодове'!S34,Списък!$A$1:$C$209,3,FALSE)</f>
        <v>история</v>
      </c>
      <c r="F257" s="12" t="str">
        <f>VLOOKUP('Програма-кодове'!T34,Списък!$A$1:$C$209,3,FALSE)</f>
        <v>география</v>
      </c>
      <c r="H257" s="12"/>
      <c r="I257" s="12"/>
      <c r="J257" s="12"/>
      <c r="K257" s="12"/>
    </row>
    <row r="258" spans="1:11" ht="11.3" customHeight="1">
      <c r="A258" s="13">
        <v>6</v>
      </c>
      <c r="B258" s="12" t="str">
        <f>VLOOKUP('Програма-кодове'!P35,Списък!$A$1:$C$209,3,FALSE)</f>
        <v>физика</v>
      </c>
      <c r="C258" s="21" t="str">
        <f>VLOOKUP('Програма-кодове'!Q35,Списък!$A$1:$C$209,3,FALSE)</f>
        <v>география</v>
      </c>
      <c r="D258" s="12" t="str">
        <f>VLOOKUP('Програма-кодове'!R35,Списък!$A$1:$C$209,3,FALSE)</f>
        <v>английски език</v>
      </c>
      <c r="E258" s="21" t="str">
        <f>VLOOKUP('Програма-кодове'!S35,Списък!$A$1:$C$209,3,FALSE)</f>
        <v>бълг. език</v>
      </c>
      <c r="F258" s="12" t="str">
        <f>VLOOKUP('Програма-кодове'!T35,Списък!$A$1:$C$209,3,FALSE)</f>
        <v>математика</v>
      </c>
      <c r="H258" s="12"/>
      <c r="I258" s="12"/>
      <c r="J258" s="12"/>
      <c r="K258" s="12"/>
    </row>
    <row r="259" spans="1:11" ht="11.3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2.95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3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3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английски език</v>
      </c>
      <c r="D262" s="12" t="str">
        <f>VLOOKUP('Програма-кодове'!W30,Списък!$A$1:$C$209,3,FALSE)</f>
        <v>физкултура</v>
      </c>
      <c r="E262" s="12" t="str">
        <f>VLOOKUP('Програма-кодове'!X30,Списък!$A$1:$C$209,3,FALSE)</f>
        <v>английски език</v>
      </c>
      <c r="F262" s="12" t="str">
        <f>VLOOKUP('Програма-кодове'!Y30,Списък!$A$1:$C$209,3,FALSE)</f>
        <v>история</v>
      </c>
      <c r="H262" s="12"/>
      <c r="I262" s="12"/>
      <c r="J262" s="12"/>
      <c r="K262" s="12"/>
    </row>
    <row r="263" spans="1:11" ht="11.3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история</v>
      </c>
      <c r="E263" s="12" t="str">
        <f>VLOOKUP('Програма-кодове'!X31,Списък!$A$1:$C$209,3,FALSE)</f>
        <v>философия</v>
      </c>
      <c r="F263" s="12" t="str">
        <f>VLOOKUP('Програма-кодове'!Y31,Списък!$A$1:$C$209,3,FALSE)</f>
        <v>биология</v>
      </c>
      <c r="H263" s="12"/>
      <c r="I263" s="12"/>
      <c r="J263" s="12"/>
      <c r="K263" s="12"/>
    </row>
    <row r="264" spans="1:11" ht="11.3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история</v>
      </c>
      <c r="D264" s="12" t="str">
        <f>VLOOKUP('Програма-кодове'!W32,Списък!$A$1:$C$209,3,FALSE)</f>
        <v>биология</v>
      </c>
      <c r="E264" s="12" t="str">
        <f>VLOOKUP('Програма-кодове'!X32,Списък!$A$1:$C$209,3,FALSE)</f>
        <v>химия</v>
      </c>
      <c r="F264" s="12" t="str">
        <f>VLOOKUP('Програма-кодове'!Y32,Списък!$A$1:$C$209,3,FALSE)</f>
        <v>математика</v>
      </c>
      <c r="H264" s="12"/>
      <c r="I264" s="12"/>
      <c r="J264" s="12"/>
      <c r="K264" s="12"/>
    </row>
    <row r="265" spans="1:11" ht="11.3" customHeight="1">
      <c r="A265" s="13">
        <v>4</v>
      </c>
      <c r="B265" s="12" t="str">
        <f>VLOOKUP('Програма-кодове'!U33,Списък!$A$1:$C$209,3,FALSE)</f>
        <v>математика</v>
      </c>
      <c r="C265" s="12" t="str">
        <f>VLOOKUP('Програма-кодове'!V33,Списък!$A$1:$C$209,3,FALSE)</f>
        <v>математика</v>
      </c>
      <c r="D265" s="12" t="str">
        <f>VLOOKUP('Програма-кодове'!W33,Списък!$A$1:$C$209,3,FALSE)</f>
        <v>философия</v>
      </c>
      <c r="E265" s="12" t="str">
        <f>VLOOKUP('Програма-кодове'!X33,Списък!$A$1:$C$209,3,FALSE)</f>
        <v>немски език</v>
      </c>
      <c r="F265" s="12" t="str">
        <f>VLOOKUP('Програма-кодове'!Y33,Списък!$A$1:$C$209,3,FALSE)</f>
        <v>английски език</v>
      </c>
      <c r="H265" s="12"/>
      <c r="I265" s="12"/>
      <c r="J265" s="12"/>
      <c r="K265" s="12"/>
    </row>
    <row r="266" spans="1:11" ht="11.3" customHeight="1">
      <c r="A266" s="13">
        <v>5</v>
      </c>
      <c r="B266" s="12" t="str">
        <f>VLOOKUP('Програма-кодове'!U34,Списък!$A$1:$C$209,3,FALSE)</f>
        <v>математика</v>
      </c>
      <c r="C266" s="12" t="str">
        <f>VLOOKUP('Програма-кодове'!V34,Списък!$A$1:$C$209,3,FALSE)</f>
        <v>математика</v>
      </c>
      <c r="D266" s="12" t="str">
        <f>VLOOKUP('Програма-кодове'!W34,Списък!$A$1:$C$209,3,FALSE)</f>
        <v>английски език</v>
      </c>
      <c r="E266" s="12" t="str">
        <f>VLOOKUP('Програма-кодове'!X34,Списък!$A$1:$C$209,3,FALSE)</f>
        <v>история</v>
      </c>
      <c r="F266" s="12" t="str">
        <f>VLOOKUP('Програма-кодове'!Y34,Списък!$A$1:$C$209,3,FALSE)</f>
        <v>философия</v>
      </c>
      <c r="H266" s="12"/>
      <c r="I266" s="12"/>
      <c r="J266" s="12"/>
      <c r="K266" s="12"/>
    </row>
    <row r="267" spans="1:11" ht="11.3" customHeight="1">
      <c r="A267" s="13">
        <v>6</v>
      </c>
      <c r="B267" s="12" t="str">
        <f>VLOOKUP('Програма-кодове'!U35,Списък!$A$1:$C$209,3,FALSE)</f>
        <v>история</v>
      </c>
      <c r="C267" s="12" t="str">
        <f>VLOOKUP('Програма-кодове'!V35,Списък!$A$1:$C$209,3,FALSE)</f>
        <v>философия</v>
      </c>
      <c r="D267" s="12" t="str">
        <f>VLOOKUP('Програма-кодове'!W35,Списък!$A$1:$C$209,3,FALSE)</f>
        <v>английски език</v>
      </c>
      <c r="E267" s="12" t="str">
        <f>VLOOKUP('Програма-кодове'!X35,Списък!$A$1:$C$209,3,FALSE)</f>
        <v>математика</v>
      </c>
      <c r="F267" s="12" t="str">
        <f>VLOOKUP('Програма-кодове'!Y35,Списък!$A$1:$C$209,3,FALSE)</f>
        <v>химия</v>
      </c>
      <c r="H267" s="12"/>
      <c r="I267" s="12"/>
      <c r="J267" s="12"/>
      <c r="K267" s="12"/>
    </row>
    <row r="268" spans="1:11" ht="11.3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2.95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3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3" customHeight="1">
      <c r="A271" s="13">
        <v>1</v>
      </c>
      <c r="B271" s="12" t="str">
        <f>VLOOKUP('Програма-кодове'!Z30,Списък!$A$1:$C$209,3,FALSE)</f>
        <v>математика</v>
      </c>
      <c r="C271" s="12" t="str">
        <f>VLOOKUP('Програма-кодове'!AA30,Списък!$A$1:$C$209,3,FALSE)</f>
        <v>математика</v>
      </c>
      <c r="D271" s="12" t="str">
        <f>VLOOKUP('Програма-кодове'!AB30,Списък!$A$1:$C$209,3,FALSE)</f>
        <v>бълг. език</v>
      </c>
      <c r="E271" s="12" t="str">
        <f>VLOOKUP('Програма-кодове'!AC30,Списък!$A$1:$C$209,3,FALSE)</f>
        <v>немски език</v>
      </c>
      <c r="F271" s="12" t="str">
        <f>VLOOKUP('Програма-кодове'!AD30,Списък!$A$1:$C$209,3,FALSE)</f>
        <v>биология</v>
      </c>
      <c r="H271" s="12"/>
      <c r="I271" s="12"/>
      <c r="J271" s="12"/>
      <c r="K271" s="12"/>
    </row>
    <row r="272" spans="1:11" ht="11.3" customHeight="1">
      <c r="A272" s="13">
        <v>2</v>
      </c>
      <c r="B272" s="12" t="str">
        <f>VLOOKUP('Програма-кодове'!Z31,Списък!$A$1:$C$209,3,FALSE)</f>
        <v>физкултура</v>
      </c>
      <c r="C272" s="12" t="str">
        <f>VLOOKUP('Програма-кодове'!AA31,Списък!$A$1:$C$209,3,FALSE)</f>
        <v>математика</v>
      </c>
      <c r="D272" s="12" t="str">
        <f>VLOOKUP('Програма-кодове'!AB31,Списък!$A$1:$C$209,3,FALSE)</f>
        <v>английски език</v>
      </c>
      <c r="E272" s="12" t="str">
        <f>VLOOKUP('Програма-кодове'!AC31,Списък!$A$1:$C$209,3,FALSE)</f>
        <v>немски език</v>
      </c>
      <c r="F272" s="12" t="str">
        <f>VLOOKUP('Програма-кодове'!AD31,Списък!$A$1:$C$209,3,FALSE)</f>
        <v>бълг. език</v>
      </c>
      <c r="H272" s="12"/>
      <c r="I272" s="12"/>
      <c r="J272" s="12"/>
      <c r="K272" s="12"/>
    </row>
    <row r="273" spans="1:11" ht="11.3" customHeight="1">
      <c r="A273" s="13">
        <v>3</v>
      </c>
      <c r="B273" s="12" t="str">
        <f>VLOOKUP('Програма-кодове'!Z32,Списък!$A$1:$C$209,3,FALSE)</f>
        <v>ІІ - ри чужд език</v>
      </c>
      <c r="C273" s="12" t="str">
        <f>VLOOKUP('Програма-кодове'!AA32,Списък!$A$1:$C$209,3,FALSE)</f>
        <v>информатика</v>
      </c>
      <c r="D273" s="12" t="str">
        <f>VLOOKUP('Програма-кодове'!AB32,Списък!$A$1:$C$209,3,FALSE)</f>
        <v>ІІ - ри чужд език</v>
      </c>
      <c r="E273" s="12" t="str">
        <f>VLOOKUP('Програма-кодове'!AC32,Списък!$A$1:$C$209,3,FALSE)</f>
        <v>бълг. език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3" customHeight="1">
      <c r="A274" s="13">
        <v>4</v>
      </c>
      <c r="B274" s="12" t="str">
        <f>VLOOKUP('Програма-кодове'!Z33,Списък!$A$1:$C$209,3,FALSE)</f>
        <v>ІІ - ри чужд език</v>
      </c>
      <c r="C274" s="12" t="str">
        <f>VLOOKUP('Програма-кодове'!AA33,Списък!$A$1:$C$209,3,FALSE)</f>
        <v>английски език</v>
      </c>
      <c r="D274" s="12" t="str">
        <f>VLOOKUP('Програма-кодове'!AB33,Списък!$A$1:$C$209,3,FALSE)</f>
        <v>ІІ - ри чужд език</v>
      </c>
      <c r="E274" s="12" t="str">
        <f>VLOOKUP('Програма-кодове'!AC33,Списък!$A$1:$C$209,3,FALSE)</f>
        <v>математика</v>
      </c>
      <c r="F274" s="12" t="str">
        <f>VLOOKUP('Програма-кодове'!AD33,Списък!$A$1:$C$209,3,FALSE)</f>
        <v>математика</v>
      </c>
      <c r="H274" s="12"/>
      <c r="I274" s="12"/>
      <c r="J274" s="12"/>
      <c r="K274" s="12"/>
    </row>
    <row r="275" spans="1:11" ht="11.3" customHeight="1">
      <c r="A275" s="13">
        <v>5</v>
      </c>
      <c r="B275" s="12" t="str">
        <f>VLOOKUP('Програма-кодове'!Z34,Списък!$A$1:$C$209,3,FALSE)</f>
        <v>английски език</v>
      </c>
      <c r="C275" s="12" t="str">
        <f>VLOOKUP('Програма-кодове'!AA34,Списък!$A$1:$C$209,3,FALSE)</f>
        <v>ІІ - ри чужд език</v>
      </c>
      <c r="D275" s="12" t="str">
        <f>VLOOKUP('Програма-кодове'!AB34,Списък!$A$1:$C$209,3,FALSE)</f>
        <v>математика</v>
      </c>
      <c r="E275" s="12" t="str">
        <f>VLOOKUP('Програма-кодове'!AC34,Списък!$A$1:$C$209,3,FALSE)</f>
        <v>информатика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3" customHeight="1">
      <c r="A276" s="13">
        <v>6</v>
      </c>
      <c r="B276" s="12" t="str">
        <f>VLOOKUP('Програма-кодове'!Z35,Списък!$A$1:$C$209,3,FALSE)</f>
        <v>информатика</v>
      </c>
      <c r="C276" s="12" t="str">
        <f>VLOOKUP('Програма-кодове'!AA35,Списък!$A$1:$C$209,3,FALSE)</f>
        <v>ІІ - ри чужд език</v>
      </c>
      <c r="D276" s="12" t="str">
        <f>VLOOKUP('Програма-кодове'!AB35,Списък!$A$1:$C$209,3,FALSE)</f>
        <v>математика</v>
      </c>
      <c r="E276" s="12" t="str">
        <f>VLOOKUP('Програма-кодове'!AC35,Списък!$A$1:$C$209,3,FALSE)</f>
        <v>английски език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3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160"/>
  <sheetViews>
    <sheetView zoomScale="145" zoomScaleNormal="145" workbookViewId="0">
      <pane ySplit="1" topLeftCell="A2" activePane="bottomLeft" state="frozen"/>
      <selection pane="bottomLeft" activeCell="Q19" sqref="Q19:S19"/>
    </sheetView>
  </sheetViews>
  <sheetFormatPr defaultColWidth="5.125" defaultRowHeight="16.55" customHeight="1"/>
  <cols>
    <col min="1" max="1" width="2.875" style="1" customWidth="1"/>
    <col min="2" max="2" width="2.75" style="5" customWidth="1"/>
    <col min="3" max="9" width="5.25" style="1" customWidth="1"/>
    <col min="10" max="10" width="5.125" style="1" customWidth="1"/>
    <col min="11" max="30" width="5.25" style="1" customWidth="1"/>
    <col min="31" max="31" width="5.125" style="1" customWidth="1"/>
    <col min="32" max="16384" width="5.125" style="1"/>
  </cols>
  <sheetData>
    <row r="1" spans="1:32" s="2" customFormat="1" ht="12.8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112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.05" customHeight="1">
      <c r="A2" s="399" t="s">
        <v>19</v>
      </c>
      <c r="B2" s="7">
        <v>1</v>
      </c>
      <c r="C2" s="185">
        <v>21</v>
      </c>
      <c r="D2" s="176">
        <v>33</v>
      </c>
      <c r="E2" s="176">
        <v>12</v>
      </c>
      <c r="F2" s="176">
        <v>5</v>
      </c>
      <c r="G2" s="176">
        <v>3</v>
      </c>
      <c r="H2" s="176">
        <v>26</v>
      </c>
      <c r="I2" s="176">
        <v>46</v>
      </c>
      <c r="J2" s="176">
        <v>8</v>
      </c>
      <c r="K2" s="186">
        <v>13</v>
      </c>
      <c r="L2" s="186" t="s">
        <v>168</v>
      </c>
      <c r="M2" s="186">
        <v>38</v>
      </c>
      <c r="N2" s="186">
        <v>48</v>
      </c>
      <c r="O2" s="186">
        <v>34</v>
      </c>
      <c r="P2" s="186">
        <v>20</v>
      </c>
      <c r="Q2" s="186">
        <v>22</v>
      </c>
      <c r="R2" s="186">
        <v>36</v>
      </c>
      <c r="S2" s="186">
        <v>37</v>
      </c>
      <c r="T2" s="186">
        <v>15</v>
      </c>
      <c r="U2" s="175">
        <v>43</v>
      </c>
      <c r="V2" s="175" t="s">
        <v>68</v>
      </c>
      <c r="W2" s="175">
        <v>4</v>
      </c>
      <c r="X2" s="176">
        <v>16</v>
      </c>
      <c r="Y2" s="176">
        <v>42</v>
      </c>
      <c r="Z2" s="176">
        <v>2</v>
      </c>
      <c r="AA2" s="176">
        <v>23</v>
      </c>
      <c r="AB2" s="176">
        <v>35</v>
      </c>
      <c r="AC2" s="185">
        <v>50</v>
      </c>
      <c r="AD2" s="177">
        <v>7</v>
      </c>
      <c r="AE2" s="3"/>
    </row>
    <row r="3" spans="1:32" ht="15.05" customHeight="1">
      <c r="A3" s="400"/>
      <c r="B3" s="6">
        <v>2</v>
      </c>
      <c r="C3" s="102">
        <v>21</v>
      </c>
      <c r="D3" s="102">
        <v>36</v>
      </c>
      <c r="E3" s="178">
        <v>43</v>
      </c>
      <c r="F3" s="178">
        <v>5</v>
      </c>
      <c r="G3" s="178">
        <v>3</v>
      </c>
      <c r="H3" s="178">
        <v>46</v>
      </c>
      <c r="I3" s="178">
        <v>12</v>
      </c>
      <c r="J3" s="178">
        <v>8</v>
      </c>
      <c r="K3" s="102">
        <v>13</v>
      </c>
      <c r="L3" s="102">
        <v>39</v>
      </c>
      <c r="M3" s="102">
        <v>42</v>
      </c>
      <c r="N3" s="102">
        <v>38</v>
      </c>
      <c r="O3" s="102">
        <v>35</v>
      </c>
      <c r="P3" s="102">
        <v>20</v>
      </c>
      <c r="Q3" s="102">
        <v>22</v>
      </c>
      <c r="R3" s="102">
        <v>44</v>
      </c>
      <c r="S3" s="102" t="s">
        <v>240</v>
      </c>
      <c r="T3" s="198">
        <v>15</v>
      </c>
      <c r="U3" s="102">
        <v>33</v>
      </c>
      <c r="V3" s="102">
        <v>48</v>
      </c>
      <c r="W3" s="102" t="s">
        <v>68</v>
      </c>
      <c r="X3" s="178">
        <v>16</v>
      </c>
      <c r="Y3" s="178">
        <v>4</v>
      </c>
      <c r="Z3" s="178">
        <v>2</v>
      </c>
      <c r="AA3" s="178">
        <v>37</v>
      </c>
      <c r="AB3" s="178">
        <v>23</v>
      </c>
      <c r="AC3" s="185">
        <v>7</v>
      </c>
      <c r="AD3" s="179">
        <v>50</v>
      </c>
      <c r="AE3" s="3"/>
    </row>
    <row r="4" spans="1:32" ht="15.05" customHeight="1">
      <c r="A4" s="400"/>
      <c r="B4" s="6">
        <v>3</v>
      </c>
      <c r="C4" s="102">
        <v>17</v>
      </c>
      <c r="D4" s="178">
        <v>15</v>
      </c>
      <c r="E4" s="178">
        <v>48</v>
      </c>
      <c r="F4" s="178">
        <v>14</v>
      </c>
      <c r="G4" s="178">
        <v>49</v>
      </c>
      <c r="H4" s="178">
        <v>3</v>
      </c>
      <c r="I4" s="178">
        <v>12</v>
      </c>
      <c r="J4" s="178">
        <v>8</v>
      </c>
      <c r="K4" s="102">
        <v>34</v>
      </c>
      <c r="L4" s="102">
        <v>23</v>
      </c>
      <c r="M4" s="102">
        <v>35</v>
      </c>
      <c r="N4" s="102">
        <v>13</v>
      </c>
      <c r="O4" s="178">
        <v>5</v>
      </c>
      <c r="P4" s="102" t="s">
        <v>240</v>
      </c>
      <c r="Q4" s="102">
        <v>37</v>
      </c>
      <c r="R4" s="102">
        <v>22</v>
      </c>
      <c r="S4" s="102">
        <v>44</v>
      </c>
      <c r="T4" s="102">
        <v>42</v>
      </c>
      <c r="U4" s="102">
        <v>10</v>
      </c>
      <c r="V4" s="102">
        <v>24</v>
      </c>
      <c r="W4" s="102">
        <v>39</v>
      </c>
      <c r="X4" s="178">
        <v>43</v>
      </c>
      <c r="Y4" s="178">
        <v>33</v>
      </c>
      <c r="Z4" s="178">
        <v>7</v>
      </c>
      <c r="AA4" s="178">
        <v>2</v>
      </c>
      <c r="AB4" s="178">
        <v>50</v>
      </c>
      <c r="AC4" s="178">
        <v>19</v>
      </c>
      <c r="AD4" s="179" t="s">
        <v>168</v>
      </c>
      <c r="AE4" s="3"/>
    </row>
    <row r="5" spans="1:32" ht="15.05" customHeight="1">
      <c r="A5" s="400"/>
      <c r="B5" s="6">
        <v>4</v>
      </c>
      <c r="C5" s="102">
        <v>45</v>
      </c>
      <c r="D5" s="178">
        <v>20</v>
      </c>
      <c r="E5" s="178">
        <v>42</v>
      </c>
      <c r="F5" s="178">
        <v>14</v>
      </c>
      <c r="G5" s="178">
        <v>11</v>
      </c>
      <c r="H5" s="178">
        <v>3</v>
      </c>
      <c r="I5" s="178">
        <v>12</v>
      </c>
      <c r="J5" s="178">
        <v>8</v>
      </c>
      <c r="K5" s="102" t="s">
        <v>168</v>
      </c>
      <c r="L5" s="102">
        <v>4</v>
      </c>
      <c r="M5" s="102">
        <v>34</v>
      </c>
      <c r="N5" s="178">
        <v>13</v>
      </c>
      <c r="O5" s="102">
        <v>48</v>
      </c>
      <c r="P5" s="102">
        <v>37</v>
      </c>
      <c r="Q5" s="102">
        <v>44</v>
      </c>
      <c r="R5" s="102">
        <v>22</v>
      </c>
      <c r="S5" s="102">
        <v>36</v>
      </c>
      <c r="T5" s="102">
        <v>47</v>
      </c>
      <c r="U5" s="178">
        <v>10</v>
      </c>
      <c r="V5" s="178">
        <v>24</v>
      </c>
      <c r="W5" s="178">
        <v>33</v>
      </c>
      <c r="X5" s="102">
        <v>21</v>
      </c>
      <c r="Y5" s="178">
        <v>38</v>
      </c>
      <c r="Z5" s="178" t="s">
        <v>160</v>
      </c>
      <c r="AA5" s="178">
        <v>2</v>
      </c>
      <c r="AB5" s="178">
        <v>7</v>
      </c>
      <c r="AC5" s="178">
        <v>19</v>
      </c>
      <c r="AD5" s="179">
        <v>35</v>
      </c>
      <c r="AE5" s="3"/>
    </row>
    <row r="6" spans="1:32" ht="15.05" customHeight="1">
      <c r="A6" s="400"/>
      <c r="B6" s="6">
        <v>5</v>
      </c>
      <c r="C6" s="102">
        <v>34</v>
      </c>
      <c r="D6" s="178">
        <v>2</v>
      </c>
      <c r="E6" s="178">
        <v>3</v>
      </c>
      <c r="F6" s="178">
        <v>49</v>
      </c>
      <c r="G6" s="178">
        <v>11</v>
      </c>
      <c r="H6" s="178">
        <v>9</v>
      </c>
      <c r="I6" s="178">
        <v>12</v>
      </c>
      <c r="J6" s="102">
        <v>22</v>
      </c>
      <c r="K6" s="102">
        <v>39</v>
      </c>
      <c r="L6" s="102">
        <v>4</v>
      </c>
      <c r="M6" s="102">
        <v>45</v>
      </c>
      <c r="N6" s="102">
        <v>5</v>
      </c>
      <c r="O6" s="102">
        <v>19</v>
      </c>
      <c r="P6" s="102">
        <v>44</v>
      </c>
      <c r="Q6" s="102">
        <v>36</v>
      </c>
      <c r="R6" s="102" t="s">
        <v>288</v>
      </c>
      <c r="S6" s="102">
        <v>20</v>
      </c>
      <c r="T6" s="102">
        <v>50</v>
      </c>
      <c r="U6" s="178">
        <v>38</v>
      </c>
      <c r="V6" s="178">
        <v>33</v>
      </c>
      <c r="W6" s="178">
        <v>24</v>
      </c>
      <c r="X6" s="178">
        <v>21</v>
      </c>
      <c r="Y6" s="178">
        <v>43</v>
      </c>
      <c r="Z6" s="178">
        <v>35</v>
      </c>
      <c r="AA6" s="178">
        <v>7</v>
      </c>
      <c r="AB6" s="178" t="s">
        <v>160</v>
      </c>
      <c r="AC6" s="178">
        <v>17</v>
      </c>
      <c r="AD6" s="179">
        <v>47</v>
      </c>
      <c r="AE6" s="3"/>
    </row>
    <row r="7" spans="1:32" ht="15.05" customHeight="1">
      <c r="A7" s="400"/>
      <c r="B7" s="6">
        <v>6</v>
      </c>
      <c r="C7" s="102">
        <v>38</v>
      </c>
      <c r="D7" s="102">
        <v>45</v>
      </c>
      <c r="E7" s="178">
        <v>39</v>
      </c>
      <c r="F7" s="178">
        <v>14</v>
      </c>
      <c r="G7" s="178">
        <v>11</v>
      </c>
      <c r="H7" s="178">
        <v>9</v>
      </c>
      <c r="I7" s="178">
        <v>3</v>
      </c>
      <c r="J7" s="336">
        <v>50</v>
      </c>
      <c r="K7" s="102">
        <v>19</v>
      </c>
      <c r="L7" s="102">
        <v>48</v>
      </c>
      <c r="M7" s="102">
        <v>5</v>
      </c>
      <c r="N7" s="102">
        <v>34</v>
      </c>
      <c r="O7" s="102" t="s">
        <v>292</v>
      </c>
      <c r="P7" s="102">
        <v>49</v>
      </c>
      <c r="Q7" s="102" t="s">
        <v>288</v>
      </c>
      <c r="R7" s="102">
        <v>6</v>
      </c>
      <c r="S7" s="102">
        <v>20</v>
      </c>
      <c r="T7" s="102">
        <v>36</v>
      </c>
      <c r="U7" s="178">
        <v>21</v>
      </c>
      <c r="V7" s="178">
        <v>43</v>
      </c>
      <c r="W7" s="178">
        <v>24</v>
      </c>
      <c r="X7" s="178">
        <v>33</v>
      </c>
      <c r="Y7" s="178">
        <v>10</v>
      </c>
      <c r="Z7" s="178">
        <v>37</v>
      </c>
      <c r="AA7" s="178" t="s">
        <v>160</v>
      </c>
      <c r="AB7" s="178">
        <v>2</v>
      </c>
      <c r="AC7" s="178">
        <v>35</v>
      </c>
      <c r="AD7" s="179">
        <v>44</v>
      </c>
      <c r="AE7" s="3"/>
    </row>
    <row r="8" spans="1:32" ht="17.2" customHeight="1" thickBot="1">
      <c r="A8" s="400"/>
      <c r="B8" s="6">
        <v>7</v>
      </c>
      <c r="C8" s="112"/>
      <c r="D8" s="108"/>
      <c r="E8" s="102">
        <v>24</v>
      </c>
      <c r="F8" s="102">
        <v>14</v>
      </c>
      <c r="G8" s="102">
        <v>11</v>
      </c>
      <c r="H8" s="102">
        <v>9</v>
      </c>
      <c r="I8" s="102">
        <v>3</v>
      </c>
      <c r="J8" s="102">
        <v>49</v>
      </c>
      <c r="K8" s="180">
        <v>5</v>
      </c>
      <c r="L8" s="180">
        <v>34</v>
      </c>
      <c r="M8" s="180">
        <v>20</v>
      </c>
      <c r="N8" s="180">
        <v>26</v>
      </c>
      <c r="O8" s="180" t="s">
        <v>292</v>
      </c>
      <c r="P8" s="180">
        <v>36</v>
      </c>
      <c r="Q8" s="180">
        <v>6</v>
      </c>
      <c r="R8" s="180">
        <v>37</v>
      </c>
      <c r="S8" s="180">
        <v>47</v>
      </c>
      <c r="T8" s="180" t="s">
        <v>288</v>
      </c>
      <c r="U8" s="102">
        <v>21</v>
      </c>
      <c r="V8" s="178">
        <v>39</v>
      </c>
      <c r="W8" s="178" t="s">
        <v>200</v>
      </c>
      <c r="X8" s="178">
        <v>38</v>
      </c>
      <c r="Y8" s="178">
        <v>10</v>
      </c>
      <c r="Z8" s="178">
        <v>19</v>
      </c>
      <c r="AA8" s="178">
        <v>35</v>
      </c>
      <c r="AB8" s="178">
        <v>2</v>
      </c>
      <c r="AC8" s="178" t="s">
        <v>160</v>
      </c>
      <c r="AD8" s="179">
        <v>44</v>
      </c>
      <c r="AE8" s="3"/>
    </row>
    <row r="9" spans="1:32" ht="15.05" customHeight="1">
      <c r="A9" s="399" t="s">
        <v>20</v>
      </c>
      <c r="B9" s="7">
        <v>1</v>
      </c>
      <c r="C9" s="186">
        <v>5</v>
      </c>
      <c r="D9" s="175">
        <v>15</v>
      </c>
      <c r="E9" s="175">
        <v>42</v>
      </c>
      <c r="F9" s="176" t="s">
        <v>334</v>
      </c>
      <c r="G9" s="176">
        <v>11</v>
      </c>
      <c r="H9" s="176">
        <v>26</v>
      </c>
      <c r="I9" s="176">
        <v>49</v>
      </c>
      <c r="J9" s="176">
        <v>8</v>
      </c>
      <c r="K9" s="186" t="s">
        <v>291</v>
      </c>
      <c r="L9" s="186">
        <v>13</v>
      </c>
      <c r="M9" s="186" t="s">
        <v>291</v>
      </c>
      <c r="N9" s="186">
        <v>44</v>
      </c>
      <c r="O9" s="102">
        <v>37</v>
      </c>
      <c r="P9" s="102">
        <v>39</v>
      </c>
      <c r="Q9" s="102" t="s">
        <v>168</v>
      </c>
      <c r="R9" s="102">
        <v>6</v>
      </c>
      <c r="S9" s="102">
        <v>20</v>
      </c>
      <c r="T9" s="102">
        <v>36</v>
      </c>
      <c r="U9" s="175">
        <v>35</v>
      </c>
      <c r="V9" s="175">
        <v>24</v>
      </c>
      <c r="W9" s="175" t="s">
        <v>68</v>
      </c>
      <c r="X9" s="175">
        <v>4</v>
      </c>
      <c r="Y9" s="175" t="s">
        <v>200</v>
      </c>
      <c r="Z9" s="175" t="s">
        <v>160</v>
      </c>
      <c r="AA9" s="175">
        <v>47</v>
      </c>
      <c r="AB9" s="175">
        <v>38</v>
      </c>
      <c r="AC9" s="176">
        <v>19</v>
      </c>
      <c r="AD9" s="181">
        <v>7</v>
      </c>
    </row>
    <row r="10" spans="1:32" ht="15.05" customHeight="1">
      <c r="A10" s="400"/>
      <c r="B10" s="6">
        <v>2</v>
      </c>
      <c r="C10" s="102">
        <v>38</v>
      </c>
      <c r="D10" s="102">
        <v>36</v>
      </c>
      <c r="E10" s="102">
        <v>45</v>
      </c>
      <c r="F10" s="178">
        <v>5</v>
      </c>
      <c r="G10" s="178">
        <v>11</v>
      </c>
      <c r="H10" s="178">
        <v>49</v>
      </c>
      <c r="I10" s="178" t="s">
        <v>334</v>
      </c>
      <c r="J10" s="178">
        <v>8</v>
      </c>
      <c r="K10" s="102" t="s">
        <v>291</v>
      </c>
      <c r="L10" s="102">
        <v>13</v>
      </c>
      <c r="M10" s="102" t="s">
        <v>291</v>
      </c>
      <c r="N10" s="102">
        <v>42</v>
      </c>
      <c r="O10" s="102">
        <v>44</v>
      </c>
      <c r="P10" s="102">
        <v>20</v>
      </c>
      <c r="Q10" s="102">
        <v>34</v>
      </c>
      <c r="R10" s="102">
        <v>6</v>
      </c>
      <c r="S10" s="102" t="s">
        <v>168</v>
      </c>
      <c r="T10" s="102">
        <v>39</v>
      </c>
      <c r="U10" s="102">
        <v>4</v>
      </c>
      <c r="V10" s="102">
        <v>40</v>
      </c>
      <c r="W10" s="102">
        <v>24</v>
      </c>
      <c r="X10" s="102" t="s">
        <v>68</v>
      </c>
      <c r="Y10" s="102">
        <v>35</v>
      </c>
      <c r="Z10" s="102">
        <v>19</v>
      </c>
      <c r="AA10" s="102" t="s">
        <v>160</v>
      </c>
      <c r="AB10" s="102">
        <v>33</v>
      </c>
      <c r="AC10" s="102">
        <v>47</v>
      </c>
      <c r="AD10" s="182">
        <v>7</v>
      </c>
    </row>
    <row r="11" spans="1:32" ht="15.05" customHeight="1">
      <c r="A11" s="400"/>
      <c r="B11" s="6">
        <v>3</v>
      </c>
      <c r="C11" s="102" t="s">
        <v>294</v>
      </c>
      <c r="D11" s="102">
        <v>20</v>
      </c>
      <c r="E11" s="102">
        <v>36</v>
      </c>
      <c r="F11" s="178">
        <v>22</v>
      </c>
      <c r="G11" s="178">
        <v>11</v>
      </c>
      <c r="H11" s="178" t="s">
        <v>334</v>
      </c>
      <c r="I11" s="178">
        <v>12</v>
      </c>
      <c r="J11" s="178">
        <v>8</v>
      </c>
      <c r="K11" s="102">
        <v>5</v>
      </c>
      <c r="L11" s="102" t="s">
        <v>292</v>
      </c>
      <c r="M11" s="102">
        <v>44</v>
      </c>
      <c r="N11" s="102" t="s">
        <v>292</v>
      </c>
      <c r="O11" s="102">
        <v>35</v>
      </c>
      <c r="P11" s="102" t="s">
        <v>168</v>
      </c>
      <c r="Q11" s="102">
        <v>49</v>
      </c>
      <c r="R11" s="102">
        <v>39</v>
      </c>
      <c r="S11" s="102">
        <v>15</v>
      </c>
      <c r="T11" s="102">
        <v>24</v>
      </c>
      <c r="U11" s="102">
        <v>40</v>
      </c>
      <c r="V11" s="102" t="s">
        <v>68</v>
      </c>
      <c r="W11" s="102">
        <v>42</v>
      </c>
      <c r="X11" s="102">
        <v>16</v>
      </c>
      <c r="Y11" s="102">
        <v>37</v>
      </c>
      <c r="Z11" s="102">
        <v>19</v>
      </c>
      <c r="AA11" s="102">
        <v>33</v>
      </c>
      <c r="AB11" s="102">
        <v>47</v>
      </c>
      <c r="AC11" s="102" t="s">
        <v>160</v>
      </c>
      <c r="AD11" s="182">
        <v>23</v>
      </c>
    </row>
    <row r="12" spans="1:32" ht="15.05" customHeight="1">
      <c r="A12" s="400"/>
      <c r="B12" s="6">
        <v>4</v>
      </c>
      <c r="C12" s="102">
        <v>45</v>
      </c>
      <c r="D12" s="102" t="s">
        <v>294</v>
      </c>
      <c r="E12" s="102">
        <v>24</v>
      </c>
      <c r="F12" s="178">
        <v>14</v>
      </c>
      <c r="G12" s="178">
        <v>11</v>
      </c>
      <c r="H12" s="178">
        <v>9</v>
      </c>
      <c r="I12" s="178">
        <v>12</v>
      </c>
      <c r="J12" s="178">
        <v>49</v>
      </c>
      <c r="K12" s="102">
        <v>5</v>
      </c>
      <c r="L12" s="102" t="s">
        <v>292</v>
      </c>
      <c r="M12" s="102">
        <v>13</v>
      </c>
      <c r="N12" s="102" t="s">
        <v>292</v>
      </c>
      <c r="O12" s="102">
        <v>48</v>
      </c>
      <c r="P12" s="102">
        <v>34</v>
      </c>
      <c r="Q12" s="102">
        <v>6</v>
      </c>
      <c r="R12" s="102" t="s">
        <v>168</v>
      </c>
      <c r="S12" s="102">
        <v>15</v>
      </c>
      <c r="T12" s="102">
        <v>42</v>
      </c>
      <c r="U12" s="102" t="s">
        <v>68</v>
      </c>
      <c r="V12" s="102">
        <v>4</v>
      </c>
      <c r="W12" s="102">
        <v>37</v>
      </c>
      <c r="X12" s="102">
        <v>10</v>
      </c>
      <c r="Y12" s="102">
        <v>43</v>
      </c>
      <c r="Z12" s="102">
        <v>38</v>
      </c>
      <c r="AA12" s="102">
        <v>23</v>
      </c>
      <c r="AB12" s="102" t="s">
        <v>160</v>
      </c>
      <c r="AC12" s="102">
        <v>7</v>
      </c>
      <c r="AD12" s="182">
        <v>2</v>
      </c>
    </row>
    <row r="13" spans="1:32" ht="15.05" customHeight="1">
      <c r="A13" s="400"/>
      <c r="B13" s="6">
        <v>5</v>
      </c>
      <c r="C13" s="102" t="s">
        <v>347</v>
      </c>
      <c r="D13" s="102">
        <v>49</v>
      </c>
      <c r="E13" s="102">
        <v>3</v>
      </c>
      <c r="F13" s="178">
        <v>14</v>
      </c>
      <c r="G13" s="178">
        <v>22</v>
      </c>
      <c r="H13" s="178">
        <v>9</v>
      </c>
      <c r="I13" s="178">
        <v>12</v>
      </c>
      <c r="J13" s="178" t="s">
        <v>334</v>
      </c>
      <c r="K13" s="178" t="s">
        <v>168</v>
      </c>
      <c r="L13" s="178">
        <v>36</v>
      </c>
      <c r="M13" s="178">
        <v>13</v>
      </c>
      <c r="N13" s="178" t="s">
        <v>219</v>
      </c>
      <c r="O13" s="102">
        <v>42</v>
      </c>
      <c r="P13" s="102">
        <v>45</v>
      </c>
      <c r="Q13" s="102">
        <v>6</v>
      </c>
      <c r="R13" s="102">
        <v>15</v>
      </c>
      <c r="S13" s="102">
        <v>39</v>
      </c>
      <c r="T13" s="102">
        <v>34</v>
      </c>
      <c r="U13" s="102">
        <v>21</v>
      </c>
      <c r="V13" s="102">
        <v>37</v>
      </c>
      <c r="W13" s="102">
        <v>35</v>
      </c>
      <c r="X13" s="102">
        <v>10</v>
      </c>
      <c r="Y13" s="102">
        <v>43</v>
      </c>
      <c r="Z13" s="102">
        <v>47</v>
      </c>
      <c r="AA13" s="102">
        <v>23</v>
      </c>
      <c r="AB13" s="102">
        <v>7</v>
      </c>
      <c r="AC13" s="102">
        <v>38</v>
      </c>
      <c r="AD13" s="182">
        <v>2</v>
      </c>
    </row>
    <row r="14" spans="1:32" ht="15.05" customHeight="1">
      <c r="A14" s="400"/>
      <c r="B14" s="6">
        <v>6</v>
      </c>
      <c r="C14" s="102">
        <v>21</v>
      </c>
      <c r="D14" s="102" t="s">
        <v>349</v>
      </c>
      <c r="E14" s="102">
        <v>12</v>
      </c>
      <c r="F14" s="102">
        <v>14</v>
      </c>
      <c r="G14" s="102" t="s">
        <v>334</v>
      </c>
      <c r="H14" s="102">
        <v>9</v>
      </c>
      <c r="I14" s="102">
        <v>22</v>
      </c>
      <c r="J14" s="102">
        <v>3</v>
      </c>
      <c r="K14" s="178" t="s">
        <v>219</v>
      </c>
      <c r="L14" s="178" t="s">
        <v>168</v>
      </c>
      <c r="M14" s="178">
        <v>35</v>
      </c>
      <c r="N14" s="178">
        <v>5</v>
      </c>
      <c r="O14" s="102">
        <v>13</v>
      </c>
      <c r="P14" s="102">
        <v>6</v>
      </c>
      <c r="Q14" s="102">
        <v>39</v>
      </c>
      <c r="R14" s="102">
        <v>15</v>
      </c>
      <c r="S14" s="102">
        <v>34</v>
      </c>
      <c r="T14" s="102">
        <v>45</v>
      </c>
      <c r="U14" s="102">
        <v>48</v>
      </c>
      <c r="V14" s="102">
        <v>11</v>
      </c>
      <c r="W14" s="102">
        <v>10</v>
      </c>
      <c r="X14" s="102">
        <v>37</v>
      </c>
      <c r="Y14" s="102">
        <v>42</v>
      </c>
      <c r="Z14" s="102">
        <v>7</v>
      </c>
      <c r="AA14" s="102">
        <v>38</v>
      </c>
      <c r="AB14" s="102">
        <v>23</v>
      </c>
      <c r="AC14" s="102">
        <v>2</v>
      </c>
      <c r="AD14" s="182">
        <v>47</v>
      </c>
    </row>
    <row r="15" spans="1:32" ht="15.05" customHeight="1" thickBot="1">
      <c r="A15" s="400"/>
      <c r="B15" s="158">
        <v>7</v>
      </c>
      <c r="C15" s="112"/>
      <c r="D15" s="112"/>
      <c r="E15" s="112"/>
      <c r="F15" s="180">
        <v>14</v>
      </c>
      <c r="G15" s="180">
        <v>46</v>
      </c>
      <c r="H15" s="180">
        <v>9</v>
      </c>
      <c r="I15" s="180">
        <v>12</v>
      </c>
      <c r="J15" s="180">
        <v>3</v>
      </c>
      <c r="K15" s="183" t="s">
        <v>290</v>
      </c>
      <c r="L15" s="183">
        <v>43</v>
      </c>
      <c r="M15" s="183">
        <v>48</v>
      </c>
      <c r="N15" s="183">
        <v>5</v>
      </c>
      <c r="O15" s="180">
        <v>13</v>
      </c>
      <c r="P15" s="180">
        <v>6</v>
      </c>
      <c r="Q15" s="180">
        <v>22</v>
      </c>
      <c r="R15" s="180">
        <v>34</v>
      </c>
      <c r="S15" s="180">
        <v>45</v>
      </c>
      <c r="T15" s="180">
        <v>41</v>
      </c>
      <c r="U15" s="180">
        <v>37</v>
      </c>
      <c r="V15" s="180">
        <v>11</v>
      </c>
      <c r="W15" s="180">
        <v>10</v>
      </c>
      <c r="X15" s="180">
        <v>35</v>
      </c>
      <c r="Y15" s="180">
        <v>21</v>
      </c>
      <c r="Z15" s="180">
        <v>33</v>
      </c>
      <c r="AA15" s="180">
        <v>7</v>
      </c>
      <c r="AB15" s="180">
        <v>23</v>
      </c>
      <c r="AC15" s="180">
        <v>2</v>
      </c>
      <c r="AD15" s="184">
        <v>38</v>
      </c>
    </row>
    <row r="16" spans="1:32" ht="15.05" customHeight="1">
      <c r="A16" s="399" t="s">
        <v>23</v>
      </c>
      <c r="B16" s="7">
        <v>1</v>
      </c>
      <c r="C16" s="208">
        <v>17</v>
      </c>
      <c r="D16" s="185">
        <v>45</v>
      </c>
      <c r="E16" s="186">
        <v>48</v>
      </c>
      <c r="F16" s="185">
        <v>46</v>
      </c>
      <c r="G16" s="185">
        <v>11</v>
      </c>
      <c r="H16" s="185">
        <v>3</v>
      </c>
      <c r="I16" s="321" t="s">
        <v>351</v>
      </c>
      <c r="J16" s="185">
        <v>22</v>
      </c>
      <c r="K16" s="185" t="s">
        <v>219</v>
      </c>
      <c r="L16" s="185" t="s">
        <v>68</v>
      </c>
      <c r="M16" s="185">
        <v>5</v>
      </c>
      <c r="N16" s="185">
        <v>26</v>
      </c>
      <c r="O16" s="186">
        <v>13</v>
      </c>
      <c r="P16" s="185">
        <v>15</v>
      </c>
      <c r="Q16" s="185">
        <v>44</v>
      </c>
      <c r="R16" s="185">
        <v>47</v>
      </c>
      <c r="S16" s="185">
        <v>34</v>
      </c>
      <c r="T16" s="185">
        <v>41</v>
      </c>
      <c r="U16" s="186">
        <v>10</v>
      </c>
      <c r="V16" s="185">
        <v>35</v>
      </c>
      <c r="W16" s="185">
        <v>4</v>
      </c>
      <c r="X16" s="185">
        <v>38</v>
      </c>
      <c r="Y16" s="185">
        <v>43</v>
      </c>
      <c r="Z16" s="185">
        <v>19</v>
      </c>
      <c r="AA16" s="185">
        <v>2</v>
      </c>
      <c r="AB16" s="185">
        <v>7</v>
      </c>
      <c r="AC16" s="185" t="s">
        <v>160</v>
      </c>
      <c r="AD16" s="187">
        <v>50</v>
      </c>
      <c r="AF16" s="1" t="s">
        <v>212</v>
      </c>
    </row>
    <row r="17" spans="1:30" ht="15.05" customHeight="1">
      <c r="A17" s="400"/>
      <c r="B17" s="6">
        <v>2</v>
      </c>
      <c r="C17" s="178" t="s">
        <v>219</v>
      </c>
      <c r="D17" s="178">
        <v>2</v>
      </c>
      <c r="E17" s="178" t="s">
        <v>161</v>
      </c>
      <c r="F17" s="349" t="s">
        <v>351</v>
      </c>
      <c r="G17" s="178">
        <v>11</v>
      </c>
      <c r="H17" s="178">
        <v>9</v>
      </c>
      <c r="I17" s="178">
        <v>22</v>
      </c>
      <c r="J17" s="178">
        <v>3</v>
      </c>
      <c r="K17" s="178">
        <v>45</v>
      </c>
      <c r="L17" s="178">
        <v>23</v>
      </c>
      <c r="M17" s="178">
        <v>5</v>
      </c>
      <c r="N17" s="178" t="s">
        <v>68</v>
      </c>
      <c r="O17" s="178">
        <v>38</v>
      </c>
      <c r="P17" s="178">
        <v>15</v>
      </c>
      <c r="Q17" s="178">
        <v>37</v>
      </c>
      <c r="R17" s="178">
        <v>34</v>
      </c>
      <c r="S17" s="178">
        <v>47</v>
      </c>
      <c r="T17" s="178">
        <v>41</v>
      </c>
      <c r="U17" s="178">
        <v>10</v>
      </c>
      <c r="V17" s="102">
        <v>48</v>
      </c>
      <c r="W17" s="178">
        <v>4</v>
      </c>
      <c r="X17" s="178">
        <v>42</v>
      </c>
      <c r="Y17" s="178">
        <v>43</v>
      </c>
      <c r="Z17" s="178">
        <v>19</v>
      </c>
      <c r="AA17" s="178">
        <v>35</v>
      </c>
      <c r="AB17" s="178">
        <v>7</v>
      </c>
      <c r="AC17" s="178">
        <v>50</v>
      </c>
      <c r="AD17" s="179">
        <v>44</v>
      </c>
    </row>
    <row r="18" spans="1:30" ht="15.05" customHeight="1">
      <c r="A18" s="400"/>
      <c r="B18" s="6">
        <v>3</v>
      </c>
      <c r="C18" s="178">
        <v>5</v>
      </c>
      <c r="D18" s="102">
        <v>2</v>
      </c>
      <c r="E18" s="178">
        <v>24</v>
      </c>
      <c r="F18" s="178">
        <v>22</v>
      </c>
      <c r="G18" s="349">
        <v>11</v>
      </c>
      <c r="H18" s="178">
        <v>9</v>
      </c>
      <c r="I18" s="178">
        <v>3</v>
      </c>
      <c r="J18" s="178" t="s">
        <v>288</v>
      </c>
      <c r="K18" s="102">
        <v>19</v>
      </c>
      <c r="L18" s="102">
        <v>13</v>
      </c>
      <c r="M18" s="102">
        <v>35</v>
      </c>
      <c r="N18" s="102">
        <v>42</v>
      </c>
      <c r="O18" s="102">
        <v>44</v>
      </c>
      <c r="P18" s="178">
        <v>34</v>
      </c>
      <c r="Q18" s="401" t="s">
        <v>299</v>
      </c>
      <c r="R18" s="402"/>
      <c r="S18" s="403"/>
      <c r="T18" s="178">
        <v>6</v>
      </c>
      <c r="U18" s="102">
        <v>48</v>
      </c>
      <c r="V18" s="102">
        <v>43</v>
      </c>
      <c r="W18" s="102" t="s">
        <v>68</v>
      </c>
      <c r="X18" s="178" t="s">
        <v>200</v>
      </c>
      <c r="Y18" s="178">
        <v>10</v>
      </c>
      <c r="Z18" s="178">
        <v>37</v>
      </c>
      <c r="AA18" s="178" t="s">
        <v>160</v>
      </c>
      <c r="AB18" s="178">
        <v>23</v>
      </c>
      <c r="AC18" s="178">
        <v>7</v>
      </c>
      <c r="AD18" s="179" t="s">
        <v>168</v>
      </c>
    </row>
    <row r="19" spans="1:30" ht="15.05" customHeight="1">
      <c r="A19" s="400"/>
      <c r="B19" s="6">
        <v>4</v>
      </c>
      <c r="C19" s="178" t="s">
        <v>200</v>
      </c>
      <c r="D19" s="102">
        <v>46</v>
      </c>
      <c r="E19" s="178">
        <v>33</v>
      </c>
      <c r="F19" s="178">
        <v>14</v>
      </c>
      <c r="G19" s="178" t="s">
        <v>351</v>
      </c>
      <c r="H19" s="178">
        <v>9</v>
      </c>
      <c r="I19" s="178">
        <v>12</v>
      </c>
      <c r="J19" s="178">
        <v>8</v>
      </c>
      <c r="K19" s="102">
        <v>19</v>
      </c>
      <c r="L19" s="102">
        <v>4</v>
      </c>
      <c r="M19" s="102">
        <v>42</v>
      </c>
      <c r="N19" s="102">
        <v>13</v>
      </c>
      <c r="O19" s="102">
        <v>35</v>
      </c>
      <c r="P19" s="178">
        <v>49</v>
      </c>
      <c r="Q19" s="401" t="s">
        <v>299</v>
      </c>
      <c r="R19" s="402"/>
      <c r="S19" s="403"/>
      <c r="T19" s="178">
        <v>24</v>
      </c>
      <c r="U19" s="178">
        <v>43</v>
      </c>
      <c r="V19" s="102">
        <v>11</v>
      </c>
      <c r="W19" s="178">
        <v>10</v>
      </c>
      <c r="X19" s="102" t="s">
        <v>68</v>
      </c>
      <c r="Y19" s="178">
        <v>38</v>
      </c>
      <c r="Z19" s="178">
        <v>2</v>
      </c>
      <c r="AA19" s="178">
        <v>37</v>
      </c>
      <c r="AB19" s="178" t="s">
        <v>160</v>
      </c>
      <c r="AC19" s="178">
        <v>7</v>
      </c>
      <c r="AD19" s="179" t="s">
        <v>168</v>
      </c>
    </row>
    <row r="20" spans="1:30" ht="15.05" customHeight="1">
      <c r="A20" s="400"/>
      <c r="B20" s="6">
        <v>5</v>
      </c>
      <c r="C20" s="178">
        <v>46</v>
      </c>
      <c r="D20" s="102">
        <v>38</v>
      </c>
      <c r="E20" s="178">
        <v>3</v>
      </c>
      <c r="F20" s="178">
        <v>14</v>
      </c>
      <c r="G20" s="178">
        <v>22</v>
      </c>
      <c r="H20" s="349" t="s">
        <v>351</v>
      </c>
      <c r="I20" s="178">
        <v>12</v>
      </c>
      <c r="J20" s="178">
        <v>8</v>
      </c>
      <c r="K20" s="102">
        <v>43</v>
      </c>
      <c r="L20" s="102" t="s">
        <v>168</v>
      </c>
      <c r="M20" s="102">
        <v>13</v>
      </c>
      <c r="N20" s="102">
        <v>37</v>
      </c>
      <c r="O20" s="102">
        <v>42</v>
      </c>
      <c r="P20" s="178" t="s">
        <v>291</v>
      </c>
      <c r="Q20" s="178">
        <v>15</v>
      </c>
      <c r="R20" s="178">
        <v>36</v>
      </c>
      <c r="S20" s="178">
        <v>6</v>
      </c>
      <c r="T20" s="178" t="s">
        <v>291</v>
      </c>
      <c r="U20" s="178" t="s">
        <v>68</v>
      </c>
      <c r="V20" s="178">
        <v>39</v>
      </c>
      <c r="W20" s="102">
        <v>24</v>
      </c>
      <c r="X20" s="178">
        <v>21</v>
      </c>
      <c r="Y20" s="178">
        <v>4</v>
      </c>
      <c r="Z20" s="102">
        <v>35</v>
      </c>
      <c r="AA20" s="102">
        <v>23</v>
      </c>
      <c r="AB20" s="178" t="s">
        <v>160</v>
      </c>
      <c r="AC20" s="178">
        <v>17</v>
      </c>
      <c r="AD20" s="179">
        <v>33</v>
      </c>
    </row>
    <row r="21" spans="1:30" ht="15.05" customHeight="1">
      <c r="A21" s="400"/>
      <c r="B21" s="6">
        <v>6</v>
      </c>
      <c r="C21" s="178">
        <v>21</v>
      </c>
      <c r="D21" s="178">
        <v>20</v>
      </c>
      <c r="E21" s="178" t="s">
        <v>294</v>
      </c>
      <c r="F21" s="178">
        <v>14</v>
      </c>
      <c r="G21" s="178">
        <v>3</v>
      </c>
      <c r="H21" s="178">
        <v>49</v>
      </c>
      <c r="I21" s="178">
        <v>12</v>
      </c>
      <c r="J21" s="178">
        <v>8</v>
      </c>
      <c r="K21" s="102">
        <v>13</v>
      </c>
      <c r="L21" s="102">
        <v>36</v>
      </c>
      <c r="M21" s="102">
        <v>37</v>
      </c>
      <c r="N21" s="102" t="s">
        <v>219</v>
      </c>
      <c r="O21" s="102">
        <v>19</v>
      </c>
      <c r="P21" s="178" t="s">
        <v>291</v>
      </c>
      <c r="Q21" s="178">
        <v>15</v>
      </c>
      <c r="R21" s="178">
        <v>22</v>
      </c>
      <c r="S21" s="178">
        <v>6</v>
      </c>
      <c r="T21" s="178" t="s">
        <v>291</v>
      </c>
      <c r="U21" s="178">
        <v>38</v>
      </c>
      <c r="V21" s="178" t="s">
        <v>68</v>
      </c>
      <c r="W21" s="178">
        <v>39</v>
      </c>
      <c r="X21" s="102">
        <v>10</v>
      </c>
      <c r="Y21" s="102">
        <v>4</v>
      </c>
      <c r="Z21" s="102" t="s">
        <v>160</v>
      </c>
      <c r="AA21" s="102">
        <v>23</v>
      </c>
      <c r="AB21" s="178">
        <v>50</v>
      </c>
      <c r="AC21" s="178">
        <v>17</v>
      </c>
      <c r="AD21" s="182">
        <v>7</v>
      </c>
    </row>
    <row r="22" spans="1:30" ht="15.05" customHeight="1" thickBot="1">
      <c r="A22" s="400"/>
      <c r="B22" s="158">
        <v>7</v>
      </c>
      <c r="C22" s="105">
        <v>21</v>
      </c>
      <c r="D22" s="105">
        <v>46</v>
      </c>
      <c r="E22" s="105">
        <v>36</v>
      </c>
      <c r="F22" s="105">
        <v>14</v>
      </c>
      <c r="G22" s="105">
        <v>3</v>
      </c>
      <c r="H22" s="105">
        <v>9</v>
      </c>
      <c r="I22" s="105">
        <v>12</v>
      </c>
      <c r="J22" s="105">
        <v>8</v>
      </c>
      <c r="K22" s="105">
        <v>19</v>
      </c>
      <c r="L22" s="105">
        <v>4</v>
      </c>
      <c r="M22" s="105">
        <v>37</v>
      </c>
      <c r="N22" s="105">
        <v>42</v>
      </c>
      <c r="O22" s="105">
        <v>13</v>
      </c>
      <c r="P22" s="105">
        <v>6</v>
      </c>
      <c r="Q22" s="105">
        <v>22</v>
      </c>
      <c r="R22" s="105">
        <v>39</v>
      </c>
      <c r="S22" s="105">
        <v>20</v>
      </c>
      <c r="T22" s="105">
        <v>15</v>
      </c>
      <c r="U22" s="105">
        <v>33</v>
      </c>
      <c r="V22" s="105">
        <v>24</v>
      </c>
      <c r="W22" s="105">
        <v>10</v>
      </c>
      <c r="X22" s="105">
        <v>38</v>
      </c>
      <c r="Y22" s="105">
        <v>43</v>
      </c>
      <c r="Z22" s="105">
        <v>18</v>
      </c>
      <c r="AA22" s="105">
        <v>23</v>
      </c>
      <c r="AB22" s="105">
        <v>7</v>
      </c>
      <c r="AC22" s="105">
        <v>17</v>
      </c>
      <c r="AD22" s="105">
        <v>41</v>
      </c>
    </row>
    <row r="23" spans="1:30" ht="15.05" customHeight="1">
      <c r="A23" s="399" t="s">
        <v>22</v>
      </c>
      <c r="B23" s="7">
        <v>1</v>
      </c>
      <c r="C23" s="207">
        <v>5</v>
      </c>
      <c r="D23" s="176">
        <v>15</v>
      </c>
      <c r="E23" s="176">
        <v>3</v>
      </c>
      <c r="F23" s="176">
        <v>14</v>
      </c>
      <c r="G23" s="176">
        <v>11</v>
      </c>
      <c r="H23" s="176">
        <v>26</v>
      </c>
      <c r="I23" s="176">
        <v>50</v>
      </c>
      <c r="J23" s="176">
        <v>8</v>
      </c>
      <c r="K23" s="223" t="s">
        <v>219</v>
      </c>
      <c r="L23" s="223">
        <v>39</v>
      </c>
      <c r="M23" s="223">
        <v>35</v>
      </c>
      <c r="N23" s="223">
        <v>48</v>
      </c>
      <c r="O23" s="186">
        <v>34</v>
      </c>
      <c r="P23" s="185">
        <v>20</v>
      </c>
      <c r="Q23" s="185" t="s">
        <v>240</v>
      </c>
      <c r="R23" s="102">
        <v>6</v>
      </c>
      <c r="S23" s="185">
        <v>37</v>
      </c>
      <c r="T23" s="185">
        <v>36</v>
      </c>
      <c r="U23" s="185" t="s">
        <v>68</v>
      </c>
      <c r="V23" s="185" t="s">
        <v>292</v>
      </c>
      <c r="W23" s="185" t="s">
        <v>291</v>
      </c>
      <c r="X23" s="185" t="s">
        <v>200</v>
      </c>
      <c r="Y23" s="185">
        <v>42</v>
      </c>
      <c r="Z23" s="185">
        <v>2</v>
      </c>
      <c r="AA23" s="185" t="s">
        <v>160</v>
      </c>
      <c r="AB23" s="185">
        <v>23</v>
      </c>
      <c r="AC23" s="176">
        <v>19</v>
      </c>
      <c r="AD23" s="187">
        <v>44</v>
      </c>
    </row>
    <row r="24" spans="1:30" ht="15.05" customHeight="1">
      <c r="A24" s="400"/>
      <c r="B24" s="6">
        <v>2</v>
      </c>
      <c r="C24" s="178">
        <v>5</v>
      </c>
      <c r="D24" s="178">
        <v>2</v>
      </c>
      <c r="E24" s="178">
        <v>3</v>
      </c>
      <c r="F24" s="178">
        <v>14</v>
      </c>
      <c r="G24" s="178">
        <v>11</v>
      </c>
      <c r="H24" s="178">
        <v>50</v>
      </c>
      <c r="I24" s="178">
        <v>12</v>
      </c>
      <c r="J24" s="102">
        <v>8</v>
      </c>
      <c r="K24" s="102">
        <v>39</v>
      </c>
      <c r="L24" s="102">
        <v>48</v>
      </c>
      <c r="M24" s="102">
        <v>38</v>
      </c>
      <c r="N24" s="102">
        <v>45</v>
      </c>
      <c r="O24" s="102">
        <v>35</v>
      </c>
      <c r="P24" s="102">
        <v>37</v>
      </c>
      <c r="Q24" s="102">
        <v>34</v>
      </c>
      <c r="R24" s="102" t="s">
        <v>240</v>
      </c>
      <c r="S24" s="102">
        <v>36</v>
      </c>
      <c r="T24" s="102">
        <v>15</v>
      </c>
      <c r="U24" s="178">
        <v>40</v>
      </c>
      <c r="V24" s="178" t="s">
        <v>292</v>
      </c>
      <c r="W24" s="178" t="s">
        <v>291</v>
      </c>
      <c r="X24" s="178" t="s">
        <v>68</v>
      </c>
      <c r="Y24" s="178">
        <v>42</v>
      </c>
      <c r="Z24" s="178" t="s">
        <v>160</v>
      </c>
      <c r="AA24" s="178">
        <v>7</v>
      </c>
      <c r="AB24" s="178">
        <v>23</v>
      </c>
      <c r="AC24" s="178">
        <v>19</v>
      </c>
      <c r="AD24" s="179">
        <v>44</v>
      </c>
    </row>
    <row r="25" spans="1:30" ht="15.05" customHeight="1">
      <c r="A25" s="400"/>
      <c r="B25" s="6">
        <v>3</v>
      </c>
      <c r="C25" s="178">
        <v>17</v>
      </c>
      <c r="D25" s="178">
        <v>46</v>
      </c>
      <c r="E25" s="178">
        <v>12</v>
      </c>
      <c r="F25" s="178">
        <v>14</v>
      </c>
      <c r="G25" s="178">
        <v>11</v>
      </c>
      <c r="H25" s="178">
        <v>9</v>
      </c>
      <c r="I25" s="178">
        <v>49</v>
      </c>
      <c r="J25" s="102">
        <v>8</v>
      </c>
      <c r="K25" s="102">
        <v>48</v>
      </c>
      <c r="L25" s="102">
        <v>23</v>
      </c>
      <c r="M25" s="102">
        <v>20</v>
      </c>
      <c r="N25" s="102">
        <v>38</v>
      </c>
      <c r="O25" s="102">
        <v>5</v>
      </c>
      <c r="P25" s="102">
        <v>36</v>
      </c>
      <c r="Q25" s="102" t="s">
        <v>168</v>
      </c>
      <c r="R25" s="102">
        <v>45</v>
      </c>
      <c r="S25" s="102">
        <v>6</v>
      </c>
      <c r="T25" s="102">
        <v>34</v>
      </c>
      <c r="U25" s="178">
        <v>37</v>
      </c>
      <c r="V25" s="178">
        <v>40</v>
      </c>
      <c r="W25" s="178" t="s">
        <v>68</v>
      </c>
      <c r="X25" s="178">
        <v>4</v>
      </c>
      <c r="Y25" s="178" t="s">
        <v>291</v>
      </c>
      <c r="Z25" s="102">
        <v>19</v>
      </c>
      <c r="AA25" s="178">
        <v>7</v>
      </c>
      <c r="AB25" s="178" t="s">
        <v>160</v>
      </c>
      <c r="AC25" s="102">
        <v>33</v>
      </c>
      <c r="AD25" s="179">
        <v>2</v>
      </c>
    </row>
    <row r="26" spans="1:30" ht="15.05" customHeight="1">
      <c r="A26" s="400"/>
      <c r="B26" s="6">
        <v>4</v>
      </c>
      <c r="C26" s="178" t="s">
        <v>219</v>
      </c>
      <c r="D26" s="178">
        <v>20</v>
      </c>
      <c r="E26" s="178">
        <v>43</v>
      </c>
      <c r="F26" s="178">
        <v>22</v>
      </c>
      <c r="G26" s="178">
        <v>11</v>
      </c>
      <c r="H26" s="178">
        <v>9</v>
      </c>
      <c r="I26" s="178">
        <v>12</v>
      </c>
      <c r="J26" s="102">
        <v>8</v>
      </c>
      <c r="K26" s="102" t="s">
        <v>168</v>
      </c>
      <c r="L26" s="102">
        <v>34</v>
      </c>
      <c r="M26" s="332" t="s">
        <v>338</v>
      </c>
      <c r="N26" s="102">
        <v>13</v>
      </c>
      <c r="O26" s="102">
        <v>5</v>
      </c>
      <c r="P26" s="102" t="s">
        <v>288</v>
      </c>
      <c r="Q26" s="102">
        <v>6</v>
      </c>
      <c r="R26" s="102">
        <v>37</v>
      </c>
      <c r="S26" s="102">
        <v>44</v>
      </c>
      <c r="T26" s="102">
        <v>50</v>
      </c>
      <c r="U26" s="178">
        <v>21</v>
      </c>
      <c r="V26" s="178" t="s">
        <v>68</v>
      </c>
      <c r="W26" s="178">
        <v>42</v>
      </c>
      <c r="X26" s="178">
        <v>4</v>
      </c>
      <c r="Y26" s="178" t="s">
        <v>291</v>
      </c>
      <c r="Z26" s="178">
        <v>19</v>
      </c>
      <c r="AA26" s="178">
        <v>23</v>
      </c>
      <c r="AB26" s="178">
        <v>47</v>
      </c>
      <c r="AC26" s="178">
        <v>2</v>
      </c>
      <c r="AD26" s="179">
        <v>35</v>
      </c>
    </row>
    <row r="27" spans="1:30" ht="15.05" customHeight="1">
      <c r="A27" s="400"/>
      <c r="B27" s="6">
        <v>5</v>
      </c>
      <c r="C27" s="178">
        <v>46</v>
      </c>
      <c r="D27" s="178">
        <v>20</v>
      </c>
      <c r="E27" s="178">
        <v>24</v>
      </c>
      <c r="F27" s="178">
        <v>50</v>
      </c>
      <c r="G27" s="178">
        <v>49</v>
      </c>
      <c r="H27" s="178">
        <v>9</v>
      </c>
      <c r="I27" s="178">
        <v>12</v>
      </c>
      <c r="J27" s="178">
        <v>22</v>
      </c>
      <c r="K27" s="102">
        <v>34</v>
      </c>
      <c r="L27" s="102">
        <v>37</v>
      </c>
      <c r="M27" s="102">
        <v>13</v>
      </c>
      <c r="N27" s="102" t="s">
        <v>219</v>
      </c>
      <c r="O27" s="332" t="s">
        <v>338</v>
      </c>
      <c r="P27" s="102">
        <v>6</v>
      </c>
      <c r="Q27" s="102">
        <v>36</v>
      </c>
      <c r="R27" s="102">
        <v>44</v>
      </c>
      <c r="S27" s="102" t="s">
        <v>288</v>
      </c>
      <c r="T27" s="102">
        <v>42</v>
      </c>
      <c r="U27" s="178" t="s">
        <v>291</v>
      </c>
      <c r="V27" s="178">
        <v>4</v>
      </c>
      <c r="W27" s="178">
        <v>43</v>
      </c>
      <c r="X27" s="178">
        <v>10</v>
      </c>
      <c r="Y27" s="178" t="s">
        <v>200</v>
      </c>
      <c r="Z27" s="188">
        <v>7</v>
      </c>
      <c r="AA27" s="188">
        <v>47</v>
      </c>
      <c r="AB27" s="188">
        <v>2</v>
      </c>
      <c r="AC27" s="188">
        <v>35</v>
      </c>
      <c r="AD27" s="179" t="s">
        <v>168</v>
      </c>
    </row>
    <row r="28" spans="1:30" ht="15.05" customHeight="1">
      <c r="A28" s="400"/>
      <c r="B28" s="6">
        <v>6</v>
      </c>
      <c r="C28" s="178">
        <v>21</v>
      </c>
      <c r="D28" s="178">
        <v>33</v>
      </c>
      <c r="E28" s="178">
        <v>45</v>
      </c>
      <c r="F28" s="178">
        <v>5</v>
      </c>
      <c r="G28" s="178">
        <v>50</v>
      </c>
      <c r="H28" s="178">
        <v>9</v>
      </c>
      <c r="I28" s="178">
        <v>12</v>
      </c>
      <c r="J28" s="102">
        <v>46</v>
      </c>
      <c r="K28" s="102">
        <v>13</v>
      </c>
      <c r="L28" s="102">
        <v>36</v>
      </c>
      <c r="M28" s="102">
        <v>34</v>
      </c>
      <c r="N28" s="102">
        <v>26</v>
      </c>
      <c r="O28" s="102">
        <v>19</v>
      </c>
      <c r="P28" s="102">
        <v>44</v>
      </c>
      <c r="Q28" s="102">
        <v>49</v>
      </c>
      <c r="R28" s="102">
        <v>22</v>
      </c>
      <c r="S28" s="102">
        <v>20</v>
      </c>
      <c r="T28" s="102">
        <v>6</v>
      </c>
      <c r="U28" s="178" t="s">
        <v>291</v>
      </c>
      <c r="V28" s="178">
        <v>4</v>
      </c>
      <c r="W28" s="178">
        <v>24</v>
      </c>
      <c r="X28" s="178">
        <v>43</v>
      </c>
      <c r="Y28" s="178">
        <v>10</v>
      </c>
      <c r="Z28" s="188">
        <v>7</v>
      </c>
      <c r="AA28" s="188">
        <v>2</v>
      </c>
      <c r="AB28" s="188">
        <v>35</v>
      </c>
      <c r="AC28" s="345">
        <v>47</v>
      </c>
      <c r="AD28" s="179" t="s">
        <v>168</v>
      </c>
    </row>
    <row r="29" spans="1:30" ht="15.05" customHeight="1" thickBot="1">
      <c r="A29" s="400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.05" customHeight="1">
      <c r="A30" s="399" t="s">
        <v>21</v>
      </c>
      <c r="B30" s="7">
        <v>1</v>
      </c>
      <c r="C30" s="176" t="s">
        <v>294</v>
      </c>
      <c r="D30" s="175">
        <v>20</v>
      </c>
      <c r="E30" s="176">
        <v>24</v>
      </c>
      <c r="F30" s="176">
        <v>14</v>
      </c>
      <c r="G30" s="176">
        <v>3</v>
      </c>
      <c r="H30" s="176">
        <v>9</v>
      </c>
      <c r="I30" s="176">
        <v>22</v>
      </c>
      <c r="J30" s="176" t="s">
        <v>334</v>
      </c>
      <c r="K30" s="176">
        <v>37</v>
      </c>
      <c r="L30" s="223">
        <v>13</v>
      </c>
      <c r="M30" s="190">
        <v>42</v>
      </c>
      <c r="N30" s="190" t="s">
        <v>68</v>
      </c>
      <c r="O30" s="185">
        <v>5</v>
      </c>
      <c r="P30" s="185">
        <v>34</v>
      </c>
      <c r="Q30" s="185">
        <v>36</v>
      </c>
      <c r="R30" s="186" t="s">
        <v>168</v>
      </c>
      <c r="S30" s="186">
        <v>39</v>
      </c>
      <c r="T30" s="186">
        <v>47</v>
      </c>
      <c r="U30" s="186">
        <v>4</v>
      </c>
      <c r="V30" s="175">
        <v>11</v>
      </c>
      <c r="W30" s="175" t="s">
        <v>200</v>
      </c>
      <c r="X30" s="175">
        <v>10</v>
      </c>
      <c r="Y30" s="175">
        <v>35</v>
      </c>
      <c r="Z30" s="175">
        <v>19</v>
      </c>
      <c r="AA30" s="175">
        <v>23</v>
      </c>
      <c r="AB30" s="175">
        <v>2</v>
      </c>
      <c r="AC30" s="175">
        <v>17</v>
      </c>
      <c r="AD30" s="181">
        <v>44</v>
      </c>
    </row>
    <row r="31" spans="1:30" ht="15.05" customHeight="1">
      <c r="A31" s="400"/>
      <c r="B31" s="6">
        <v>2</v>
      </c>
      <c r="C31" s="178">
        <v>21</v>
      </c>
      <c r="D31" s="178" t="s">
        <v>349</v>
      </c>
      <c r="E31" s="178">
        <v>24</v>
      </c>
      <c r="F31" s="178">
        <v>14</v>
      </c>
      <c r="G31" s="178">
        <v>22</v>
      </c>
      <c r="H31" s="178">
        <v>9</v>
      </c>
      <c r="I31" s="178" t="s">
        <v>334</v>
      </c>
      <c r="J31" s="178">
        <v>3</v>
      </c>
      <c r="K31" s="178">
        <v>5</v>
      </c>
      <c r="L31" s="178" t="s">
        <v>68</v>
      </c>
      <c r="M31" s="178">
        <v>20</v>
      </c>
      <c r="N31" s="178">
        <v>44</v>
      </c>
      <c r="O31" s="178">
        <v>13</v>
      </c>
      <c r="P31" s="178" t="s">
        <v>168</v>
      </c>
      <c r="Q31" s="178">
        <v>45</v>
      </c>
      <c r="R31" s="102">
        <v>36</v>
      </c>
      <c r="S31" s="102">
        <v>34</v>
      </c>
      <c r="T31" s="102">
        <v>39</v>
      </c>
      <c r="U31" s="102">
        <v>4</v>
      </c>
      <c r="V31" s="102">
        <v>11</v>
      </c>
      <c r="W31" s="102">
        <v>35</v>
      </c>
      <c r="X31" s="102">
        <v>37</v>
      </c>
      <c r="Y31" s="102">
        <v>43</v>
      </c>
      <c r="Z31" s="102">
        <v>47</v>
      </c>
      <c r="AA31" s="102">
        <v>23</v>
      </c>
      <c r="AB31" s="102">
        <v>7</v>
      </c>
      <c r="AC31" s="102">
        <v>17</v>
      </c>
      <c r="AD31" s="182">
        <v>2</v>
      </c>
    </row>
    <row r="32" spans="1:30" ht="15.05" customHeight="1">
      <c r="A32" s="400"/>
      <c r="B32" s="6">
        <v>3</v>
      </c>
      <c r="C32" s="178">
        <v>38</v>
      </c>
      <c r="D32" s="178" t="s">
        <v>294</v>
      </c>
      <c r="E32" s="178">
        <v>36</v>
      </c>
      <c r="F32" s="178">
        <v>14</v>
      </c>
      <c r="G32" s="178">
        <v>11</v>
      </c>
      <c r="H32" s="178">
        <v>9</v>
      </c>
      <c r="I32" s="178">
        <v>3</v>
      </c>
      <c r="J32" s="178">
        <v>8</v>
      </c>
      <c r="K32" s="178">
        <v>19</v>
      </c>
      <c r="L32" s="178">
        <v>4</v>
      </c>
      <c r="M32" s="178">
        <v>20</v>
      </c>
      <c r="N32" s="178">
        <v>34</v>
      </c>
      <c r="O32" s="178">
        <v>44</v>
      </c>
      <c r="P32" s="178">
        <v>15</v>
      </c>
      <c r="Q32" s="178">
        <v>22</v>
      </c>
      <c r="R32" s="102">
        <v>47</v>
      </c>
      <c r="S32" s="102" t="s">
        <v>168</v>
      </c>
      <c r="T32" s="102">
        <v>6</v>
      </c>
      <c r="U32" s="102">
        <v>10</v>
      </c>
      <c r="V32" s="102">
        <v>35</v>
      </c>
      <c r="W32" s="102">
        <v>43</v>
      </c>
      <c r="X32" s="102">
        <v>42</v>
      </c>
      <c r="Y32" s="102">
        <v>21</v>
      </c>
      <c r="Z32" s="102" t="s">
        <v>292</v>
      </c>
      <c r="AA32" s="102" t="s">
        <v>160</v>
      </c>
      <c r="AB32" s="102" t="s">
        <v>292</v>
      </c>
      <c r="AC32" s="102">
        <v>2</v>
      </c>
      <c r="AD32" s="182">
        <v>7</v>
      </c>
    </row>
    <row r="33" spans="1:35" ht="15.05" customHeight="1">
      <c r="A33" s="400"/>
      <c r="B33" s="6">
        <v>4</v>
      </c>
      <c r="C33" s="178" t="s">
        <v>347</v>
      </c>
      <c r="D33" s="178">
        <v>2</v>
      </c>
      <c r="E33" s="178">
        <v>33</v>
      </c>
      <c r="F33" s="178">
        <v>14</v>
      </c>
      <c r="G33" s="178" t="s">
        <v>334</v>
      </c>
      <c r="H33" s="178">
        <v>9</v>
      </c>
      <c r="I33" s="178">
        <v>12</v>
      </c>
      <c r="J33" s="178">
        <v>8</v>
      </c>
      <c r="K33" s="178">
        <v>43</v>
      </c>
      <c r="L33" s="178">
        <v>45</v>
      </c>
      <c r="M33" s="178">
        <v>44</v>
      </c>
      <c r="N33" s="178">
        <v>5</v>
      </c>
      <c r="O33" s="178">
        <v>42</v>
      </c>
      <c r="P33" s="178">
        <v>36</v>
      </c>
      <c r="Q33" s="178">
        <v>39</v>
      </c>
      <c r="R33" s="102">
        <v>34</v>
      </c>
      <c r="S33" s="102">
        <v>15</v>
      </c>
      <c r="T33" s="102">
        <v>6</v>
      </c>
      <c r="U33" s="102">
        <v>21</v>
      </c>
      <c r="V33" s="102">
        <v>24</v>
      </c>
      <c r="W33" s="102">
        <v>37</v>
      </c>
      <c r="X33" s="102">
        <v>16</v>
      </c>
      <c r="Y33" s="102">
        <v>10</v>
      </c>
      <c r="Z33" s="102" t="s">
        <v>292</v>
      </c>
      <c r="AA33" s="102">
        <v>7</v>
      </c>
      <c r="AB33" s="102" t="s">
        <v>292</v>
      </c>
      <c r="AC33" s="102">
        <v>19</v>
      </c>
      <c r="AD33" s="182">
        <v>23</v>
      </c>
    </row>
    <row r="34" spans="1:35" ht="15.05" customHeight="1">
      <c r="A34" s="400"/>
      <c r="B34" s="6">
        <v>5</v>
      </c>
      <c r="C34" s="178">
        <v>5</v>
      </c>
      <c r="D34" s="178">
        <v>38</v>
      </c>
      <c r="E34" s="178">
        <v>3</v>
      </c>
      <c r="F34" s="178">
        <v>49</v>
      </c>
      <c r="G34" s="178">
        <v>11</v>
      </c>
      <c r="H34" s="178" t="s">
        <v>334</v>
      </c>
      <c r="I34" s="178">
        <v>12</v>
      </c>
      <c r="J34" s="178">
        <v>8</v>
      </c>
      <c r="K34" s="178" t="s">
        <v>219</v>
      </c>
      <c r="L34" s="178">
        <v>43</v>
      </c>
      <c r="M34" s="178">
        <v>48</v>
      </c>
      <c r="N34" s="178">
        <v>42</v>
      </c>
      <c r="O34" s="178">
        <v>45</v>
      </c>
      <c r="P34" s="178">
        <v>6</v>
      </c>
      <c r="Q34" s="178">
        <v>15</v>
      </c>
      <c r="R34" s="178">
        <v>39</v>
      </c>
      <c r="S34" s="102">
        <v>36</v>
      </c>
      <c r="T34" s="102">
        <v>34</v>
      </c>
      <c r="U34" s="102">
        <v>21</v>
      </c>
      <c r="V34" s="102">
        <v>24</v>
      </c>
      <c r="W34" s="102">
        <v>10</v>
      </c>
      <c r="X34" s="102">
        <v>35</v>
      </c>
      <c r="Y34" s="102">
        <v>37</v>
      </c>
      <c r="Z34" s="102">
        <v>7</v>
      </c>
      <c r="AA34" s="102" t="s">
        <v>291</v>
      </c>
      <c r="AB34" s="102">
        <v>23</v>
      </c>
      <c r="AC34" s="102" t="s">
        <v>160</v>
      </c>
      <c r="AD34" s="182" t="s">
        <v>292</v>
      </c>
      <c r="AF34" s="156"/>
    </row>
    <row r="35" spans="1:35" ht="15.05" customHeight="1">
      <c r="A35" s="400"/>
      <c r="B35" s="6">
        <v>6</v>
      </c>
      <c r="C35" s="178" t="s">
        <v>200</v>
      </c>
      <c r="D35" s="178">
        <v>49</v>
      </c>
      <c r="E35" s="178">
        <v>46</v>
      </c>
      <c r="F35" s="178" t="s">
        <v>334</v>
      </c>
      <c r="G35" s="178">
        <v>11</v>
      </c>
      <c r="H35" s="178">
        <v>3</v>
      </c>
      <c r="I35" s="178">
        <v>12</v>
      </c>
      <c r="J35" s="178">
        <v>8</v>
      </c>
      <c r="K35" s="178">
        <v>48</v>
      </c>
      <c r="L35" s="102">
        <v>36</v>
      </c>
      <c r="M35" s="178">
        <v>5</v>
      </c>
      <c r="N35" s="178" t="s">
        <v>219</v>
      </c>
      <c r="O35" s="178">
        <v>38</v>
      </c>
      <c r="P35" s="178">
        <v>39</v>
      </c>
      <c r="Q35" s="178">
        <v>34</v>
      </c>
      <c r="R35" s="178">
        <v>15</v>
      </c>
      <c r="S35" s="102">
        <v>6</v>
      </c>
      <c r="T35" s="102">
        <v>24</v>
      </c>
      <c r="U35" s="102">
        <v>35</v>
      </c>
      <c r="V35" s="198">
        <v>37</v>
      </c>
      <c r="W35" s="102">
        <v>10</v>
      </c>
      <c r="X35" s="102">
        <v>21</v>
      </c>
      <c r="Y35" s="102">
        <v>42</v>
      </c>
      <c r="Z35" s="102" t="s">
        <v>160</v>
      </c>
      <c r="AA35" s="102" t="s">
        <v>291</v>
      </c>
      <c r="AB35" s="102">
        <v>23</v>
      </c>
      <c r="AC35" s="102">
        <v>7</v>
      </c>
      <c r="AD35" s="182" t="s">
        <v>292</v>
      </c>
    </row>
    <row r="36" spans="1:35" ht="15.05" customHeight="1">
      <c r="A36" s="400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5" customHeight="1">
      <c r="B38" s="4"/>
      <c r="C38" s="4">
        <f>COUNTIF(C2:C36,45)</f>
        <v>2</v>
      </c>
      <c r="D38" s="4">
        <f t="shared" ref="D38:AD38" si="0">COUNTIF(D2:D36,45)</f>
        <v>2</v>
      </c>
      <c r="E38" s="4">
        <f t="shared" si="0"/>
        <v>2</v>
      </c>
      <c r="F38" s="4">
        <f t="shared" si="0"/>
        <v>0</v>
      </c>
      <c r="G38" s="4">
        <f t="shared" si="0"/>
        <v>0</v>
      </c>
      <c r="H38" s="4">
        <f t="shared" si="0"/>
        <v>0</v>
      </c>
      <c r="I38" s="4">
        <f t="shared" si="0"/>
        <v>0</v>
      </c>
      <c r="J38" s="4">
        <f t="shared" si="0"/>
        <v>0</v>
      </c>
      <c r="K38" s="4">
        <f t="shared" si="0"/>
        <v>1</v>
      </c>
      <c r="L38" s="4">
        <f t="shared" si="0"/>
        <v>1</v>
      </c>
      <c r="M38" s="4">
        <f t="shared" si="0"/>
        <v>1</v>
      </c>
      <c r="N38" s="4">
        <f t="shared" si="0"/>
        <v>1</v>
      </c>
      <c r="O38" s="4">
        <f t="shared" si="0"/>
        <v>1</v>
      </c>
      <c r="P38" s="4">
        <f t="shared" si="0"/>
        <v>1</v>
      </c>
      <c r="Q38" s="4">
        <f t="shared" si="0"/>
        <v>1</v>
      </c>
      <c r="R38" s="4">
        <f t="shared" si="0"/>
        <v>1</v>
      </c>
      <c r="S38" s="4">
        <f t="shared" si="0"/>
        <v>1</v>
      </c>
      <c r="T38" s="4">
        <f t="shared" si="0"/>
        <v>1</v>
      </c>
      <c r="U38" s="4">
        <f t="shared" si="0"/>
        <v>0</v>
      </c>
      <c r="V38" s="4">
        <f t="shared" si="0"/>
        <v>0</v>
      </c>
      <c r="W38" s="4">
        <f t="shared" si="0"/>
        <v>0</v>
      </c>
      <c r="X38" s="4">
        <f t="shared" si="0"/>
        <v>0</v>
      </c>
      <c r="Y38" s="4">
        <f t="shared" si="0"/>
        <v>0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 t="shared" ref="AE38" si="1">COUNTIF(AE2:AE36,"25/29")</f>
        <v>0</v>
      </c>
      <c r="AF38" s="4"/>
      <c r="AG38" s="4"/>
      <c r="AH38" s="4"/>
      <c r="AI38" s="4"/>
    </row>
    <row r="39" spans="1:35" ht="16.5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212</v>
      </c>
      <c r="AA39" s="4"/>
      <c r="AB39" s="4"/>
      <c r="AC39" s="4"/>
      <c r="AD39" s="4"/>
    </row>
    <row r="40" spans="1:35" ht="16.55" customHeight="1">
      <c r="C40" s="404" t="s">
        <v>74</v>
      </c>
      <c r="D40" s="404"/>
      <c r="E40" s="210" t="s">
        <v>80</v>
      </c>
      <c r="F40" s="211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212</v>
      </c>
    </row>
    <row r="41" spans="1:35" ht="15.05" customHeight="1">
      <c r="C41" s="1" t="s">
        <v>255</v>
      </c>
      <c r="D41" s="210"/>
      <c r="E41" s="210" t="s">
        <v>81</v>
      </c>
      <c r="F41" s="210"/>
      <c r="K41" s="1" t="s">
        <v>81</v>
      </c>
    </row>
    <row r="42" spans="1:35" ht="16.55" customHeight="1">
      <c r="C42" s="1" t="s">
        <v>256</v>
      </c>
      <c r="D42" s="210"/>
      <c r="E42" s="210" t="s">
        <v>257</v>
      </c>
      <c r="F42" s="210"/>
      <c r="K42" s="1" t="s">
        <v>257</v>
      </c>
    </row>
    <row r="43" spans="1:35" ht="16.55" customHeight="1">
      <c r="B43" s="1"/>
      <c r="D43" s="210"/>
      <c r="E43" s="210" t="s">
        <v>74</v>
      </c>
      <c r="F43" s="210"/>
      <c r="K43" s="1" t="s">
        <v>74</v>
      </c>
    </row>
    <row r="44" spans="1:35" ht="16.55" customHeight="1">
      <c r="B44" s="1"/>
      <c r="E44" s="210"/>
    </row>
    <row r="45" spans="1:35" ht="16.55" customHeight="1">
      <c r="B45" s="1"/>
      <c r="E45" s="210"/>
    </row>
    <row r="46" spans="1:35" ht="16.55" customHeight="1">
      <c r="B46" s="1"/>
      <c r="E46" s="210"/>
    </row>
    <row r="47" spans="1:35" ht="16.55" customHeight="1">
      <c r="C47" s="4"/>
      <c r="D47" s="4"/>
      <c r="E47" s="2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A2:A8"/>
    <mergeCell ref="A9:A15"/>
    <mergeCell ref="Q18:S18"/>
    <mergeCell ref="Q19:S19"/>
    <mergeCell ref="C40:D40"/>
    <mergeCell ref="A16:A22"/>
    <mergeCell ref="A23:A29"/>
    <mergeCell ref="A30:A36"/>
  </mergeCells>
  <phoneticPr fontId="0" type="noConversion"/>
  <conditionalFormatting sqref="A2:B2 D2:AD2 A3:AD3 A9:AD15 O7:AD8 A7:L8 A4:Q4 T4:AD4 A20:AD36 A16:Q19 T16:AD19 A5:AD6">
    <cfRule type="cellIs" dxfId="20" priority="35" stopIfTrue="1" operator="equal">
      <formula>40</formula>
    </cfRule>
  </conditionalFormatting>
  <conditionalFormatting sqref="A2:B2 D2:AD2 A3:AD3 A9:AD15 O7:AD8 A7:L8 A1:AD1 A4:Q4 T4:AD4 A20:AD36 A16:Q19 T16:AD19 A5:AD6">
    <cfRule type="cellIs" dxfId="19" priority="30" stopIfTrue="1" operator="equal">
      <formula>16</formula>
    </cfRule>
    <cfRule type="cellIs" dxfId="18" priority="31" stopIfTrue="1" operator="equal">
      <formula>17</formula>
    </cfRule>
    <cfRule type="cellIs" dxfId="17" priority="32" stopIfTrue="1" operator="equal">
      <formula>18</formula>
    </cfRule>
    <cfRule type="cellIs" dxfId="16" priority="33" stopIfTrue="1" operator="equal">
      <formula>"16/50"</formula>
    </cfRule>
    <cfRule type="cellIs" dxfId="15" priority="34" stopIfTrue="1" operator="equal">
      <formula>"17/50"</formula>
    </cfRule>
  </conditionalFormatting>
  <conditionalFormatting sqref="C2:AD3 C9:AD15 O7:AD8 C7:L8 C4:Q4 T4:AD4 C20:AD36 C16:Q19 T16:AD19 C5:AD6">
    <cfRule type="cellIs" dxfId="14" priority="14" stopIfTrue="1" operator="equal">
      <formula>"17/18"</formula>
    </cfRule>
    <cfRule type="cellIs" dxfId="13" priority="15" stopIfTrue="1" operator="equal">
      <formula>"16/18"</formula>
    </cfRule>
    <cfRule type="cellIs" dxfId="12" priority="16" stopIfTrue="1" operator="equal">
      <formula>50</formula>
    </cfRule>
  </conditionalFormatting>
  <conditionalFormatting sqref="A1:AD3 A4:Q4 T4:AD4 A20:AD36 A16:Q19 T16:AD19 A5:AD15">
    <cfRule type="cellIs" dxfId="11" priority="13" stopIfTrue="1" operator="equal">
      <formula>"16/17/18/50"</formula>
    </cfRule>
  </conditionalFormatting>
  <conditionalFormatting sqref="R4">
    <cfRule type="cellIs" dxfId="10" priority="12" stopIfTrue="1" operator="equal">
      <formula>40</formula>
    </cfRule>
  </conditionalFormatting>
  <conditionalFormatting sqref="R4">
    <cfRule type="cellIs" dxfId="9" priority="7" stopIfTrue="1" operator="equal">
      <formula>16</formula>
    </cfRule>
    <cfRule type="cellIs" dxfId="8" priority="8" stopIfTrue="1" operator="equal">
      <formula>17</formula>
    </cfRule>
    <cfRule type="cellIs" dxfId="7" priority="9" stopIfTrue="1" operator="equal">
      <formula>18</formula>
    </cfRule>
    <cfRule type="cellIs" dxfId="6" priority="10" stopIfTrue="1" operator="equal">
      <formula>"16/50"</formula>
    </cfRule>
    <cfRule type="cellIs" dxfId="5" priority="11" stopIfTrue="1" operator="equal">
      <formula>"17/50"</formula>
    </cfRule>
  </conditionalFormatting>
  <conditionalFormatting sqref="R4">
    <cfRule type="cellIs" dxfId="4" priority="4" stopIfTrue="1" operator="equal">
      <formula>"17/18"</formula>
    </cfRule>
    <cfRule type="cellIs" dxfId="3" priority="5" stopIfTrue="1" operator="equal">
      <formula>"16/18"</formula>
    </cfRule>
    <cfRule type="cellIs" dxfId="2" priority="6" stopIfTrue="1" operator="equal">
      <formula>50</formula>
    </cfRule>
  </conditionalFormatting>
  <conditionalFormatting sqref="R4">
    <cfRule type="cellIs" dxfId="1" priority="3" stopIfTrue="1" operator="equal">
      <formula>"16/17/18/50"</formula>
    </cfRule>
  </conditionalFormatting>
  <conditionalFormatting sqref="C2:AD36">
    <cfRule type="cellIs" dxfId="0" priority="1" operator="equal">
      <formula>"1/26"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F52"/>
  <sheetViews>
    <sheetView zoomScale="85" zoomScaleNormal="85" workbookViewId="0">
      <selection activeCell="AA10" sqref="AA10"/>
    </sheetView>
  </sheetViews>
  <sheetFormatPr defaultColWidth="9.125" defaultRowHeight="13.1"/>
  <cols>
    <col min="1" max="2" width="1.875" style="12" customWidth="1"/>
    <col min="3" max="3" width="2.375" style="12" customWidth="1"/>
    <col min="4" max="11" width="2.75" style="12" customWidth="1"/>
    <col min="12" max="12" width="2.625" style="12" customWidth="1"/>
    <col min="13" max="14" width="2.75" style="12" customWidth="1"/>
    <col min="15" max="16" width="3.25" style="12" customWidth="1"/>
    <col min="17" max="17" width="3.625" style="12" customWidth="1"/>
    <col min="18" max="18" width="4.125" style="12" customWidth="1"/>
    <col min="19" max="19" width="4" style="12" customWidth="1"/>
    <col min="20" max="20" width="4.125" style="12" customWidth="1"/>
    <col min="21" max="21" width="2.75" style="12" customWidth="1"/>
    <col min="22" max="22" width="2.75" style="21" customWidth="1"/>
    <col min="23" max="38" width="2.75" style="12" customWidth="1"/>
    <col min="39" max="39" width="2.875" style="12" customWidth="1"/>
    <col min="40" max="43" width="2.75" style="12" customWidth="1"/>
    <col min="44" max="44" width="2.875" style="12" customWidth="1"/>
    <col min="45" max="49" width="2.75" style="12" customWidth="1"/>
    <col min="50" max="50" width="3.25" style="12" customWidth="1"/>
    <col min="51" max="51" width="2.75" style="12" customWidth="1"/>
    <col min="52" max="52" width="4.125" style="12" customWidth="1"/>
    <col min="53" max="54" width="3.75" style="12" customWidth="1"/>
    <col min="55" max="55" width="4" style="12" customWidth="1"/>
    <col min="56" max="57" width="3.375" style="12" customWidth="1"/>
    <col min="58" max="58" width="3.125" style="12" customWidth="1"/>
    <col min="59" max="59" width="3.375" style="12" customWidth="1"/>
    <col min="60" max="61" width="3.875" style="12" customWidth="1"/>
    <col min="62" max="62" width="3.375" style="12" customWidth="1"/>
    <col min="63" max="63" width="3.125" style="12" customWidth="1"/>
    <col min="64" max="64" width="3.25" style="12" customWidth="1"/>
    <col min="65" max="66" width="3.125" style="12" customWidth="1"/>
    <col min="67" max="67" width="3.875" style="12" customWidth="1"/>
    <col min="68" max="68" width="4.25" style="12" customWidth="1"/>
    <col min="69" max="70" width="3.625" style="12" customWidth="1"/>
    <col min="71" max="72" width="2.875" style="12" customWidth="1"/>
    <col min="73" max="73" width="4" style="12" customWidth="1"/>
    <col min="74" max="76" width="3" style="12" customWidth="1"/>
    <col min="77" max="78" width="2.75" style="12" customWidth="1"/>
    <col min="79" max="79" width="2.625" style="12" customWidth="1"/>
    <col min="80" max="82" width="2.75" style="12" customWidth="1"/>
    <col min="83" max="83" width="3.625" style="12" customWidth="1"/>
    <col min="84" max="84" width="2.75" style="12" customWidth="1"/>
    <col min="85" max="16384" width="9.125" style="12"/>
  </cols>
  <sheetData>
    <row r="1" spans="1:84" s="11" customFormat="1" ht="59.25" customHeight="1">
      <c r="A1" s="304"/>
      <c r="B1" s="325"/>
      <c r="C1" s="305" t="str">
        <f>+Списък!B2</f>
        <v>Г. Петрова</v>
      </c>
      <c r="D1" s="305" t="str">
        <f>+Списък!B3</f>
        <v>Н. Николова</v>
      </c>
      <c r="E1" s="305" t="str">
        <f>+Списък!B4</f>
        <v>Трифонова</v>
      </c>
      <c r="F1" s="305" t="str">
        <f>+Списък!B5</f>
        <v>Вълчева</v>
      </c>
      <c r="G1" s="305" t="str">
        <f>+Списък!B6</f>
        <v>Стефанова</v>
      </c>
      <c r="H1" s="305" t="str">
        <f>+Списък!B7</f>
        <v>Гюлева</v>
      </c>
      <c r="I1" s="305" t="str">
        <f>+Списък!B8</f>
        <v>Чанкова</v>
      </c>
      <c r="J1" s="305" t="str">
        <f>+Списък!B9</f>
        <v>Маркова</v>
      </c>
      <c r="K1" s="305" t="str">
        <f>+Списък!B10</f>
        <v>Д. Николова</v>
      </c>
      <c r="L1" s="305" t="str">
        <f>+Списък!B11</f>
        <v>Данева</v>
      </c>
      <c r="M1" s="305" t="str">
        <f>+Списък!B12</f>
        <v>Габарова</v>
      </c>
      <c r="N1" s="305" t="str">
        <f>+Списък!B13</f>
        <v>Гинева</v>
      </c>
      <c r="O1" s="305" t="str">
        <f>+Списък!B14</f>
        <v>Сапунджиева</v>
      </c>
      <c r="P1" s="305" t="str">
        <f>+Списък!B15</f>
        <v>Спасова</v>
      </c>
      <c r="Q1" s="305" t="str">
        <f>+Списък!B16</f>
        <v>Иванова</v>
      </c>
      <c r="R1" s="306" t="str">
        <f>+Списък!B17</f>
        <v>Кирилова</v>
      </c>
      <c r="S1" s="306" t="str">
        <f>+Списък!B18</f>
        <v>Даскалова</v>
      </c>
      <c r="T1" s="306" t="str">
        <f>+Списък!B19</f>
        <v>Тодорова</v>
      </c>
      <c r="U1" s="305" t="str">
        <f>+Списък!B20</f>
        <v>Батимов</v>
      </c>
      <c r="V1" s="305" t="str">
        <f>+Списък!B21</f>
        <v>Краева</v>
      </c>
      <c r="W1" s="305" t="str">
        <f>+Списък!B22</f>
        <v>Клисарова</v>
      </c>
      <c r="X1" s="305" t="str">
        <f>+Списък!B23</f>
        <v>Мерджанова</v>
      </c>
      <c r="Y1" s="305" t="str">
        <f>+Списък!B24</f>
        <v>Гочева</v>
      </c>
      <c r="Z1" s="305" t="str">
        <f>+Списък!B25</f>
        <v>Кръстева</v>
      </c>
      <c r="AA1" s="306" t="str">
        <f>+Списък!B26</f>
        <v>Петкова</v>
      </c>
      <c r="AB1" s="306" t="str">
        <f>+Списък!B27</f>
        <v>Д. Иванова</v>
      </c>
      <c r="AC1" s="306" t="str">
        <f>+Списък!B28</f>
        <v>Киркова</v>
      </c>
      <c r="AD1" s="306" t="str">
        <f>+Списък!B29</f>
        <v>К. Петрова</v>
      </c>
      <c r="AE1" s="306" t="str">
        <f>+Списък!B30</f>
        <v>Димитрова</v>
      </c>
      <c r="AF1" s="306" t="str">
        <f>+Списък!B31</f>
        <v>Христонова</v>
      </c>
      <c r="AG1" s="306" t="str">
        <f>+Списък!B32</f>
        <v>Янева</v>
      </c>
      <c r="AH1" s="306" t="str">
        <f>+Списък!B33</f>
        <v>Цветков</v>
      </c>
      <c r="AI1" s="305" t="str">
        <f>+Списък!B34</f>
        <v>Киров</v>
      </c>
      <c r="AJ1" s="305" t="str">
        <f>+Списък!B35</f>
        <v>Латева</v>
      </c>
      <c r="AK1" s="305" t="str">
        <f>+Списък!B36</f>
        <v>Славова</v>
      </c>
      <c r="AL1" s="305" t="str">
        <f>+Списък!B37</f>
        <v>Никова</v>
      </c>
      <c r="AM1" s="305" t="str">
        <f>+Списък!B38</f>
        <v>В. Иванова</v>
      </c>
      <c r="AN1" s="306" t="str">
        <f>+Списък!B39</f>
        <v>Попова</v>
      </c>
      <c r="AO1" s="306" t="str">
        <f>+Списък!B40</f>
        <v>Влашинска</v>
      </c>
      <c r="AP1" s="306" t="str">
        <f>+Списък!B41</f>
        <v>Ю. Делчева</v>
      </c>
      <c r="AQ1" s="306" t="str">
        <f>+Списък!B42</f>
        <v>Козалиева</v>
      </c>
      <c r="AR1" s="306" t="str">
        <f>+Списък!B43</f>
        <v>Коларова</v>
      </c>
      <c r="AS1" s="306" t="str">
        <f>+Списък!B44</f>
        <v>Костова</v>
      </c>
      <c r="AT1" s="306" t="str">
        <f>+Списък!B45</f>
        <v>Минчева</v>
      </c>
      <c r="AU1" s="305" t="str">
        <f>+Списък!B46</f>
        <v>Петров</v>
      </c>
      <c r="AV1" s="306" t="str">
        <f>+Списък!B47</f>
        <v>Пецова</v>
      </c>
      <c r="AW1" s="305" t="str">
        <f>+Списък!B48</f>
        <v>Конгалов</v>
      </c>
      <c r="AX1" s="305" t="str">
        <f>+Списък!B49</f>
        <v>Трандев</v>
      </c>
      <c r="AY1" s="305" t="str">
        <f>+Списък!B50</f>
        <v>Тонева</v>
      </c>
      <c r="AZ1" s="305" t="str">
        <f>Списък!B51</f>
        <v>Филипова</v>
      </c>
      <c r="BA1" s="28" t="str">
        <f>+Списък!B54</f>
        <v>Г. Петрова/Д. Иванова</v>
      </c>
      <c r="BB1" s="28" t="str">
        <f>+Списък!B55</f>
        <v>Димитрова/Христонова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Христонова/Пецова</v>
      </c>
      <c r="BH1" s="28" t="str">
        <f>Списък!B61</f>
        <v>Петкова/Димитрова</v>
      </c>
      <c r="BI1" s="92" t="str">
        <f>+Списък!B62</f>
        <v>Петкова/Янева</v>
      </c>
      <c r="BJ1" s="92" t="str">
        <f>Списък!B63</f>
        <v>Петкова/Димитрова</v>
      </c>
      <c r="BK1" s="92" t="str">
        <f>+Списък!B64</f>
        <v>Димитрова/Пецова</v>
      </c>
      <c r="BL1" s="28" t="str">
        <f>Списък!B65</f>
        <v>Янева/Пецова</v>
      </c>
      <c r="BM1" s="28" t="str">
        <f>+Списък!B27</f>
        <v>Д. Иванова</v>
      </c>
      <c r="BN1" s="28" t="str">
        <f>+Списък!B67</f>
        <v>Цветков/Пецова</v>
      </c>
      <c r="BO1" s="78" t="str">
        <f>Списък!B71</f>
        <v>Кирилова/Тодорова</v>
      </c>
      <c r="BP1" s="78" t="str">
        <f>Списък!B72</f>
        <v>Даскалова/Тодорова</v>
      </c>
      <c r="BQ1" s="225" t="str">
        <f>Списък!B70</f>
        <v>Кирилова/Даскалова/Тодорова/Филипова</v>
      </c>
      <c r="BR1" s="28" t="str">
        <f>Списък!B18</f>
        <v>Даскалова</v>
      </c>
      <c r="BS1" s="28" t="str">
        <f>Списък!B19</f>
        <v>Тодорова</v>
      </c>
      <c r="BT1" s="28" t="str">
        <f>Списък!B51</f>
        <v>Филипова</v>
      </c>
      <c r="BU1" s="28" t="s">
        <v>317</v>
      </c>
      <c r="BV1" s="28" t="str">
        <f>Списък!B17</f>
        <v>Кирилова</v>
      </c>
      <c r="BW1" s="28" t="str">
        <f>Списък!B75</f>
        <v>Петров ФВС</v>
      </c>
      <c r="BX1" s="28" t="str">
        <f>Списък!B46</f>
        <v>Петров</v>
      </c>
      <c r="BY1" s="28" t="str">
        <f>Списък!B47</f>
        <v>Пецова</v>
      </c>
      <c r="BZ1" s="28" t="str">
        <f>+Списък!B34</f>
        <v>Киров</v>
      </c>
      <c r="CA1" s="28" t="str">
        <f>+Списък!B73</f>
        <v>Киров</v>
      </c>
      <c r="CB1" s="28" t="str">
        <f>+Списък!B42</f>
        <v>Козалиева</v>
      </c>
      <c r="CC1" s="28" t="str">
        <f>+Списък!B74</f>
        <v>Козалиева</v>
      </c>
      <c r="CD1" s="28" t="str">
        <f>+Списък!B35</f>
        <v>Латева</v>
      </c>
      <c r="CE1" s="28" t="str">
        <f>+Списък!B78</f>
        <v>Латева</v>
      </c>
      <c r="CF1" s="28" t="str">
        <f>+Списък!C79</f>
        <v>свят и личност</v>
      </c>
    </row>
    <row r="2" spans="1:84" ht="11.95" customHeight="1">
      <c r="A2" s="307"/>
      <c r="B2" s="326"/>
      <c r="C2" s="308">
        <f>+Списък!A2</f>
        <v>1</v>
      </c>
      <c r="D2" s="308">
        <f>+Списък!A3</f>
        <v>2</v>
      </c>
      <c r="E2" s="308">
        <f>+Списък!A4</f>
        <v>3</v>
      </c>
      <c r="F2" s="308">
        <f>+Списък!A5</f>
        <v>4</v>
      </c>
      <c r="G2" s="308">
        <f>+Списък!A6</f>
        <v>5</v>
      </c>
      <c r="H2" s="308">
        <f>+Списък!A7</f>
        <v>6</v>
      </c>
      <c r="I2" s="308">
        <f>+Списък!A8</f>
        <v>7</v>
      </c>
      <c r="J2" s="308">
        <f>+Списък!A9</f>
        <v>8</v>
      </c>
      <c r="K2" s="308">
        <f>+Списък!A10</f>
        <v>9</v>
      </c>
      <c r="L2" s="308">
        <f>+Списък!A11</f>
        <v>10</v>
      </c>
      <c r="M2" s="308">
        <f>+Списък!A12</f>
        <v>11</v>
      </c>
      <c r="N2" s="308">
        <f>+Списък!A13</f>
        <v>12</v>
      </c>
      <c r="O2" s="308">
        <f>+Списък!A14</f>
        <v>13</v>
      </c>
      <c r="P2" s="308">
        <f>+Списък!A15</f>
        <v>14</v>
      </c>
      <c r="Q2" s="308">
        <f>+Списък!A16</f>
        <v>15</v>
      </c>
      <c r="R2" s="309">
        <f>+Списък!A17</f>
        <v>16</v>
      </c>
      <c r="S2" s="309">
        <f>+Списък!A18</f>
        <v>17</v>
      </c>
      <c r="T2" s="309">
        <f>+Списък!A19</f>
        <v>18</v>
      </c>
      <c r="U2" s="308">
        <f>+Списък!A20</f>
        <v>19</v>
      </c>
      <c r="V2" s="308">
        <f>+Списък!A21</f>
        <v>20</v>
      </c>
      <c r="W2" s="308">
        <f>+Списък!A22</f>
        <v>21</v>
      </c>
      <c r="X2" s="308">
        <f>+Списък!A23</f>
        <v>22</v>
      </c>
      <c r="Y2" s="308">
        <f>+Списък!A24</f>
        <v>23</v>
      </c>
      <c r="Z2" s="308">
        <f>+Списък!A25</f>
        <v>24</v>
      </c>
      <c r="AA2" s="309">
        <f>+Списък!A26</f>
        <v>25</v>
      </c>
      <c r="AB2" s="309">
        <f>+Списък!A27</f>
        <v>26</v>
      </c>
      <c r="AC2" s="309">
        <f>+Списък!A28</f>
        <v>27</v>
      </c>
      <c r="AD2" s="309">
        <f>+Списък!A29</f>
        <v>28</v>
      </c>
      <c r="AE2" s="309">
        <f>+Списък!A30</f>
        <v>29</v>
      </c>
      <c r="AF2" s="309">
        <f>+Списък!A31</f>
        <v>30</v>
      </c>
      <c r="AG2" s="309">
        <f>+Списък!A32</f>
        <v>31</v>
      </c>
      <c r="AH2" s="309">
        <f>+Списък!A33</f>
        <v>32</v>
      </c>
      <c r="AI2" s="308">
        <f>+Списък!A34</f>
        <v>33</v>
      </c>
      <c r="AJ2" s="308">
        <f>+Списък!A35</f>
        <v>34</v>
      </c>
      <c r="AK2" s="308">
        <f>+Списък!A36</f>
        <v>35</v>
      </c>
      <c r="AL2" s="308">
        <f>+Списък!A37</f>
        <v>36</v>
      </c>
      <c r="AM2" s="308">
        <f>+Списък!A38</f>
        <v>37</v>
      </c>
      <c r="AN2" s="309">
        <f>+Списък!A39</f>
        <v>38</v>
      </c>
      <c r="AO2" s="309">
        <f>+Списък!A40</f>
        <v>39</v>
      </c>
      <c r="AP2" s="309">
        <f>+Списък!A41</f>
        <v>40</v>
      </c>
      <c r="AQ2" s="309">
        <f>+Списък!A42</f>
        <v>41</v>
      </c>
      <c r="AR2" s="309">
        <f>+Списък!A43</f>
        <v>42</v>
      </c>
      <c r="AS2" s="309">
        <f>+Списък!A44</f>
        <v>43</v>
      </c>
      <c r="AT2" s="309">
        <f>+Списък!A45</f>
        <v>44</v>
      </c>
      <c r="AU2" s="308">
        <f>+Списък!A46</f>
        <v>45</v>
      </c>
      <c r="AV2" s="309">
        <f>+Списък!A47</f>
        <v>46</v>
      </c>
      <c r="AW2" s="308">
        <f>+Списък!A48</f>
        <v>47</v>
      </c>
      <c r="AX2" s="308">
        <f>+Списък!A49</f>
        <v>48</v>
      </c>
      <c r="AY2" s="308">
        <f>+Списък!A50</f>
        <v>49</v>
      </c>
      <c r="AZ2" s="308">
        <f>Списък!A51</f>
        <v>50</v>
      </c>
      <c r="BA2" s="29" t="str">
        <f>+Списък!A54</f>
        <v>1/26</v>
      </c>
      <c r="BB2" s="29" t="str">
        <f>+Списък!A55</f>
        <v>29/30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30/46</v>
      </c>
      <c r="BH2" s="29" t="str">
        <f>Списък!A61</f>
        <v>25/29</v>
      </c>
      <c r="BI2" s="93" t="str">
        <f>+Списък!A62</f>
        <v>25/31</v>
      </c>
      <c r="BJ2" s="93" t="str">
        <f>Списък!A63</f>
        <v>25//29</v>
      </c>
      <c r="BK2" s="93" t="str">
        <f>+Списък!A64</f>
        <v>29/46</v>
      </c>
      <c r="BL2" s="59" t="str">
        <f>Списък!A65</f>
        <v>31/46</v>
      </c>
      <c r="BM2" s="29">
        <f>+Списък!A27</f>
        <v>26</v>
      </c>
      <c r="BN2" s="59" t="str">
        <f>+Списък!A67</f>
        <v>32/46</v>
      </c>
      <c r="BO2" s="96" t="str">
        <f>Списък!A71</f>
        <v>16/18</v>
      </c>
      <c r="BP2" s="96" t="str">
        <f>Списък!A72</f>
        <v>17/18</v>
      </c>
      <c r="BQ2" s="29" t="str">
        <f>Списък!A70</f>
        <v>16/17/18/50</v>
      </c>
      <c r="BR2" s="29">
        <f>Списък!A18</f>
        <v>17</v>
      </c>
      <c r="BS2" s="29">
        <f>Списък!A19</f>
        <v>18</v>
      </c>
      <c r="BT2" s="29">
        <f>Списък!A51</f>
        <v>50</v>
      </c>
      <c r="BU2" s="29"/>
      <c r="BV2" s="29">
        <f>Списък!A17</f>
        <v>16</v>
      </c>
      <c r="BW2" s="59" t="str">
        <f>Списък!A75</f>
        <v>45*</v>
      </c>
      <c r="BX2" s="29">
        <f>Списък!A46</f>
        <v>45</v>
      </c>
      <c r="BY2" s="29">
        <f>+Списък!A47</f>
        <v>46</v>
      </c>
      <c r="BZ2" s="29">
        <f>+Списък!A34</f>
        <v>33</v>
      </c>
      <c r="CA2" s="29" t="str">
        <f>+Списък!A73</f>
        <v>33*</v>
      </c>
      <c r="CB2" s="29">
        <f>+Списък!A42</f>
        <v>41</v>
      </c>
      <c r="CC2" s="29" t="str">
        <f>+Списък!A74</f>
        <v>41*</v>
      </c>
      <c r="CD2" s="29">
        <f>+Списък!A35</f>
        <v>34</v>
      </c>
      <c r="CE2" s="29" t="str">
        <f>+Списък!A78</f>
        <v>34*</v>
      </c>
      <c r="CF2" s="29">
        <f>+Списък!A79</f>
        <v>341</v>
      </c>
    </row>
    <row r="3" spans="1:84" ht="13.6" customHeight="1">
      <c r="A3" s="406" t="s">
        <v>24</v>
      </c>
      <c r="B3" s="314">
        <v>1</v>
      </c>
      <c r="C3" s="193" t="str">
        <f>BA3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12а</v>
      </c>
      <c r="E3" s="194" t="str">
        <f>IF(COUNTIF('Програма-кодове'!$C2:$AD2,$E$2)=0,"-",IF(COUNTIF('Програма-кодове'!$C2:$AD2,$E$2)=1,INDEX('Програма-кодове'!$C$1:$AD$1,1,MATCH($E$2,'Програма-кодове'!$C2:$AD2,0)),"Дублаж"))</f>
        <v>8б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11в</v>
      </c>
      <c r="G3" s="346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8a</v>
      </c>
      <c r="H3" s="346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-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12д</v>
      </c>
      <c r="J3" s="194" t="str">
        <f>IF(COUNTIF('Програма-кодове'!$C2:$AD2,$J$2)=0,"-",IF(COUNTIF('Програма-кодове'!$C2:$AD2,$J$2)=1,INDEX('Програма-кодове'!$C$1:$AD$1,1,MATCH($J$2,'Програма-кодове'!$C2:$AD2,0)),"Дублаж"))</f>
        <v>8д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-</v>
      </c>
      <c r="L3" s="338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-</v>
      </c>
      <c r="M3" s="337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-</v>
      </c>
      <c r="N3" s="194">
        <f>IF(COUNTIF('Програма-кодове'!$C2:$AD2,$N$2)=0,"-",IF(COUNTIF('Програма-кодове'!$C2:$AD2,$N$2)=1,INDEX('Програма-кодове'!$C$1:$AD$1,1,MATCH($N$2,'Програма-кодове'!$C2:$AD2,0)),"Дублаж"))</f>
        <v>7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9а</v>
      </c>
      <c r="P3" s="194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194" t="str">
        <f>IF(COUNTIF('Програма-кодове'!$C2:$AD2,$Q$2)=0,"-",IF(COUNTIF('Програма-кодове'!$C2:$AD2,$Q$2)=1,INDEX('Програма-кодове'!$C$1:$AD$1,1,MATCH($Q$2,'Програма-кодове'!$C2:$AD2,0)),"Дублаж"))</f>
        <v>10д</v>
      </c>
      <c r="R3" s="193" t="str">
        <f t="shared" ref="R3:R37" si="0">IF(BO3&lt;&gt;"-",IF(AND(BQ3="-",BV3="-"),BO3,"Дублаж"),IF(AND(BQ3&lt;&gt;"-",BV3&lt;&gt;"-"),"Дублаж",IF(BQ3&lt;&gt;"-",BQ3,BV3)))</f>
        <v>11г</v>
      </c>
      <c r="S3" s="193" t="str">
        <f>IF(BP3&lt;&gt;"-",IF(AND(BR3="-",BQ3="-"),BP3,"Дублаж"),IF(AND(BR3&lt;&gt;"-",BQ3&lt;&gt;"-"),"Дублаж",IF(BR3&lt;&gt;"-",BR3,BQ3)))</f>
        <v>-</v>
      </c>
      <c r="T3" s="193" t="str">
        <f>IF(BO3&lt;&gt;"-",IF(AND(BP3="-",BU3="-"),BO3,IF(AND(BO3="11в",BP3="11б"),"11б,в",IF(AND(BO3="12б",BP3="12д"),"12б,д",IF(AND(BO3="12в",BP3="12б"),"12б,в")))),IF(BP3&lt;&gt;"-",IF(BU3="-",BP3,"Дублаж"),BU3))</f>
        <v>-</v>
      </c>
      <c r="U3" s="194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-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10а</v>
      </c>
      <c r="W3" s="10">
        <f>IF(COUNTIF('Програма-кодове'!$C2:$AD2,$W$2)=0,"-",IF(COUNTIF('Програма-кодове'!$C2:$AD2,$W$2)=1,INDEX('Програма-кодове'!$C$1:$AD$1,1,MATCH($W$2,'Програма-кодове'!$C2:$AD2,0)),"Дублаж"))</f>
        <v>5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10б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12б</v>
      </c>
      <c r="Z3" s="370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IF(BH3&lt;&gt;"-",IF(AND(BJ3="-",BI3="-"),BH3,"Дублаж"),IF(BJ3&lt;&gt;"-",IF(BI3="-",BJ3,"Дублаж"),BI3))</f>
        <v>-</v>
      </c>
      <c r="AB3" s="370" t="str">
        <f>IF(AND(BA3&lt;&gt;"-",BM3&lt;&gt;"-"),"Дублаж",IF(BA3&lt;&gt;"-",BA3,BM3))</f>
        <v>8в</v>
      </c>
      <c r="AC3" s="193" t="str">
        <f>BD3</f>
        <v>11б</v>
      </c>
      <c r="AD3" s="193" t="str">
        <f>BD3</f>
        <v>11б</v>
      </c>
      <c r="AE3" s="193" t="str">
        <f>IF(BJ3&lt;&gt;"-",IF(AND(BC3="-",BH3="-",BK3="-"),BJ3,"Дублаж"),IF(BC3&lt;&gt;"-",IF(AND(BH3="-",BK3="-"),BC3,"Дублаж"),IF(BH3&lt;&gt;"-",IF(BK3="-",BH3,"Дублаж"),BK3)))</f>
        <v>-</v>
      </c>
      <c r="AF3" s="193" t="str">
        <f>IF(BE3&lt;&gt;"-",IF(AND(BF3="-",BG3="-"),BE3,"Дублаж"),IF(AND(BF3&lt;&gt;"-",BG3&lt;&gt;"-"),"Дублаж",IF(BF3&lt;&gt;"-",BF3,BG3)))</f>
        <v>-</v>
      </c>
      <c r="AG3" s="193" t="str">
        <f>IF(BC3&lt;&gt;"-",IF(AND(BF3="-",BI3="-",BL3="-"),BC3,"Дублаж"),IF(BF3&lt;&gt;"-",IF(AND(BI3="-",BL3="-"),BF3,"Дублаж"),IF(BI3&lt;&gt;"-",IF(BL3="-",BI3,"Дублаж"),BL3)))</f>
        <v>-</v>
      </c>
      <c r="AH3" s="193" t="str">
        <f>IF(AND(BE3&lt;&gt;"-",BN3&lt;&gt;"-"),"Дублаж",IF(BE3&lt;&gt;"-",BE3,BN3))</f>
        <v>-</v>
      </c>
      <c r="AI3" s="338">
        <f>IF(AND(CA3&lt;&gt;"-",BZ3&lt;&gt;"-"),"Дублаж",IF(CA3&lt;&gt;"-",CA3,BZ3))</f>
        <v>6</v>
      </c>
      <c r="AJ3" s="193" t="str">
        <f>IF(CD3&lt;&gt;"-",IF(AND(CE3="-",CF3="-"),CD3,"Дублаж"),IF(AND(CE3&lt;&gt;"-",CF3&lt;&gt;"-"),"Дублаж",IF(CE3&lt;&gt;"-",CE3,CF3)))</f>
        <v>9д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12в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10в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10г</v>
      </c>
      <c r="AN3" s="193" t="str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9в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-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IF(AND(CB3&lt;&gt;"-",CC3&lt;&gt;"-"),"Дублаж",IF(CB3&lt;&gt;"-",CB3,CC3))</f>
        <v>9б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11д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11а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-</v>
      </c>
      <c r="AU3" s="194" t="str">
        <f t="shared" ref="AU3:AU4" si="1">IF(AND(BW3&lt;&gt;"-",BX3&lt;&gt;"-"),"Дублаж",IF(BW3&lt;&gt;"-",BW3,BX3))</f>
        <v>-</v>
      </c>
      <c r="AV3" s="194" t="str">
        <f t="shared" ref="AV3:AV4" si="2">IF(BY3&lt;&gt;"-",IF(AND(BG3="-",BK3="-",BL3="-",BN3="-"),BY3,"Дублаж"),IF(BG3&lt;&gt;"-",IF(AND(BK3="-",BL3="-",BN3="-"),BG3,"Дублаж"),IF(BK3&lt;&gt;"-",IF(AND(BL3="-",BN3="-"),BK3,"Дублаж"),IF(BL3&lt;&gt;"-",IF(BN3="-", BL3, BN3),BN3))))</f>
        <v>8г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-</v>
      </c>
      <c r="AX3" s="243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9г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337" t="str">
        <f>IF(AND(BT3&lt;&gt;"-",BU3&lt;&gt;"-"),"Дублаж",IF(BT3&lt;&gt;"-",BT3,BU3))</f>
        <v>12г</v>
      </c>
      <c r="BA3" s="30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11б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-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-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8в</v>
      </c>
      <c r="BN3" s="30" t="str">
        <f>IF(COUNTIF('Програма-кодове'!$C2:$AD2,$BN$2)=0,"-",IF(COUNTIF('Програма-кодове'!$C2:$AD2,$BN$2)=1,INDEX('Програма-кодове'!$C$1:$AD$1,1,MATCH($BN$2,'Програма-кодове'!$C2:$AD2,0)),"Дублаж"))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K2='Програма-кодове'!M2,'Програма-кодове'!K2&lt;&gt;""),"9а, в", IF(AND('Програма-кодове'!P2='Програма-кодове'!T2,'Програма-кодове'!P2&lt;&gt;""),"10а,д", "Дублаж"))))</f>
        <v>-</v>
      </c>
      <c r="BP3" s="77" t="str">
        <f>IF(COUNTIF('Програма-кодове'!$C2:$AD2,$BP$2)=0,"-",IF(COUNTIF('Програма-кодове'!$C2:$AD2,$BP$2)=1,INDEX('Програма-кодове'!$C$1:$AD$1,1,MATCH($BP$2,'Програма-кодове'!$C2:$AD2,0)),IF(AND('Програма-кодове'!L2='Програма-кодове'!N2,'Програма-кодове'!L2&lt;&gt;"" ),"9б,г",IF(AND('Програма-кодове'!Z2='Програма-кодове'!AB2,'Програма-кодове'!Z2&lt;&gt;"" ),"12а,в","Дублаж"))))</f>
        <v>-</v>
      </c>
      <c r="BQ3" s="30" t="str">
        <f>IF(COUNTIF('Програма-кодове'!$C2:$AD2,$BQ$2)=0,"-",IF(COUNTIF('Програма-кодове'!$C2:$AD2,$BQ$2)=1,"10б,в,г","Дублаж"))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IF(COUNTIF('Програма-кодове'!$C2:$AD2,$BR$2)=0,"-",IF(COUNTIF('Програма-кодове'!$C2:$AD2,$BR$2)=1,INDEX('Програма-кодове'!$C$1:$AD$1,1,MATCH($BR$2,'Програма-кодове'!$C2:$AD2,0)),"Дублаж"))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IF('Програма-кодове'!W2='Програма-кодове'!X2,"11б,в","Дублаж")))</f>
        <v>-</v>
      </c>
      <c r="BT3" s="30" t="str">
        <f>IF(COUNTIF('Програма-кодове'!$C2:$AD2,$BT$2)=0,"-",IF(COUNTIF('Програма-кодове'!$C2:$AD2,$BT$2)=1,INDEX('Програма-кодове'!$C$1:$AD$1,1,MATCH($BT$2,'Програма-кодове'!$C2:$AD2,0)),"Дублаж"))</f>
        <v>12г</v>
      </c>
      <c r="BU3" s="193" t="str">
        <f>IF(AND(BQ3&lt;&gt;"-",BS3&lt;&gt;"-"),"Дублаж",IF(BQ3&lt;&gt;"-",BQ3,BS3))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11г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-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8г</v>
      </c>
      <c r="BZ3" s="30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6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9б</v>
      </c>
      <c r="CD3" s="30" t="str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9д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  <c r="CF3" s="30" t="str">
        <f>IF(COUNTIF('Програма-кодове'!$C2:$AD2,$CF$2)=0,"-",IF(COUNTIF('Програма-кодове'!$C2:$AD2,$CF$2)=1,INDEX('Програма-кодове'!$C$1:$AD$1,1,MATCH($CF$2,'Програма-кодове'!$C2:$AD2,0)),"Дублаж"))</f>
        <v>-</v>
      </c>
    </row>
    <row r="4" spans="1:84" ht="13.6" customHeight="1">
      <c r="A4" s="407"/>
      <c r="B4" s="314">
        <v>2</v>
      </c>
      <c r="C4" s="193" t="str">
        <f t="shared" ref="C4:C37" si="3">BA4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12а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8б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11д</v>
      </c>
      <c r="G4" s="346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8a</v>
      </c>
      <c r="H4" s="346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-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12г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8д</v>
      </c>
      <c r="K4" s="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-</v>
      </c>
      <c r="L4" s="194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-</v>
      </c>
      <c r="M4" s="337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-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8г</v>
      </c>
      <c r="O4" s="194" t="str">
        <f>IF(COUNTIF('Програма-кодове'!$C3:$AD3,$O$2)=0,"-",IF(COUNTIF('Програма-кодове'!$C3:$AD3,$O$2)=1,INDEX('Програма-кодове'!$C$1:$AD$1,1,MATCH($O$2,'Програма-кодове'!$C3:$AD3,0)),"Дублаж"))</f>
        <v>9а</v>
      </c>
      <c r="P4" s="194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194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10д</v>
      </c>
      <c r="R4" s="193" t="str">
        <f t="shared" si="0"/>
        <v>11г</v>
      </c>
      <c r="S4" s="193" t="str">
        <f t="shared" ref="S4:S37" si="4">IF(BP4&lt;&gt;"-",IF(AND(BR4="-",BQ4="-"),BP4,"Дублаж"),IF(AND(BR4&lt;&gt;"-",BQ4&lt;&gt;"-"),"Дублаж",IF(BR4&lt;&gt;"-",BR4,BQ4)))</f>
        <v>-</v>
      </c>
      <c r="T4" s="193" t="str">
        <f t="shared" ref="T4:T35" si="5">IF(BO4&lt;&gt;"-",IF(AND(BP4="-",BU4="-"),BO4,IF(AND(BO4="11в",BP4="11б"),"11б,в",IF(AND(BO4="12б",BP4="12д"),"12б,д",IF(AND(BO4="12в",BP4="12б"),"12б,в")))),IF(BP4&lt;&gt;"-",IF(BU4="-",BP4,"Дублаж"),BU4))</f>
        <v>-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-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10а</v>
      </c>
      <c r="W4" s="10">
        <f>IF(COUNTIF('Програма-кодове'!$C3:$AD3,$W$2)=0,"-",IF(COUNTIF('Програма-кодове'!$C3:$AD3,$W$2)=1,INDEX('Програма-кодове'!$C$1:$AD$1,1,MATCH($W$2,'Програма-кодове'!$C3:$AD3,0)),"Дублаж"))</f>
        <v>5</v>
      </c>
      <c r="X4" s="10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10б</v>
      </c>
      <c r="Y4" s="10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12в</v>
      </c>
      <c r="Z4" s="10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6">IF(BH4&lt;&gt;"-",IF(AND(BJ4="-",BI4="-"),BH4,"Дублаж"),IF(BJ4&lt;&gt;"-",IF(BI4="-",BJ4,"Дублаж"),BI4))</f>
        <v>10г</v>
      </c>
      <c r="AB4" s="193" t="str">
        <f t="shared" ref="AB4:AB37" si="7">IF(AND(BA4&lt;&gt;"-",BM4&lt;&gt;"-"),"Дублаж",IF(BA4&lt;&gt;"-",BA4,BM4))</f>
        <v>-</v>
      </c>
      <c r="AC4" s="193" t="str">
        <f t="shared" ref="AC4:AC37" si="8">BD4</f>
        <v>11в</v>
      </c>
      <c r="AD4" s="193" t="str">
        <f t="shared" ref="AD4:AD37" si="9">BD4</f>
        <v>11в</v>
      </c>
      <c r="AE4" s="193" t="str">
        <f t="shared" ref="AE4:AE37" si="10">IF(BJ4&lt;&gt;"-",IF(AND(BC4="-",BH4="-",BK4="-"),BJ4,"Дублаж"),IF(BC4&lt;&gt;"-",IF(AND(BH4="-",BK4="-"),BC4,"Дублаж"),IF(BH4&lt;&gt;"-",IF(BK4="-",BH4,"Дублаж"),BK4)))</f>
        <v>10г</v>
      </c>
      <c r="AF4" s="193" t="str">
        <f t="shared" ref="AF4:AF37" si="11">IF(BE4&lt;&gt;"-",IF(AND(BF4="-",BG4="-"),BE4,"Дублаж"),IF(AND(BF4&lt;&gt;"-",BG4&lt;&gt;"-"),"Дублаж",IF(BF4&lt;&gt;"-",BF4,BG4)))</f>
        <v>-</v>
      </c>
      <c r="AG4" s="193" t="str">
        <f t="shared" ref="AG4:AG29" si="12">IF(BC4&lt;&gt;"-",IF(AND(BF4="-",BI4="-",BL4="-"),BC4,"Дублаж"),IF(BF4&lt;&gt;"-",IF(AND(BI4="-",BL4="-"),BF4,"Дублаж"),IF(BI4&lt;&gt;"-",IF(BL4="-",BI4,"Дублаж"),BL4)))</f>
        <v>-</v>
      </c>
      <c r="AH4" s="193" t="str">
        <f t="shared" ref="AH4:AH37" si="13">IF(AND(BE4&lt;&gt;"-",BN4&lt;&gt;"-"),"Дублаж",IF(BE4&lt;&gt;"-",BE4,BN4))</f>
        <v>-</v>
      </c>
      <c r="AI4" s="338" t="str">
        <f t="shared" ref="AI4:AI37" si="14">IF(AND(CA4&lt;&gt;"-",BZ4&lt;&gt;"-"),"Дублаж",IF(CA4&lt;&gt;"-",CA4,BZ4))</f>
        <v>11а</v>
      </c>
      <c r="AJ4" s="338" t="str">
        <f t="shared" ref="AJ4:AJ36" si="15">IF(CD4&lt;&gt;"-",IF(AND(CE4="-",CF4="-"),CD4,"Дублаж"),IF(AND(CE4&lt;&gt;"-",CF4&lt;&gt;"-"),"Дублаж",IF(CE4&lt;&gt;"-",CE4,CF4)))</f>
        <v>-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9д</v>
      </c>
      <c r="AL4" s="194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6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12б</v>
      </c>
      <c r="AN4" s="94" t="str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9г</v>
      </c>
      <c r="AO4" s="94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9б</v>
      </c>
      <c r="AP4" s="94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94" t="str">
        <f t="shared" ref="AQ4:AQ37" si="16">IF(AND(CB4&lt;&gt;"-",CC4&lt;&gt;"-"),"Дублаж",IF(CB4&lt;&gt;"-",CB4,CC4))</f>
        <v>-</v>
      </c>
      <c r="AR4" s="94" t="str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9в</v>
      </c>
      <c r="AS4" s="94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7</v>
      </c>
      <c r="AT4" s="94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10в</v>
      </c>
      <c r="AU4" s="194" t="str">
        <f t="shared" si="1"/>
        <v>-</v>
      </c>
      <c r="AV4" s="194" t="str">
        <f t="shared" si="2"/>
        <v>8в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-</v>
      </c>
      <c r="AX4" s="243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11б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337" t="str">
        <f t="shared" ref="AZ4:AZ37" si="17">IF(AND(BT4&lt;&gt;"-",BU4&lt;&gt;"-"),"Дублаж",IF(BT4&lt;&gt;"-",BT4,BU4))</f>
        <v>12д</v>
      </c>
      <c r="BA4" s="30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11в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-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10г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30" t="str">
        <f>IF(COUNTIF('Програма-кодове'!$C3:$AD3,$BN$2)=0,"-",IF(COUNTIF('Програма-кодове'!$C3:$AD3,$BN$2)=1,INDEX('Програма-кодове'!$C$1:$AD$1,1,MATCH($BN$2,'Програма-кодове'!$C3:$AD3,0)),"Дублаж"))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K3='Програма-кодове'!M3,'Програма-кодове'!K3&lt;&gt;""),"9а, в", IF(AND('Програма-кодове'!P3='Програма-кодове'!T3,'Програма-кодове'!P3&lt;&gt;""),"10а,д", "Дублаж"))))</f>
        <v>-</v>
      </c>
      <c r="BP4" s="77" t="str">
        <f>IF(COUNTIF('Програма-кодове'!$C3:$AD3,$BP$2)=0,"-",IF(COUNTIF('Програма-кодове'!$C3:$AD3,$BP$2)=1,INDEX('Програма-кодове'!$C$1:$AD$1,1,MATCH($BP$2,'Програма-кодове'!$C3:$AD3,0)),IF(AND('Програма-кодове'!L3='Програма-кодове'!N3,'Програма-кодове'!L3&lt;&gt;"" ),"9б,г",IF(AND('Програма-кодове'!Z3='Програма-кодове'!AB3,'Програма-кодове'!Z3&lt;&gt;"" ),"12а,в","Дублаж"))))</f>
        <v>-</v>
      </c>
      <c r="BQ4" s="30" t="str">
        <f>IF(COUNTIF('Програма-кодове'!$C3:$AD3,$BQ$2)=0,"-",IF(COUNTIF('Програма-кодове'!$C3:$AD3,$BQ$2)=1,"10б,в,г","Дублаж"))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IF(COUNTIF('Програма-кодове'!$C3:$AD3,$BR$2)=0,"-",IF(COUNTIF('Програма-кодове'!$C3:$AD3,$BR$2)=1,INDEX('Програма-кодове'!$C$1:$AD$1,1,MATCH($BR$2,'Програма-кодове'!$C3:$AD3,0)),"Дублаж"))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IF('Програма-кодове'!W3='Програма-кодове'!X3,"11б,в","Дублаж")))</f>
        <v>-</v>
      </c>
      <c r="BT4" s="30" t="str">
        <f>IF(COUNTIF('Програма-кодове'!$C3:$AD3,$BT$2)=0,"-",IF(COUNTIF('Програма-кодове'!$C3:$AD3,$BT$2)=1,INDEX('Програма-кодове'!$C$1:$AD$1,1,MATCH($BT$2,'Програма-кодове'!$C3:$AD3,0)),"Дублаж"))</f>
        <v>12д</v>
      </c>
      <c r="BU4" s="193" t="str">
        <f t="shared" ref="BU4:BU37" si="18">IF(AND(BQ4&lt;&gt;"-",BS4&lt;&gt;"-"),"Дублаж",IF(BQ4&lt;&gt;"-",BQ4,BS4))</f>
        <v>-</v>
      </c>
      <c r="BV4" s="30" t="str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11г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-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8в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11а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-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-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  <c r="CF4" s="30" t="str">
        <f>IF(COUNTIF('Програма-кодове'!$C3:$AD3,$CF$2)=0,"-",IF(COUNTIF('Програма-кодове'!$C3:$AD3,$CF$2)=1,INDEX('Програма-кодове'!$C$1:$AD$1,1,MATCH($CF$2,'Програма-кодове'!$C3:$AD3,0)),"Дублаж"))</f>
        <v>-</v>
      </c>
    </row>
    <row r="5" spans="1:84" ht="13.6" customHeight="1">
      <c r="A5" s="407"/>
      <c r="B5" s="314">
        <v>3</v>
      </c>
      <c r="C5" s="193" t="str">
        <f t="shared" si="3"/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12б</v>
      </c>
      <c r="E5" s="194" t="str">
        <f>IF(COUNTIF('Програма-кодове'!$C4:$AD4,$E$2)=0,"-",IF(COUNTIF('Програма-кодове'!$C4:$AD4,$E$2)=1,INDEX('Програма-кодове'!$C$1:$AD$1,1,MATCH($E$2,'Програма-кодове'!$C4:$AD4,0)),"Дублаж"))</f>
        <v>8в</v>
      </c>
      <c r="F5" s="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-</v>
      </c>
      <c r="G5" s="346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9д</v>
      </c>
      <c r="H5" s="346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-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12а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8д</v>
      </c>
      <c r="K5" s="363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-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11а</v>
      </c>
      <c r="M5" s="337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-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8г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9г</v>
      </c>
      <c r="P5" s="363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8a</v>
      </c>
      <c r="Q5" s="194">
        <f>IF(COUNTIF('Програма-кодове'!$C4:$AD4,$Q$2)=0,"-",IF(COUNTIF('Програма-кодове'!$C4:$AD4,$Q$2)=1,INDEX('Програма-кодове'!$C$1:$AD$1,1,MATCH($Q$2,'Програма-кодове'!$C4:$AD4,0)),"Дублаж"))</f>
        <v>6</v>
      </c>
      <c r="R5" s="193" t="str">
        <f t="shared" si="0"/>
        <v>-</v>
      </c>
      <c r="S5" s="193">
        <f t="shared" si="4"/>
        <v>5</v>
      </c>
      <c r="T5" s="193" t="str">
        <f t="shared" si="5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12г</v>
      </c>
      <c r="V5" s="194" t="str">
        <f>IF(COUNTIF('Програма-кодове'!$C4:$AD4,$V$2)=0,"-",IF(COUNTIF('Програма-кодове'!$C4:$AD4,$V$2)=1,INDEX('Програма-кодове'!$C$1:$AD$1,1,MATCH($V$2,'Програма-кодове'!$C4:$AD4,0)),"Дублаж"))</f>
        <v>-</v>
      </c>
      <c r="W5" s="10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-</v>
      </c>
      <c r="X5" s="10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10в</v>
      </c>
      <c r="Y5" s="10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9б</v>
      </c>
      <c r="Z5" s="10" t="str">
        <f>IF(COUNTIF('Програма-кодове'!$C4:$AD4,$Z$2)=0,"-",IF(COUNTIF('Програма-кодове'!$C4:$AD4,$Z$2)=1,INDEX('Програма-кодове'!$C$1:$AD$1,1,MATCH($Z$2,'Програма-кодове'!$C4:$AD4,0)),"Дублаж"))</f>
        <v>11б</v>
      </c>
      <c r="AA5" s="193" t="str">
        <f t="shared" si="6"/>
        <v>10а</v>
      </c>
      <c r="AB5" s="193" t="str">
        <f t="shared" si="7"/>
        <v>-</v>
      </c>
      <c r="AC5" s="193" t="str">
        <f t="shared" si="8"/>
        <v>-</v>
      </c>
      <c r="AD5" s="193" t="str">
        <f t="shared" si="9"/>
        <v>-</v>
      </c>
      <c r="AE5" s="193" t="str">
        <f t="shared" si="10"/>
        <v>10а</v>
      </c>
      <c r="AF5" s="193" t="str">
        <f t="shared" si="11"/>
        <v>-</v>
      </c>
      <c r="AG5" s="193" t="str">
        <f t="shared" si="12"/>
        <v>-</v>
      </c>
      <c r="AH5" s="193" t="str">
        <f t="shared" si="13"/>
        <v>-</v>
      </c>
      <c r="AI5" s="338" t="str">
        <f t="shared" si="14"/>
        <v>11д</v>
      </c>
      <c r="AJ5" s="193" t="str">
        <f t="shared" si="15"/>
        <v>9а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9в</v>
      </c>
      <c r="AL5" s="338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-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10б</v>
      </c>
      <c r="AN5" s="94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-</v>
      </c>
      <c r="AO5" s="94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11в</v>
      </c>
      <c r="AP5" s="94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94" t="str">
        <f t="shared" ref="AQ5:AQ8" si="19">IF(AND(CB5&lt;&gt;"-",CC5&lt;&gt;"-"),"Дублаж",IF(CB5&lt;&gt;"-",CB5,CC5))</f>
        <v>12д</v>
      </c>
      <c r="AR5" s="94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10д</v>
      </c>
      <c r="AS5" s="94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11г</v>
      </c>
      <c r="AT5" s="94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10г</v>
      </c>
      <c r="AU5" s="194" t="str">
        <f t="shared" ref="AU5" si="20">IF(AND(BW5&lt;&gt;"-",BX5&lt;&gt;"-"),"Дублаж",IF(BW5&lt;&gt;"-",BW5,BX5))</f>
        <v>-</v>
      </c>
      <c r="AV5" s="194" t="str">
        <f t="shared" ref="AV5" si="21">IF(BY5&lt;&gt;"-",IF(AND(BG5="-",BK5="-",BL5="-",BN5="-"),BY5,"Дублаж"),IF(BG5&lt;&gt;"-",IF(AND(BK5="-",BL5="-",BN5="-"),BG5,"Дублаж"),IF(BK5&lt;&gt;"-",IF(AND(BL5="-",BN5="-"),BK5,"Дублаж"),IF(BL5&lt;&gt;"-",IF(BN5="-", BL5, BN5),BN5))))</f>
        <v>-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3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7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8б</v>
      </c>
      <c r="AZ5" s="337" t="str">
        <f t="shared" si="17"/>
        <v>12в</v>
      </c>
      <c r="BA5" s="30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-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-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10а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30" t="str">
        <f>IF(COUNTIF('Програма-кодове'!$C4:$AD4,$BN$2)=0,"-",IF(COUNTIF('Програма-кодове'!$C4:$AD4,$BN$2)=1,INDEX('Програма-кодове'!$C$1:$AD$1,1,MATCH($BN$2,'Програма-кодове'!$C4:$AD4,0)),"Дублаж"))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K4='Програма-кодове'!M4,'Програма-кодове'!K4&lt;&gt;""),"9а, в", IF(AND('Програма-кодове'!P4='Програма-кодове'!T4,'Програма-кодове'!P4&lt;&gt;""),"10а,д", "Дублаж"))))</f>
        <v>-</v>
      </c>
      <c r="BP5" s="77" t="str">
        <f>IF(COUNTIF('Програма-кодове'!$C4:$AD4,$BP$2)=0,"-",IF(COUNTIF('Програма-кодове'!$C4:$AD4,$BP$2)=1,INDEX('Програма-кодове'!$C$1:$AD$1,1,MATCH($BP$2,'Програма-кодове'!$C4:$AD4,0)),IF(AND('Програма-кодове'!L4='Програма-кодове'!N4,'Програма-кодове'!L4&lt;&gt;"" ),"9б,г",IF(AND('Програма-кодове'!Z4='Програма-кодове'!AB4,'Програма-кодове'!Z4&lt;&gt;"" ),"12а,в","Дублаж"))))</f>
        <v>-</v>
      </c>
      <c r="BQ5" s="30" t="str">
        <f>IF(COUNTIF('Програма-кодове'!$C4:$AD4,$BQ$2)=0,"-",IF(COUNTIF('Програма-кодове'!$C4:$AD4,$BQ$2)=1,"10б,в,г","Дублаж"))</f>
        <v>-</v>
      </c>
      <c r="BR5" s="30">
        <f>IF(COUNTIF('Програма-кодове'!$C4:$AD4,$BR$2)=0,"-",IF(COUNTIF('Програма-кодове'!$C4:$AD4,$BR$2)=1,INDEX('Програма-кодове'!$C$1:$AD$1,1,MATCH($BR$2,'Програма-кодове'!$C4:$AD4,0)),"Дублаж"))</f>
        <v>5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IF('Програма-кодове'!W4='Програма-кодове'!X4,"11б,в","Дублаж")))</f>
        <v>-</v>
      </c>
      <c r="BT5" s="30" t="str">
        <f>IF(COUNTIF('Програма-кодове'!$C4:$AD4,$BT$2)=0,"-",IF(COUNTIF('Програма-кодове'!$C4:$AD4,$BT$2)=1,INDEX('Програма-кодове'!$C$1:$AD$1,1,MATCH($BT$2,'Програма-кодове'!$C4:$AD4,0)),"Дублаж"))</f>
        <v>12в</v>
      </c>
      <c r="BU5" s="193" t="str">
        <f t="shared" si="18"/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 t="str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-</v>
      </c>
      <c r="BY5" s="30" t="str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-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11д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-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-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12д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9а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  <c r="CF5" s="30" t="str">
        <f>IF(COUNTIF('Програма-кодове'!$C4:$AD4,$CF$2)=0,"-",IF(COUNTIF('Програма-кодове'!$C4:$AD4,$CF$2)=1,INDEX('Програма-кодове'!$C$1:$AD$1,1,MATCH($CF$2,'Програма-кодове'!$C4:$AD4,0)),"Дублаж"))</f>
        <v>-</v>
      </c>
    </row>
    <row r="6" spans="1:84" ht="13.6" customHeight="1">
      <c r="A6" s="407"/>
      <c r="B6" s="314">
        <v>4</v>
      </c>
      <c r="C6" s="193" t="str">
        <f t="shared" si="3"/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12б</v>
      </c>
      <c r="E6" s="194" t="str">
        <f>IF(COUNTIF('Програма-кодове'!$C5:$AD5,$E$2)=0,"-",IF(COUNTIF('Програма-кодове'!$C5:$AD5,$E$2)=1,INDEX('Програма-кодове'!$C$1:$AD$1,1,MATCH($E$2,'Програма-кодове'!$C5:$AD5,0)),"Дублаж"))</f>
        <v>8в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9б</v>
      </c>
      <c r="G6" s="346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-</v>
      </c>
      <c r="H6" s="346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-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12в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8д</v>
      </c>
      <c r="K6" s="363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-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11а</v>
      </c>
      <c r="M6" s="194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8б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8г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9г</v>
      </c>
      <c r="P6" s="363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338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-</v>
      </c>
      <c r="R6" s="193" t="str">
        <f t="shared" si="0"/>
        <v>-</v>
      </c>
      <c r="S6" s="193" t="str">
        <f t="shared" si="4"/>
        <v>-</v>
      </c>
      <c r="T6" s="193" t="str">
        <f t="shared" si="5"/>
        <v>-</v>
      </c>
      <c r="U6" s="10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12г</v>
      </c>
      <c r="V6" s="10">
        <f>IF(COUNTIF('Програма-кодове'!$C5:$AD5,$V$2)=0,"-",IF(COUNTIF('Програма-кодове'!$C5:$AD5,$V$2)=1,INDEX('Програма-кодове'!$C$1:$AD$1,1,MATCH($V$2,'Програма-кодове'!$C5:$AD5,0)),"Дублаж"))</f>
        <v>6</v>
      </c>
      <c r="W6" s="10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11г</v>
      </c>
      <c r="X6" s="10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10в</v>
      </c>
      <c r="Y6" s="10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-</v>
      </c>
      <c r="Z6" s="10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11б</v>
      </c>
      <c r="AA6" s="193" t="str">
        <f t="shared" si="6"/>
        <v>-</v>
      </c>
      <c r="AB6" s="193" t="str">
        <f t="shared" si="7"/>
        <v>-</v>
      </c>
      <c r="AC6" s="193" t="str">
        <f t="shared" si="8"/>
        <v>-</v>
      </c>
      <c r="AD6" s="193" t="str">
        <f t="shared" si="9"/>
        <v>-</v>
      </c>
      <c r="AE6" s="193" t="str">
        <f t="shared" si="10"/>
        <v>-</v>
      </c>
      <c r="AF6" s="193" t="str">
        <f t="shared" si="11"/>
        <v>12а</v>
      </c>
      <c r="AG6" s="193" t="str">
        <f t="shared" si="12"/>
        <v>-</v>
      </c>
      <c r="AH6" s="193" t="str">
        <f t="shared" si="13"/>
        <v>12а</v>
      </c>
      <c r="AI6" s="338" t="str">
        <f>IF(AND(CA6&lt;&gt;"-",BZ6&lt;&gt;"-"),"Дублаж",IF(CA6&lt;&gt;"-",CA6,BZ6))</f>
        <v>11в</v>
      </c>
      <c r="AJ6" s="193" t="str">
        <f t="shared" si="15"/>
        <v>9в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12д</v>
      </c>
      <c r="AL6" s="1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10г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10а</v>
      </c>
      <c r="AN6" s="193" t="str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11д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-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si="19"/>
        <v>9а</v>
      </c>
      <c r="AR6" s="193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7</v>
      </c>
      <c r="AS6" s="193" t="str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-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10б</v>
      </c>
      <c r="AU6" s="194">
        <f t="shared" ref="AU6:AU16" si="22">IF(AND(BW6&lt;&gt;"-",BX6&lt;&gt;"-"),"Дублаж",IF(BW6&lt;&gt;"-",BW6,BX6))</f>
        <v>5</v>
      </c>
      <c r="AV6" s="194" t="str">
        <f t="shared" ref="AV6:AV36" si="23">IF(BY6&lt;&gt;"-",IF(AND(BG6="-",BK6="-",BL6="-",BN6="-"),BY6,"Дублаж"),IF(BG6&lt;&gt;"-",IF(AND(BK6="-",BL6="-",BN6="-"),BG6,"Дублаж"),IF(BK6&lt;&gt;"-",IF(AND(BL6="-",BN6="-"),BK6,"Дублаж"),IF(BL6&lt;&gt;"-",IF(BN6="-", BL6, BN6),BN6))))</f>
        <v>-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10д</v>
      </c>
      <c r="AX6" s="243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9д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193" t="str">
        <f t="shared" si="17"/>
        <v>-</v>
      </c>
      <c r="BA6" s="30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-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12а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-</v>
      </c>
      <c r="BI6" s="94" t="str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-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 t="str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-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30" t="str">
        <f>IF(COUNTIF('Програма-кодове'!$C5:$AD5,$BN$2)=0,"-",IF(COUNTIF('Програма-кодове'!$C5:$AD5,$BN$2)=1,INDEX('Програма-кодове'!$C$1:$AD$1,1,MATCH($BN$2,'Програма-кодове'!$C5:$AD5,0)),"Дублаж"))</f>
        <v>-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K5='Програма-кодове'!M5,'Програма-кодове'!K5&lt;&gt;""),"9а, в", IF(AND('Програма-кодове'!P5='Програма-кодове'!T5,'Програма-кодове'!P5&lt;&gt;""),"10а,д", "Дублаж"))))</f>
        <v>-</v>
      </c>
      <c r="BP6" s="77" t="str">
        <f>IF(COUNTIF('Програма-кодове'!$C5:$AD5,$BP$2)=0,"-",IF(COUNTIF('Програма-кодове'!$C5:$AD5,$BP$2)=1,INDEX('Програма-кодове'!$C$1:$AD$1,1,MATCH($BP$2,'Програма-кодове'!$C5:$AD5,0)),IF(AND('Програма-кодове'!L5='Програма-кодове'!N5,'Програма-кодове'!L5&lt;&gt;"" ),"9б,г",IF(AND('Програма-кодове'!Z5='Програма-кодове'!AB5,'Програма-кодове'!Z5&lt;&gt;"" ),"12а,в","Дублаж"))))</f>
        <v>-</v>
      </c>
      <c r="BQ6" s="30" t="str">
        <f>IF(COUNTIF('Програма-кодове'!$C5:$AD5,$BQ$2)=0,"-",IF(COUNTIF('Програма-кодове'!$C5:$AD5,$BQ$2)=1,"10б,в,г","Дублаж"))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IF(COUNTIF('Програма-кодове'!$C5:$AD5,$BR$2)=0,"-",IF(COUNTIF('Програма-кодове'!$C5:$AD5,$BR$2)=1,INDEX('Програма-кодове'!$C$1:$AD$1,1,MATCH($BR$2,'Програма-кодове'!$C5:$AD5,0)),"Дублаж"))</f>
        <v>-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IF('Програма-кодове'!W5='Програма-кодове'!X5,"11б,в","Дублаж")))</f>
        <v>-</v>
      </c>
      <c r="BT6" s="30" t="str">
        <f>IF(COUNTIF('Програма-кодове'!$C5:$AD5,$BT$2)=0,"-",IF(COUNTIF('Програма-кодове'!$C5:$AD5,$BT$2)=1,INDEX('Програма-кодове'!$C$1:$AD$1,1,MATCH($BT$2,'Програма-кодове'!$C5:$AD5,0)),"Дублаж"))</f>
        <v>-</v>
      </c>
      <c r="BU6" s="193" t="str">
        <f t="shared" si="18"/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-</v>
      </c>
      <c r="BW6" s="30" t="str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-</v>
      </c>
      <c r="BX6" s="30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5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-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11в</v>
      </c>
      <c r="CA6" s="30" t="str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-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-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9а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9в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-</v>
      </c>
      <c r="CF6" s="30" t="str">
        <f>IF(COUNTIF('Програма-кодове'!$C5:$AD5,$CF$2)=0,"-",IF(COUNTIF('Програма-кодове'!$C5:$AD5,$CF$2)=1,INDEX('Програма-кодове'!$C$1:$AD$1,1,MATCH($CF$2,'Програма-кодове'!$C5:$AD5,0)),"Дублаж"))</f>
        <v>-</v>
      </c>
    </row>
    <row r="7" spans="1:84" ht="13.6" customHeight="1">
      <c r="A7" s="407"/>
      <c r="B7" s="314">
        <v>5</v>
      </c>
      <c r="C7" s="193" t="str">
        <f t="shared" si="3"/>
        <v>-</v>
      </c>
      <c r="D7" s="194">
        <f>IF(COUNTIF('Програма-кодове'!$C6:$AD6,$D$2)=0,"-",IF(COUNTIF('Програма-кодове'!$C6:$AD6,$D$2)=1,INDEX('Програма-кодове'!$C$1:$AD$1,1,MATCH($D$2,'Програма-кодове'!$C6:$AD6,0)),"Дублаж"))</f>
        <v>6</v>
      </c>
      <c r="E7" s="194">
        <f>IF(COUNTIF('Програма-кодове'!$C6:$AD6,$E$2)=0,"-",IF(COUNTIF('Програма-кодове'!$C6:$AD6,$E$2)=1,INDEX('Програма-кодове'!$C$1:$AD$1,1,MATCH($E$2,'Програма-кодове'!$C6:$AD6,0)),"Дублаж"))</f>
        <v>7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9б</v>
      </c>
      <c r="G7" s="346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9г</v>
      </c>
      <c r="H7" s="346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-</v>
      </c>
      <c r="I7" s="1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12б</v>
      </c>
      <c r="J7" s="337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-</v>
      </c>
      <c r="K7" s="194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8в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-</v>
      </c>
      <c r="M7" s="194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8б</v>
      </c>
      <c r="N7" s="194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8г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-</v>
      </c>
      <c r="Q7" s="338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-</v>
      </c>
      <c r="S7" s="193" t="str">
        <f t="shared" si="4"/>
        <v>12г</v>
      </c>
      <c r="T7" s="193" t="str">
        <f t="shared" si="5"/>
        <v>-</v>
      </c>
      <c r="U7" s="10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9д</v>
      </c>
      <c r="V7" s="10" t="str">
        <f>IF(COUNTIF('Програма-кодове'!$C6:$AD6,$V$2)=0,"-",IF(COUNTIF('Програма-кодове'!$C6:$AD6,$V$2)=1,INDEX('Програма-кодове'!$C$1:$AD$1,1,MATCH($V$2,'Програма-кодове'!$C6:$AD6,0)),"Дублаж"))</f>
        <v>10г</v>
      </c>
      <c r="W7" s="10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11г</v>
      </c>
      <c r="X7" s="10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8д</v>
      </c>
      <c r="Y7" s="10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-</v>
      </c>
      <c r="Z7" s="10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11в</v>
      </c>
      <c r="AA7" s="193" t="str">
        <f t="shared" si="6"/>
        <v>-</v>
      </c>
      <c r="AB7" s="193" t="str">
        <f t="shared" si="7"/>
        <v>-</v>
      </c>
      <c r="AC7" s="193" t="str">
        <f t="shared" si="8"/>
        <v>-</v>
      </c>
      <c r="AD7" s="193" t="str">
        <f t="shared" si="9"/>
        <v>-</v>
      </c>
      <c r="AE7" s="193" t="str">
        <f t="shared" si="10"/>
        <v>10в</v>
      </c>
      <c r="AF7" s="193" t="str">
        <f t="shared" si="11"/>
        <v>12в</v>
      </c>
      <c r="AG7" s="193" t="str">
        <f t="shared" si="12"/>
        <v>10в</v>
      </c>
      <c r="AH7" s="193" t="str">
        <f t="shared" si="13"/>
        <v>12в</v>
      </c>
      <c r="AI7" s="338" t="str">
        <f t="shared" si="14"/>
        <v>11б</v>
      </c>
      <c r="AJ7" s="193">
        <f t="shared" si="15"/>
        <v>5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12а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10б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-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11а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9а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si="19"/>
        <v>-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-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11д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10а</v>
      </c>
      <c r="AU7" s="194" t="str">
        <f t="shared" si="22"/>
        <v>9в</v>
      </c>
      <c r="AV7" s="194" t="str">
        <f t="shared" si="23"/>
        <v>-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12д</v>
      </c>
      <c r="AX7" s="243" t="str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-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8a</v>
      </c>
      <c r="AZ7" s="337" t="str">
        <f t="shared" si="17"/>
        <v>10д</v>
      </c>
      <c r="BA7" s="30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10в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-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12в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-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-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30" t="str">
        <f>IF(COUNTIF('Програма-кодове'!$C6:$AD6,$BN$2)=0,"-",IF(COUNTIF('Програма-кодове'!$C6:$AD6,$BN$2)=1,INDEX('Програма-кодове'!$C$1:$AD$1,1,MATCH($BN$2,'Програма-кодове'!$C6:$AD6,0)),"Дублаж"))</f>
        <v>-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K6='Програма-кодове'!M6,'Програма-кодове'!K6&lt;&gt;""),"9а, в", IF(AND('Програма-кодове'!P6='Програма-кодове'!T6,'Програма-кодове'!P6&lt;&gt;""),"10а,д", "Дублаж"))))</f>
        <v>-</v>
      </c>
      <c r="BP7" s="77" t="str">
        <f>IF(COUNTIF('Програма-кодове'!$C6:$AD6,$BP$2)=0,"-",IF(COUNTIF('Програма-кодове'!$C6:$AD6,$BP$2)=1,INDEX('Програма-кодове'!$C$1:$AD$1,1,MATCH($BP$2,'Програма-кодове'!$C6:$AD6,0)),IF(AND('Програма-кодове'!L6='Програма-кодове'!N6,'Програма-кодове'!L6&lt;&gt;"" ),"9б,г",IF(AND('Програма-кодове'!Z6='Програма-кодове'!AB6,'Програма-кодове'!Z6&lt;&gt;"" ),"12а,в","Дублаж"))))</f>
        <v>-</v>
      </c>
      <c r="BQ7" s="30" t="str">
        <f>IF(COUNTIF('Програма-кодове'!$C6:$AD6,$BQ$2)=0,"-",IF(COUNTIF('Програма-кодове'!$C6:$AD6,$BQ$2)=1,"10б,в,г","Дублаж"))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IF(COUNTIF('Програма-кодове'!$C6:$AD6,$BR$2)=0,"-",IF(COUNTIF('Програма-кодове'!$C6:$AD6,$BR$2)=1,INDEX('Програма-кодове'!$C$1:$AD$1,1,MATCH($BR$2,'Програма-кодове'!$C6:$AD6,0)),"Дублаж"))</f>
        <v>12г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IF('Програма-кодове'!W6='Програма-кодове'!X6,"11б,в","Дублаж")))</f>
        <v>-</v>
      </c>
      <c r="BT7" s="30" t="str">
        <f>IF(COUNTIF('Програма-кодове'!$C6:$AD6,$BT$2)=0,"-",IF(COUNTIF('Програма-кодове'!$C6:$AD6,$BT$2)=1,INDEX('Програма-кодове'!$C$1:$AD$1,1,MATCH($BT$2,'Програма-кодове'!$C6:$AD6,0)),"Дублаж"))</f>
        <v>10д</v>
      </c>
      <c r="BU7" s="193" t="str">
        <f t="shared" si="18"/>
        <v>-</v>
      </c>
      <c r="BV7" s="30" t="str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-</v>
      </c>
      <c r="BW7" s="30" t="str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-</v>
      </c>
      <c r="BX7" s="30" t="str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9в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-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11б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-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-</v>
      </c>
      <c r="CD7" s="30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5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  <c r="CF7" s="30" t="str">
        <f>IF(COUNTIF('Програма-кодове'!$C6:$AD6,$CF$2)=0,"-",IF(COUNTIF('Програма-кодове'!$C6:$AD6,$CF$2)=1,INDEX('Програма-кодове'!$C$1:$AD$1,1,MATCH($CF$2,'Програма-кодове'!$C6:$AD6,0)),"Дублаж"))</f>
        <v>-</v>
      </c>
    </row>
    <row r="8" spans="1:84" ht="13.6" customHeight="1">
      <c r="A8" s="407"/>
      <c r="B8" s="314">
        <v>6</v>
      </c>
      <c r="C8" s="193" t="str">
        <f t="shared" si="3"/>
        <v>-</v>
      </c>
      <c r="D8" s="194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12в</v>
      </c>
      <c r="E8" s="194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8г</v>
      </c>
      <c r="F8" s="346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-</v>
      </c>
      <c r="G8" s="346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9в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10в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-</v>
      </c>
      <c r="J8" s="337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194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8в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11д</v>
      </c>
      <c r="M8" s="194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8б</v>
      </c>
      <c r="N8" s="343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363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-</v>
      </c>
      <c r="P8" s="363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338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-</v>
      </c>
      <c r="S8" s="193" t="str">
        <f t="shared" si="4"/>
        <v>9д</v>
      </c>
      <c r="T8" s="343" t="str">
        <f t="shared" si="5"/>
        <v>9д</v>
      </c>
      <c r="U8" s="10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9а</v>
      </c>
      <c r="V8" s="10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10г</v>
      </c>
      <c r="W8" s="10" t="str">
        <f>IF(COUNTIF('Програма-кодове'!$C7:$AD7,$W$2)=0,"-",IF(COUNTIF('Програма-кодове'!$C7:$AD7,$W$2)=1,INDEX('Програма-кодове'!$C$1:$AD$1,1,MATCH($W$2,'Програма-кодове'!$C7:$AD7,0)),"Дублаж"))</f>
        <v>11а</v>
      </c>
      <c r="X8" s="10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-</v>
      </c>
      <c r="Y8" s="10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0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11в</v>
      </c>
      <c r="AA8" s="193" t="str">
        <f t="shared" si="6"/>
        <v>-</v>
      </c>
      <c r="AB8" s="193" t="str">
        <f t="shared" si="7"/>
        <v>-</v>
      </c>
      <c r="AC8" s="193" t="str">
        <f t="shared" si="8"/>
        <v>-</v>
      </c>
      <c r="AD8" s="193" t="str">
        <f t="shared" si="9"/>
        <v>-</v>
      </c>
      <c r="AE8" s="193" t="str">
        <f t="shared" si="10"/>
        <v>10б</v>
      </c>
      <c r="AF8" s="193" t="str">
        <f t="shared" si="11"/>
        <v>12б</v>
      </c>
      <c r="AG8" s="193" t="str">
        <f t="shared" si="12"/>
        <v>10б</v>
      </c>
      <c r="AH8" s="193" t="str">
        <f t="shared" si="13"/>
        <v>12б</v>
      </c>
      <c r="AI8" s="338" t="str">
        <f t="shared" si="14"/>
        <v>11г</v>
      </c>
      <c r="AJ8" s="193" t="str">
        <f t="shared" si="15"/>
        <v>9г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12г</v>
      </c>
      <c r="AL8" s="194" t="str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10д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12а</v>
      </c>
      <c r="AN8" s="193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5</v>
      </c>
      <c r="AO8" s="193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7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19"/>
        <v>-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-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11б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12д</v>
      </c>
      <c r="AU8" s="194">
        <f t="shared" si="22"/>
        <v>6</v>
      </c>
      <c r="AV8" s="194" t="str">
        <f t="shared" si="23"/>
        <v>-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9б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10а</v>
      </c>
      <c r="AZ8" s="337" t="str">
        <f t="shared" si="17"/>
        <v>8д</v>
      </c>
      <c r="BA8" s="30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10б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12б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 t="str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-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30" t="str">
        <f>IF(COUNTIF('Програма-кодове'!$C7:$AD7,$BN$2)=0,"-",IF(COUNTIF('Програма-кодове'!$C7:$AD7,$BN$2)=1,INDEX('Програма-кодове'!$C$1:$AD$1,1,MATCH($BN$2,'Програма-кодове'!$C7:$AD7,0)),"Дублаж"))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K7='Програма-кодове'!M7,'Програма-кодове'!K7&lt;&gt;""),"9а, в", IF(AND('Програма-кодове'!P7='Програма-кодове'!T7,'Програма-кодове'!P7&lt;&gt;""),"10а,д", "Дублаж"))))</f>
        <v>-</v>
      </c>
      <c r="BP8" s="77" t="str">
        <f>IF(COUNTIF('Програма-кодове'!$C7:$AD7,$BP$2)=0,"-",IF(COUNTIF('Програма-кодове'!$C7:$AD7,$BP$2)=1,INDEX('Програма-кодове'!$C$1:$AD$1,1,MATCH($BP$2,'Програма-кодове'!$C7:$AD7,0)),IF(AND('Програма-кодове'!L7='Програма-кодове'!N7,'Програма-кодове'!L7&lt;&gt;"" ),"9б,г",IF(AND('Програма-кодове'!Z7='Програма-кодове'!AB7,'Програма-кодове'!Z7&lt;&gt;"" ),"12а,в","Дублаж"))))</f>
        <v>9д</v>
      </c>
      <c r="BQ8" s="30" t="str">
        <f>IF(COUNTIF('Програма-кодове'!$C7:$AD7,$BQ$2)=0,"-",IF(COUNTIF('Програма-кодове'!$C7:$AD7,$BQ$2)=1,"10б,в,г","Дублаж"))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IF(COUNTIF('Програма-кодове'!$C7:$AD7,$BR$2)=0,"-",IF(COUNTIF('Програма-кодове'!$C7:$AD7,$BR$2)=1,INDEX('Програма-кодове'!$C$1:$AD$1,1,MATCH($BR$2,'Програма-кодове'!$C7:$AD7,0)),"Дублаж"))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IF('Програма-кодове'!W7='Програма-кодове'!X7,"11б,в","Дублаж")))</f>
        <v>-</v>
      </c>
      <c r="BT8" s="30" t="str">
        <f>IF(COUNTIF('Програма-кодове'!$C7:$AD7,$BT$2)=0,"-",IF(COUNTIF('Програма-кодове'!$C7:$AD7,$BT$2)=1,INDEX('Програма-кодове'!$C$1:$AD$1,1,MATCH($BT$2,'Програма-кодове'!$C7:$AD7,0)),"Дублаж"))</f>
        <v>8д</v>
      </c>
      <c r="BU8" s="193" t="str">
        <f t="shared" si="18"/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-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6</v>
      </c>
      <c r="BY8" s="30" t="str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-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11г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-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-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9г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-</v>
      </c>
      <c r="CF8" s="30" t="str">
        <f>IF(COUNTIF('Програма-кодове'!$C7:$AD7,$CF$2)=0,"-",IF(COUNTIF('Програма-кодове'!$C7:$AD7,$CF$2)=1,INDEX('Програма-кодове'!$C$1:$AD$1,1,MATCH($CF$2,'Програма-кодове'!$C7:$AD7,0)),"Дублаж"))</f>
        <v>-</v>
      </c>
    </row>
    <row r="9" spans="1:84" ht="13.75" thickBot="1">
      <c r="A9" s="408"/>
      <c r="B9" s="327">
        <v>7</v>
      </c>
      <c r="C9" s="310" t="str">
        <f t="shared" si="3"/>
        <v>-</v>
      </c>
      <c r="D9" s="195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12в</v>
      </c>
      <c r="E9" s="195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8г</v>
      </c>
      <c r="F9" s="347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-</v>
      </c>
      <c r="G9" s="347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9а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10б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-</v>
      </c>
      <c r="J9" s="195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195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8в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11д</v>
      </c>
      <c r="M9" s="195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8б</v>
      </c>
      <c r="N9" s="344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363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-</v>
      </c>
      <c r="P9" s="363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8a</v>
      </c>
      <c r="Q9" s="195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10" t="str">
        <f t="shared" si="0"/>
        <v>-</v>
      </c>
      <c r="S9" s="310" t="str">
        <f t="shared" si="4"/>
        <v>9д</v>
      </c>
      <c r="T9" s="344" t="str">
        <f t="shared" si="5"/>
        <v>9д</v>
      </c>
      <c r="U9" s="350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12а</v>
      </c>
      <c r="V9" s="350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9в</v>
      </c>
      <c r="W9" s="350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11а</v>
      </c>
      <c r="X9" s="350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-</v>
      </c>
      <c r="Y9" s="372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350">
        <f>IF(COUNTIF('Програма-кодове'!$C8:$AD8,$Z$2)=0,"-",IF(COUNTIF('Програма-кодове'!$C8:$AD8,$Z$2)=1,INDEX('Програма-кодове'!$C$1:$AD$1,1,MATCH($Z$2,'Програма-кодове'!$C8:$AD8,0)),"Дублаж"))</f>
        <v>7</v>
      </c>
      <c r="AA9" s="310" t="str">
        <f t="shared" si="6"/>
        <v>-</v>
      </c>
      <c r="AB9" s="372" t="str">
        <f t="shared" si="7"/>
        <v>9г</v>
      </c>
      <c r="AC9" s="310" t="str">
        <f t="shared" si="8"/>
        <v>-</v>
      </c>
      <c r="AD9" s="310" t="str">
        <f t="shared" si="9"/>
        <v>-</v>
      </c>
      <c r="AE9" s="310" t="str">
        <f t="shared" si="10"/>
        <v>10д</v>
      </c>
      <c r="AF9" s="310" t="str">
        <f t="shared" si="11"/>
        <v>12г</v>
      </c>
      <c r="AG9" s="310" t="str">
        <f t="shared" si="12"/>
        <v>10д</v>
      </c>
      <c r="AH9" s="310" t="str">
        <f t="shared" si="13"/>
        <v>12г</v>
      </c>
      <c r="AI9" s="310" t="str">
        <f t="shared" si="14"/>
        <v>-</v>
      </c>
      <c r="AJ9" s="310" t="str">
        <f t="shared" si="15"/>
        <v>9б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12б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10а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10в</v>
      </c>
      <c r="AN9" s="310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11г</v>
      </c>
      <c r="AO9" s="310" t="str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11б</v>
      </c>
      <c r="AP9" s="310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10" t="str">
        <f t="shared" si="16"/>
        <v>-</v>
      </c>
      <c r="AR9" s="310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-</v>
      </c>
      <c r="AS9" s="310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-</v>
      </c>
      <c r="AT9" s="310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12д</v>
      </c>
      <c r="AU9" s="195" t="str">
        <f t="shared" si="22"/>
        <v>11в</v>
      </c>
      <c r="AV9" s="195" t="str">
        <f t="shared" si="23"/>
        <v>-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10г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-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8д</v>
      </c>
      <c r="AZ9" s="310" t="str">
        <f t="shared" si="17"/>
        <v>-</v>
      </c>
      <c r="BA9" s="30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10д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12г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9г</v>
      </c>
      <c r="BN9" s="30" t="str">
        <f>IF(COUNTIF('Програма-кодове'!$C8:$AD8,$BN$2)=0,"-",IF(COUNTIF('Програма-кодове'!$C8:$AD8,$BN$2)=1,INDEX('Програма-кодове'!$C$1:$AD$1,1,MATCH($BN$2,'Програма-кодове'!$C8:$AD8,0)),"Дублаж"))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K8='Програма-кодове'!M8,'Програма-кодове'!K8&lt;&gt;""),"9а, в", IF(AND('Програма-кодове'!P8='Програма-кодове'!T8,'Програма-кодове'!P8&lt;&gt;""),"10а,д", "Дублаж"))))</f>
        <v>-</v>
      </c>
      <c r="BP9" s="77" t="str">
        <f>IF(COUNTIF('Програма-кодове'!$C8:$AD8,$BP$2)=0,"-",IF(COUNTIF('Програма-кодове'!$C8:$AD8,$BP$2)=1,INDEX('Програма-кодове'!$C$1:$AD$1,1,MATCH($BP$2,'Програма-кодове'!$C8:$AD8,0)),IF(AND('Програма-кодове'!L8='Програма-кодове'!N8,'Програма-кодове'!L8&lt;&gt;"" ),"9б,г",IF(AND('Програма-кодове'!Z8='Програма-кодове'!AB8,'Програма-кодове'!Z8&lt;&gt;"" ),"12а,в","Дублаж"))))</f>
        <v>9д</v>
      </c>
      <c r="BQ9" s="30" t="str">
        <f>IF(COUNTIF('Програма-кодове'!$C8:$AD8,$BQ$2)=0,"-",IF(COUNTIF('Програма-кодове'!$C8:$AD8,$BQ$2)=1,"10б,в,г","Дублаж"))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IF(COUNTIF('Програма-кодове'!$C8:$AD8,$BR$2)=0,"-",IF(COUNTIF('Програма-кодове'!$C8:$AD8,$BR$2)=1,INDEX('Програма-кодове'!$C$1:$AD$1,1,MATCH($BR$2,'Програма-кодове'!$C8:$AD8,0)),"Дублаж"))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IF('Програма-кодове'!W8='Програма-кодове'!X8,"11б,в","Дублаж")))</f>
        <v>-</v>
      </c>
      <c r="BT9" s="30" t="str">
        <f>IF(COUNTIF('Програма-кодове'!$C8:$AD8,$BT$2)=0,"-",IF(COUNTIF('Програма-кодове'!$C8:$AD8,$BT$2)=1,INDEX('Програма-кодове'!$C$1:$AD$1,1,MATCH($BT$2,'Програма-кодове'!$C8:$AD8,0)),"Дублаж"))</f>
        <v>-</v>
      </c>
      <c r="BU9" s="193" t="str">
        <f t="shared" si="18"/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-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11в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-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-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-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-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9б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  <c r="CF9" s="30" t="str">
        <f>IF(COUNTIF('Програма-кодове'!$C8:$AD8,$CF$2)=0,"-",IF(COUNTIF('Програма-кодове'!$C8:$AD8,$CF$2)=1,INDEX('Програма-кодове'!$C$1:$AD$1,1,MATCH($CF$2,'Програма-кодове'!$C8:$AD8,0)),"Дублаж"))</f>
        <v>-</v>
      </c>
    </row>
    <row r="10" spans="1:84" ht="13.6" customHeight="1">
      <c r="A10" s="409" t="s">
        <v>25</v>
      </c>
      <c r="B10" s="352">
        <v>1</v>
      </c>
      <c r="C10" s="353" t="str">
        <f t="shared" si="3"/>
        <v>-</v>
      </c>
      <c r="D10" s="354" t="str">
        <f>IF(COUNTIF('Програма-кодове'!$C9:$AD9,$D$2)=0,"-",IF(COUNTIF('Програма-кодове'!$C9:$AD9,$D$2)=1,INDEX('Програма-кодове'!$C$1:$AD$1,1,MATCH($D$2,'Програма-кодове'!$C9:$AD9,0)),"Дублаж"))</f>
        <v>-</v>
      </c>
      <c r="E10" s="355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354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11г</v>
      </c>
      <c r="G10" s="355">
        <f>IF(COUNTIF('Програма-кодове'!$C9:$AD9,$G$2)=0,"-",IF(COUNTIF('Програма-кодове'!$C9:$AD9,$G$2)=1,INDEX('Програма-кодове'!$C$1:$AD$1,1,MATCH($G$2,'Програма-кодове'!$C9:$AD9,0)),"Дублаж"))</f>
        <v>5</v>
      </c>
      <c r="H10" s="354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10в</v>
      </c>
      <c r="I10" s="354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12д</v>
      </c>
      <c r="J10" s="354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8д</v>
      </c>
      <c r="K10" s="357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-</v>
      </c>
      <c r="L10" s="354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354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8б</v>
      </c>
      <c r="N10" s="354" t="str">
        <f>IF(COUNTIF('Програма-кодове'!$C9:$AD9,$N$2)=0,"-",IF(COUNTIF('Програма-кодове'!$C9:$AD9,$N$2)=1,INDEX('Програма-кодове'!$C$1:$AD$1,1,MATCH($N$2,'Програма-кодове'!$C9:$AD9,0)),"Дублаж"))</f>
        <v>-</v>
      </c>
      <c r="O10" s="354" t="str">
        <f>IF(COUNTIF('Програма-кодове'!$C9:$AD9,$O$2)=0,"-",IF(COUNTIF('Програма-кодове'!$C9:$AD9,$O$2)=1,INDEX('Програма-кодове'!$C$1:$AD$1,1,MATCH($O$2,'Програма-кодове'!$C9:$AD9,0)),"Дублаж"))</f>
        <v>9б</v>
      </c>
      <c r="P10" s="354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-</v>
      </c>
      <c r="Q10" s="354">
        <f>IF(COUNTIF('Програма-кодове'!$C9:$AD9,$Q$2)=0,"-",IF(COUNTIF('Програма-кодове'!$C9:$AD9,$Q$2)=1,INDEX('Програма-кодове'!$C$1:$AD$1,1,MATCH($Q$2,'Програма-кодове'!$C9:$AD9,0)),"Дублаж"))</f>
        <v>6</v>
      </c>
      <c r="R10" s="193" t="str">
        <f t="shared" si="0"/>
        <v>9а, в</v>
      </c>
      <c r="S10" s="193" t="str">
        <f>IF(BP10&lt;&gt;"-",IF(AND(BR10="-",BQ10="-"),BP10,"Дублаж"),IF(AND(BR10&lt;&gt;"-",BQ10&lt;&gt;"-"),"Дублаж",IF(BR10&lt;&gt;"-",BR10,BQ10)))</f>
        <v>-</v>
      </c>
      <c r="T10" s="356" t="str">
        <f t="shared" si="5"/>
        <v>9а, в</v>
      </c>
      <c r="U10" s="354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12г</v>
      </c>
      <c r="V10" s="354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10г</v>
      </c>
      <c r="W10" s="356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-</v>
      </c>
      <c r="X10" s="316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-</v>
      </c>
      <c r="Y10" s="371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354" t="str">
        <f>IF(COUNTIF('Програма-кодове'!$C9:$AD9,$Z$2)=0,"-",IF(COUNTIF('Програма-кодове'!$C9:$AD9,$Z$2)=1,INDEX('Програма-кодове'!$C$1:$AD$1,1,MATCH($Z$2,'Програма-кодове'!$C9:$AD9,0)),"Дублаж"))</f>
        <v>11б</v>
      </c>
      <c r="AA10" s="353" t="str">
        <f t="shared" si="6"/>
        <v>8a</v>
      </c>
      <c r="AB10" s="371" t="str">
        <f t="shared" si="7"/>
        <v>8в</v>
      </c>
      <c r="AC10" s="353" t="str">
        <f t="shared" si="8"/>
        <v>11в</v>
      </c>
      <c r="AD10" s="353" t="str">
        <f t="shared" si="9"/>
        <v>11в</v>
      </c>
      <c r="AE10" s="353" t="str">
        <f>IF(BJ10&lt;&gt;"-",IF(AND(BC10="-",BH10="-",BK10="-"),BJ10,"Дублаж"),IF(BC10&lt;&gt;"-",IF(AND(BH10="-",BK10="-"),BC10,"Дублаж"),IF(BH10&lt;&gt;"-",IF(BK10="-",BH10,"Дублаж"),BK10)))</f>
        <v>-</v>
      </c>
      <c r="AF10" s="353" t="str">
        <f>IF(BE10&lt;&gt;"-",IF(AND(BF10="-",BG10="-"),BE10,"Дублаж"),IF(AND(BF10&lt;&gt;"-",BG10&lt;&gt;"-"),"Дублаж",IF(BF10&lt;&gt;"-",BF10,BG10)))</f>
        <v>12а</v>
      </c>
      <c r="AG10" s="353" t="str">
        <f>IF(BC10&lt;&gt;"-",IF(AND(BF10="-",BI10="-",BL10="-"),BC10,"Дублаж"),IF(BF10&lt;&gt;"-",IF(AND(BI10="-",BL10="-"),BF10,"Дублаж"),IF(BI10&lt;&gt;"-",IF(BL10="-",BI10,"Дублаж"),BL10)))</f>
        <v>8a</v>
      </c>
      <c r="AH10" s="353" t="str">
        <f>IF(AND(BE10&lt;&gt;"-",BN10&lt;&gt;"-"),"Дублаж",IF(BE10&lt;&gt;"-",BE10,BN10))</f>
        <v>12а</v>
      </c>
      <c r="AI10" s="353" t="str">
        <f t="shared" si="14"/>
        <v>-</v>
      </c>
      <c r="AJ10" s="353" t="str">
        <f>IF(CD10&lt;&gt;"-",IF(AND(CE10="-",CF10="-"),CD10,"Дублаж"),IF(AND(CE10&lt;&gt;"-",CF10&lt;&gt;"-"),"Дублаж",IF(CE10&lt;&gt;"-",CE10,CF10)))</f>
        <v>-</v>
      </c>
      <c r="AK10" s="354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11а</v>
      </c>
      <c r="AL10" s="354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10д</v>
      </c>
      <c r="AM10" s="354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9д</v>
      </c>
      <c r="AN10" s="357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12в</v>
      </c>
      <c r="AO10" s="357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10а</v>
      </c>
      <c r="AP10" s="357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57" t="str">
        <f t="shared" si="16"/>
        <v>10б</v>
      </c>
      <c r="AR10" s="357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7</v>
      </c>
      <c r="AS10" s="357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57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9г</v>
      </c>
      <c r="AU10" s="196" t="str">
        <f t="shared" ref="AU10" si="24">IF(AND(BW10&lt;&gt;"-",BX10&lt;&gt;"-"),"Дублаж",IF(BW10&lt;&gt;"-",BW10,BX10))</f>
        <v>11д</v>
      </c>
      <c r="AV10" s="194" t="str">
        <f t="shared" ref="AV10" si="25">IF(BY10&lt;&gt;"-",IF(AND(BG10="-",BK10="-",BL10="-",BN10="-"),BY10,"Дублаж"),IF(BG10&lt;&gt;"-",IF(AND(BK10="-",BL10="-",BN10="-"),BG10,"Дублаж"),IF(BK10&lt;&gt;"-",IF(AND(BL10="-",BN10="-"),BK10,"Дублаж"),IF(BL10&lt;&gt;"-",IF(BN10="-", BL10, BN10),BN10))))</f>
        <v>-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12б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-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8г</v>
      </c>
      <c r="AZ10" s="353" t="str">
        <f>IF(AND(BT10&lt;&gt;"-",BU10&lt;&gt;"-"),"Дублаж",IF(BT10&lt;&gt;"-",BT10,BU10))</f>
        <v>-</v>
      </c>
      <c r="BA10" s="30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-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11в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12а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-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8a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8в</v>
      </c>
      <c r="BN10" s="30" t="str">
        <f>IF(COUNTIF('Програма-кодове'!$C9:$AD9,$BN$2)=0,"-",IF(COUNTIF('Програма-кодове'!$C9:$AD9,$BN$2)=1,INDEX('Програма-кодове'!$C$1:$AD$1,1,MATCH($BN$2,'Програма-кодове'!$C9:$AD9,0)),"Дублаж"))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K9='Програма-кодове'!M9,'Програма-кодове'!K9&lt;&gt;""),"9а, в", IF(AND('Програма-кодове'!P9='Програма-кодове'!T9,'Програма-кодове'!P9&lt;&gt;""),"10а,д", "Дублаж"))))</f>
        <v>9а, в</v>
      </c>
      <c r="BP10" s="77" t="str">
        <f>IF(COUNTIF('Програма-кодове'!$C9:$AD9,$BP$2)=0,"-",IF(COUNTIF('Програма-кодове'!$C9:$AD9,$BP$2)=1,INDEX('Програма-кодове'!$C$1:$AD$1,1,MATCH($BP$2,'Програма-кодове'!$C9:$AD9,0)),IF(AND('Програма-кодове'!L9='Програма-кодове'!N9,'Програма-кодове'!L9&lt;&gt;"" ),"9б,г",IF(AND('Програма-кодове'!Z9='Програма-кодове'!AB9,'Програма-кодове'!Z9&lt;&gt;"" ),"12а,в","Дублаж"))))</f>
        <v>-</v>
      </c>
      <c r="BQ10" s="30" t="str">
        <f>IF(COUNTIF('Програма-кодове'!$C9:$AD9,$BQ$2)=0,"-",IF(COUNTIF('Програма-кодове'!$C9:$AD9,$BQ$2)=1,"10б,в,г","Дублаж"))</f>
        <v>-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IF(COUNTIF('Програма-кодове'!$C9:$AD9,$BR$2)=0,"-",IF(COUNTIF('Програма-кодове'!$C9:$AD9,$BR$2)=1,INDEX('Програма-кодове'!$C$1:$AD$1,1,MATCH($BR$2,'Програма-кодове'!$C9:$AD9,0)),"Дублаж"))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IF('Програма-кодове'!W9='Програма-кодове'!X9,"11б,в","Дублаж")))</f>
        <v>-</v>
      </c>
      <c r="BT10" s="30" t="str">
        <f>IF(COUNTIF('Програма-кодове'!$C9:$AD9,$BT$2)=0,"-",IF(COUNTIF('Програма-кодове'!$C9:$AD9,$BT$2)=1,INDEX('Програма-кодове'!$C$1:$AD$1,1,MATCH($BT$2,'Програма-кодове'!$C9:$AD9,0)),"Дублаж"))</f>
        <v>-</v>
      </c>
      <c r="BU10" s="193" t="str">
        <f t="shared" si="18"/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 t="str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11д</v>
      </c>
      <c r="BX10" s="30" t="str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-</v>
      </c>
      <c r="BY10" s="30" t="str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-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-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-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10б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  <c r="CF10" s="30" t="str">
        <f>IF(COUNTIF('Програма-кодове'!$C9:$AD9,$CF$2)=0,"-",IF(COUNTIF('Програма-кодове'!$C9:$AD9,$CF$2)=1,INDEX('Програма-кодове'!$C$1:$AD$1,1,MATCH($CF$2,'Програма-кодове'!$C9:$AD9,0)),"Дублаж"))</f>
        <v>-</v>
      </c>
    </row>
    <row r="11" spans="1:84" ht="13.6" customHeight="1">
      <c r="A11" s="410"/>
      <c r="B11" s="329">
        <v>2</v>
      </c>
      <c r="C11" s="193" t="str">
        <f t="shared" si="3"/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-</v>
      </c>
      <c r="E11" s="346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11а</v>
      </c>
      <c r="G11" s="346" t="str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8a</v>
      </c>
      <c r="H11" s="20" t="str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10в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12д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8д</v>
      </c>
      <c r="K11" s="94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-</v>
      </c>
      <c r="L11" s="20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8б</v>
      </c>
      <c r="N11" s="94" t="str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-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9б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20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9а, в</v>
      </c>
      <c r="S11" s="193" t="str">
        <f>IF(BP11&lt;&gt;"-",IF(AND(BR11="-",BQ11="-"),BP11,"Дублаж"),IF(AND(BR11&lt;&gt;"-",BQ11&lt;&gt;"-"),"Дублаж",IF(BR11&lt;&gt;"-",BR11,BQ11)))</f>
        <v>-</v>
      </c>
      <c r="T11" s="342" t="str">
        <f t="shared" si="5"/>
        <v>9а, в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12а</v>
      </c>
      <c r="V11" s="20" t="str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10а</v>
      </c>
      <c r="W11" s="343" t="str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-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-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11в</v>
      </c>
      <c r="AA11" s="193" t="str">
        <f t="shared" si="6"/>
        <v>8г</v>
      </c>
      <c r="AB11" s="193" t="str">
        <f t="shared" si="7"/>
        <v>-</v>
      </c>
      <c r="AC11" s="193" t="str">
        <f t="shared" si="8"/>
        <v>11г</v>
      </c>
      <c r="AD11" s="193" t="str">
        <f t="shared" si="9"/>
        <v>11г</v>
      </c>
      <c r="AE11" s="193" t="str">
        <f t="shared" si="10"/>
        <v>-</v>
      </c>
      <c r="AF11" s="193" t="str">
        <f t="shared" si="11"/>
        <v>12б</v>
      </c>
      <c r="AG11" s="193" t="str">
        <f t="shared" si="12"/>
        <v>8г</v>
      </c>
      <c r="AH11" s="193" t="str">
        <f t="shared" si="13"/>
        <v>12б</v>
      </c>
      <c r="AI11" s="338" t="str">
        <f t="shared" si="14"/>
        <v>12в</v>
      </c>
      <c r="AJ11" s="193" t="str">
        <f t="shared" si="15"/>
        <v>10б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11д</v>
      </c>
      <c r="AL11" s="20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6</v>
      </c>
      <c r="AM11" s="338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-</v>
      </c>
      <c r="AN11" s="358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5</v>
      </c>
      <c r="AO11" s="358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10д</v>
      </c>
      <c r="AP11" s="358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11б</v>
      </c>
      <c r="AQ11" s="358" t="str">
        <f t="shared" ref="AQ11:AQ14" si="26">IF(AND(CB11&lt;&gt;"-",CC11&lt;&gt;"-"),"Дублаж",IF(CB11&lt;&gt;"-",CB11,CC11))</f>
        <v>10г</v>
      </c>
      <c r="AR11" s="358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9г</v>
      </c>
      <c r="AS11" s="358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358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9д</v>
      </c>
      <c r="AU11" s="196">
        <f t="shared" si="22"/>
        <v>7</v>
      </c>
      <c r="AV11" s="194" t="str">
        <f t="shared" si="23"/>
        <v>-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12г</v>
      </c>
      <c r="AX11" s="196" t="str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-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8в</v>
      </c>
      <c r="AZ11" s="193" t="str">
        <f t="shared" si="17"/>
        <v>-</v>
      </c>
      <c r="BA11" s="30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-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11г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12б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-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8г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30" t="str">
        <f>IF(COUNTIF('Програма-кодове'!$C10:$AD10,$BN$2)=0,"-",IF(COUNTIF('Програма-кодове'!$C10:$AD10,$BN$2)=1,INDEX('Програма-кодове'!$C$1:$AD$1,1,MATCH($BN$2,'Програма-кодове'!$C10:$AD10,0)),"Дублаж"))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K10='Програма-кодове'!M10,'Програма-кодове'!K10&lt;&gt;""),"9а, в", IF(AND('Програма-кодове'!P10='Програма-кодове'!T10,'Програма-кодове'!P10&lt;&gt;""),"10а,д", "Дублаж"))))</f>
        <v>9а, в</v>
      </c>
      <c r="BP11" s="77" t="str">
        <f>IF(COUNTIF('Програма-кодове'!$C10:$AD10,$BP$2)=0,"-",IF(COUNTIF('Програма-кодове'!$C10:$AD10,$BP$2)=1,INDEX('Програма-кодове'!$C$1:$AD$1,1,MATCH($BP$2,'Програма-кодове'!$C10:$AD10,0)),IF(AND('Програма-кодове'!L10='Програма-кодове'!N10,'Програма-кодове'!L10&lt;&gt;"" ),"9б,г",IF(AND('Програма-кодове'!Z10='Програма-кодове'!AB10,'Програма-кодове'!Z10&lt;&gt;"" ),"12а,в","Дублаж"))))</f>
        <v>-</v>
      </c>
      <c r="BQ11" s="30" t="str">
        <f>IF(COUNTIF('Програма-кодове'!$C10:$AD10,$BQ$2)=0,"-",IF(COUNTIF('Програма-кодове'!$C10:$AD10,$BQ$2)=1,"10б,в,г","Дублаж"))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IF(COUNTIF('Програма-кодове'!$C10:$AD10,$BR$2)=0,"-",IF(COUNTIF('Програма-кодове'!$C10:$AD10,$BR$2)=1,INDEX('Програма-кодове'!$C$1:$AD$1,1,MATCH($BR$2,'Програма-кодове'!$C10:$AD10,0)),"Дублаж"))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IF('Програма-кодове'!W10='Програма-кодове'!X10,"11б,в","Дублаж")))</f>
        <v>-</v>
      </c>
      <c r="BT11" s="30" t="str">
        <f>IF(COUNTIF('Програма-кодове'!$C10:$AD10,$BT$2)=0,"-",IF(COUNTIF('Програма-кодове'!$C10:$AD10,$BT$2)=1,INDEX('Програма-кодове'!$C$1:$AD$1,1,MATCH($BT$2,'Програма-кодове'!$C10:$AD10,0)),"Дублаж"))</f>
        <v>-</v>
      </c>
      <c r="BU11" s="193" t="str">
        <f t="shared" si="18"/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-</v>
      </c>
      <c r="BX11" s="30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7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-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12в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-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10г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10б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  <c r="CF11" s="30" t="str">
        <f>IF(COUNTIF('Програма-кодове'!$C10:$AD10,$CF$2)=0,"-",IF(COUNTIF('Програма-кодове'!$C10:$AD10,$CF$2)=1,INDEX('Програма-кодове'!$C$1:$AD$1,1,MATCH($CF$2,'Програма-кодове'!$C10:$AD10,0)),"Дублаж"))</f>
        <v>-</v>
      </c>
    </row>
    <row r="12" spans="1:84" ht="13.6" customHeight="1">
      <c r="A12" s="410"/>
      <c r="B12" s="329">
        <v>3</v>
      </c>
      <c r="C12" s="193" t="str">
        <f t="shared" si="3"/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-</v>
      </c>
      <c r="E12" s="346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-</v>
      </c>
      <c r="G12" s="346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9а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-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-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8д</v>
      </c>
      <c r="K12" s="94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-</v>
      </c>
      <c r="L12" s="366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-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8б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8г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-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-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10г</v>
      </c>
      <c r="R12" s="366" t="str">
        <f t="shared" si="0"/>
        <v>11г</v>
      </c>
      <c r="S12" s="193" t="str">
        <f t="shared" si="4"/>
        <v>9б,г</v>
      </c>
      <c r="T12" s="342" t="str">
        <f>IF(BO12&lt;&gt;"-",IF(AND(BP12="-",BU12="-"),BO12,IF(AND(BO12="11в",BP12="11б"),"11б,в",IF(AND(BO12="12б",BP12="12д"),"12б,д",IF(AND(BO12="12в",BP12="12б"),"12б,в")))),IF(BP12&lt;&gt;"-",IF(BU12="-",BP12,"Дублаж"),BU12))</f>
        <v>9б,г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12а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6</v>
      </c>
      <c r="W12" s="343" t="str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-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8a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12д</v>
      </c>
      <c r="Z12" s="20" t="str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10д</v>
      </c>
      <c r="AA12" s="193" t="str">
        <f t="shared" si="6"/>
        <v>8в</v>
      </c>
      <c r="AB12" s="193" t="str">
        <f t="shared" si="7"/>
        <v>-</v>
      </c>
      <c r="AC12" s="193" t="str">
        <f t="shared" si="8"/>
        <v>11б</v>
      </c>
      <c r="AD12" s="193" t="str">
        <f t="shared" si="9"/>
        <v>11б</v>
      </c>
      <c r="AE12" s="193">
        <f t="shared" si="10"/>
        <v>5</v>
      </c>
      <c r="AF12" s="193" t="str">
        <f t="shared" si="11"/>
        <v>12г</v>
      </c>
      <c r="AG12" s="193" t="str">
        <f>IF(BC12&lt;&gt;"-",IF(AND(BF12="-",BI12="-",BL12="-"),BC12,"Дублаж"),IF(BF12&lt;&gt;"-",IF(AND(BI12="-",BL12="-"),BF12,"Дублаж"),IF(BI12&lt;&gt;"-",IF(BL12="-",BI12,"Дублаж"),BL12)))</f>
        <v>8в</v>
      </c>
      <c r="AH12" s="193" t="str">
        <f t="shared" si="13"/>
        <v>12г</v>
      </c>
      <c r="AI12" s="338" t="str">
        <f t="shared" si="14"/>
        <v>12б</v>
      </c>
      <c r="AJ12" s="338" t="str">
        <f>IF(CD12&lt;&gt;"-",IF(AND(CE12="-",CF12="-"),CD12,"Дублаж"),IF(AND(CE12&lt;&gt;"-",CF12&lt;&gt;"-"),"Дублаж",IF(CE12&lt;&gt;"-",CE12,CF12)))</f>
        <v>-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9д</v>
      </c>
      <c r="AL12" s="20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7</v>
      </c>
      <c r="AM12" s="20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11д</v>
      </c>
      <c r="AN12" s="358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-</v>
      </c>
      <c r="AO12" s="358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10в</v>
      </c>
      <c r="AP12" s="358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11а</v>
      </c>
      <c r="AQ12" s="358" t="str">
        <f t="shared" ref="AQ12" si="27">IF(AND(CB12&lt;&gt;"-",CC12&lt;&gt;"-"),"Дублаж",IF(CB12&lt;&gt;"-",CB12,CC12))</f>
        <v>10а</v>
      </c>
      <c r="AR12" s="358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11в</v>
      </c>
      <c r="AS12" s="358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-</v>
      </c>
      <c r="AT12" s="358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9в</v>
      </c>
      <c r="AU12" s="196" t="str">
        <f t="shared" ref="AU12" si="28">IF(AND(BW12&lt;&gt;"-",BX12&lt;&gt;"-"),"Дублаж",IF(BW12&lt;&gt;"-",BW12,BX12))</f>
        <v>-</v>
      </c>
      <c r="AV12" s="194">
        <f t="shared" ref="AV12" si="29">IF(BY12&lt;&gt;"-",IF(AND(BG12="-",BK12="-",BL12="-",BN12="-"),BY12,"Дублаж"),IF(BG12&lt;&gt;"-",IF(AND(BK12="-",BL12="-",BN12="-"),BG12,"Дублаж"),IF(BK12&lt;&gt;"-",IF(AND(BL12="-",BN12="-"),BK12,"Дублаж"),IF(BL12&lt;&gt;"-",IF(BN12="-", BL12, BN12),BN12))))</f>
        <v>5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12в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10б</v>
      </c>
      <c r="AZ12" s="193" t="str">
        <f t="shared" si="17"/>
        <v>-</v>
      </c>
      <c r="BA12" s="30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-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11б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12г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 t="str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-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-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8в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5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30" t="str">
        <f>IF(COUNTIF('Програма-кодове'!$C11:$AD11,$BN$2)=0,"-",IF(COUNTIF('Програма-кодове'!$C11:$AD11,$BN$2)=1,INDEX('Програма-кодове'!$C$1:$AD$1,1,MATCH($BN$2,'Програма-кодове'!$C11:$AD11,0)),"Дублаж"))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K11='Програма-кодове'!M11,'Програма-кодове'!K11&lt;&gt;""),"9а, в", IF(AND('Програма-кодове'!P11='Програма-кодове'!T11,'Програма-кодове'!P11&lt;&gt;""),"10а,д", "Дублаж"))))</f>
        <v>-</v>
      </c>
      <c r="BP12" s="77" t="str">
        <f>IF(COUNTIF('Програма-кодове'!$C11:$AD11,$BP$2)=0,"-",IF(COUNTIF('Програма-кодове'!$C11:$AD11,$BP$2)=1,INDEX('Програма-кодове'!$C$1:$AD$1,1,MATCH($BP$2,'Програма-кодове'!$C11:$AD11,0)),IF(AND('Програма-кодове'!L11='Програма-кодове'!N11,'Програма-кодове'!L11&lt;&gt;"" ),"9б,г",IF(AND('Програма-кодове'!Z11='Програма-кодове'!AB11,'Програма-кодове'!Z11&lt;&gt;"" ),"12а,в","Дублаж"))))</f>
        <v>9б,г</v>
      </c>
      <c r="BQ12" s="30" t="str">
        <f>IF(COUNTIF('Програма-кодове'!$C11:$AD11,$BQ$2)=0,"-",IF(COUNTIF('Програма-кодове'!$C11:$AD11,$BQ$2)=1,"10б,в,г","Дублаж"))</f>
        <v>-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IF(COUNTIF('Програма-кодове'!$C11:$AD11,$BR$2)=0,"-",IF(COUNTIF('Програма-кодове'!$C11:$AD11,$BR$2)=1,INDEX('Програма-кодове'!$C$1:$AD$1,1,MATCH($BR$2,'Програма-кодове'!$C11:$AD11,0)),"Дублаж"))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IF('Програма-кодове'!W11='Програма-кодове'!X11,"11б,в","Дублаж")))</f>
        <v>-</v>
      </c>
      <c r="BT12" s="30" t="str">
        <f>IF(COUNTIF('Програма-кодове'!$C11:$AD11,$BT$2)=0,"-",IF(COUNTIF('Програма-кодове'!$C11:$AD11,$BT$2)=1,INDEX('Програма-кодове'!$C$1:$AD$1,1,MATCH($BT$2,'Програма-кодове'!$C11:$AD11,0)),"Дублаж"))</f>
        <v>-</v>
      </c>
      <c r="BU12" s="193" t="str">
        <f t="shared" si="18"/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11г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 t="str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-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12б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-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-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10а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  <c r="CF12" s="30" t="str">
        <f>IF(COUNTIF('Програма-кодове'!$C11:$AD11,$CF$2)=0,"-",IF(COUNTIF('Програма-кодове'!$C11:$AD11,$CF$2)=1,INDEX('Програма-кодове'!$C$1:$AD$1,1,MATCH($CF$2,'Програма-кодове'!$C11:$AD11,0)),"Дублаж"))</f>
        <v>-</v>
      </c>
    </row>
    <row r="13" spans="1:84" ht="13.6" customHeight="1">
      <c r="A13" s="410"/>
      <c r="B13" s="329">
        <v>4</v>
      </c>
      <c r="C13" s="193" t="str">
        <f t="shared" si="3"/>
        <v>-</v>
      </c>
      <c r="D13" s="20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12д</v>
      </c>
      <c r="E13" s="346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20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11б</v>
      </c>
      <c r="G13" s="346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9а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10б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12г</v>
      </c>
      <c r="J13" s="363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-</v>
      </c>
      <c r="K13" s="2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8в</v>
      </c>
      <c r="L13" s="20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11г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20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8г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9в</v>
      </c>
      <c r="P13" s="363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8a</v>
      </c>
      <c r="Q13" s="20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10г</v>
      </c>
      <c r="R13" s="193" t="str">
        <f t="shared" si="0"/>
        <v>-</v>
      </c>
      <c r="S13" s="193" t="str">
        <f t="shared" si="4"/>
        <v>9б,г</v>
      </c>
      <c r="T13" s="342" t="str">
        <f t="shared" si="5"/>
        <v>9б,г</v>
      </c>
      <c r="U13" s="359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-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-</v>
      </c>
      <c r="W13" s="342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-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12б</v>
      </c>
      <c r="Z13" s="20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7</v>
      </c>
      <c r="AA13" s="193" t="str">
        <f t="shared" si="6"/>
        <v>-</v>
      </c>
      <c r="AB13" s="193" t="str">
        <f t="shared" si="7"/>
        <v>-</v>
      </c>
      <c r="AC13" s="193" t="str">
        <f t="shared" si="8"/>
        <v>11а</v>
      </c>
      <c r="AD13" s="193" t="str">
        <f t="shared" si="9"/>
        <v>11а</v>
      </c>
      <c r="AE13" s="193">
        <f t="shared" si="10"/>
        <v>6</v>
      </c>
      <c r="AF13" s="193" t="str">
        <f t="shared" si="11"/>
        <v>12в</v>
      </c>
      <c r="AG13" s="193" t="str">
        <f t="shared" si="12"/>
        <v>-</v>
      </c>
      <c r="AH13" s="193" t="str">
        <f t="shared" si="13"/>
        <v>12в</v>
      </c>
      <c r="AI13" s="193" t="str">
        <f t="shared" si="14"/>
        <v>-</v>
      </c>
      <c r="AJ13" s="193" t="str">
        <f t="shared" si="15"/>
        <v>10а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-</v>
      </c>
      <c r="AL13" s="20" t="str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-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11в</v>
      </c>
      <c r="AN13" s="311" t="str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12а</v>
      </c>
      <c r="AO13" s="311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-</v>
      </c>
      <c r="AP13" s="311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311" t="str">
        <f t="shared" si="26"/>
        <v>10в</v>
      </c>
      <c r="AR13" s="311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10д</v>
      </c>
      <c r="AS13" s="311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11д</v>
      </c>
      <c r="AT13" s="311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-</v>
      </c>
      <c r="AU13" s="196">
        <f t="shared" si="22"/>
        <v>5</v>
      </c>
      <c r="AV13" s="359">
        <f t="shared" si="23"/>
        <v>6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-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9д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8д</v>
      </c>
      <c r="AZ13" s="193" t="str">
        <f t="shared" si="17"/>
        <v>-</v>
      </c>
      <c r="BA13" s="30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11а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12в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-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6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 t="str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-</v>
      </c>
      <c r="BN13" s="30" t="str">
        <f>IF(COUNTIF('Програма-кодове'!$C12:$AD12,$BN$2)=0,"-",IF(COUNTIF('Програма-кодове'!$C12:$AD12,$BN$2)=1,INDEX('Програма-кодове'!$C$1:$AD$1,1,MATCH($BN$2,'Програма-кодове'!$C12:$AD12,0)),"Дублаж"))</f>
        <v>-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K12='Програма-кодове'!M12,'Програма-кодове'!K12&lt;&gt;""),"9а, в", IF(AND('Програма-кодове'!P12='Програма-кодове'!T12,'Програма-кодове'!P12&lt;&gt;""),"10а,д", "Дублаж"))))</f>
        <v>-</v>
      </c>
      <c r="BP13" s="77" t="str">
        <f>IF(COUNTIF('Програма-кодове'!$C12:$AD12,$BP$2)=0,"-",IF(COUNTIF('Програма-кодове'!$C12:$AD12,$BP$2)=1,INDEX('Програма-кодове'!$C$1:$AD$1,1,MATCH($BP$2,'Програма-кодове'!$C12:$AD12,0)),IF(AND('Програма-кодове'!L12='Програма-кодове'!N12,'Програма-кодове'!L12&lt;&gt;"" ),"9б,г",IF(AND('Програма-кодове'!Z12='Програма-кодове'!AB12,'Програма-кодове'!Z12&lt;&gt;"" ),"12а,в","Дублаж"))))</f>
        <v>9б,г</v>
      </c>
      <c r="BQ13" s="30" t="str">
        <f>IF(COUNTIF('Програма-кодове'!$C12:$AD12,$BQ$2)=0,"-",IF(COUNTIF('Програма-кодове'!$C12:$AD12,$BQ$2)=1,"10б,в,г","Дублаж"))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IF(COUNTIF('Програма-кодове'!$C12:$AD12,$BR$2)=0,"-",IF(COUNTIF('Програма-кодове'!$C12:$AD12,$BR$2)=1,INDEX('Програма-кодове'!$C$1:$AD$1,1,MATCH($BR$2,'Програма-кодове'!$C12:$AD12,0)),"Дублаж"))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IF('Програма-кодове'!W12='Програма-кодове'!X12,"11б,в","Дублаж")))</f>
        <v>-</v>
      </c>
      <c r="BT13" s="30" t="str">
        <f>IF(COUNTIF('Програма-кодове'!$C12:$AD12,$BT$2)=0,"-",IF(COUNTIF('Програма-кодове'!$C12:$AD12,$BT$2)=1,INDEX('Програма-кодове'!$C$1:$AD$1,1,MATCH($BT$2,'Програма-кодове'!$C12:$AD12,0)),"Дублаж"))</f>
        <v>-</v>
      </c>
      <c r="BU13" s="193" t="str">
        <f t="shared" si="18"/>
        <v>-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 t="str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-</v>
      </c>
      <c r="BX13" s="30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5</v>
      </c>
      <c r="BY13" s="30" t="str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-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-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10в</v>
      </c>
      <c r="CD13" s="30" t="str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10а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  <c r="CF13" s="30" t="str">
        <f>IF(COUNTIF('Програма-кодове'!$C12:$AD12,$CF$2)=0,"-",IF(COUNTIF('Програма-кодове'!$C12:$AD12,$CF$2)=1,INDEX('Програма-кодове'!$C$1:$AD$1,1,MATCH($CF$2,'Програма-кодове'!$C12:$AD12,0)),"Дублаж"))</f>
        <v>-</v>
      </c>
    </row>
    <row r="14" spans="1:84" ht="13.6" customHeight="1">
      <c r="A14" s="410"/>
      <c r="B14" s="329">
        <v>5</v>
      </c>
      <c r="C14" s="193" t="str">
        <f t="shared" si="3"/>
        <v>-</v>
      </c>
      <c r="D14" s="20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12д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94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-</v>
      </c>
      <c r="G14" s="20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-</v>
      </c>
      <c r="H14" s="20" t="str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10б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12в</v>
      </c>
      <c r="J14" s="363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-</v>
      </c>
      <c r="K14" s="2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8в</v>
      </c>
      <c r="L14" s="20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11г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-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8г</v>
      </c>
      <c r="O14" s="20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9в</v>
      </c>
      <c r="P14" s="363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20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10в</v>
      </c>
      <c r="R14" s="193" t="str">
        <f t="shared" si="0"/>
        <v>-</v>
      </c>
      <c r="S14" s="193" t="str">
        <f t="shared" si="4"/>
        <v>-</v>
      </c>
      <c r="T14" s="193" t="str">
        <f t="shared" si="5"/>
        <v>-</v>
      </c>
      <c r="U14" s="359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-</v>
      </c>
      <c r="V14" s="338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20" t="str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11а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8б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12б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-</v>
      </c>
      <c r="AA14" s="193" t="str">
        <f t="shared" si="6"/>
        <v>8д</v>
      </c>
      <c r="AB14" s="193" t="str">
        <f t="shared" si="7"/>
        <v>-</v>
      </c>
      <c r="AC14" s="193" t="str">
        <f t="shared" si="8"/>
        <v>-</v>
      </c>
      <c r="AD14" s="193" t="str">
        <f t="shared" si="9"/>
        <v>-</v>
      </c>
      <c r="AE14" s="193" t="str">
        <f t="shared" si="10"/>
        <v>-</v>
      </c>
      <c r="AF14" s="193">
        <f t="shared" si="11"/>
        <v>5</v>
      </c>
      <c r="AG14" s="193" t="str">
        <f t="shared" si="12"/>
        <v>8д</v>
      </c>
      <c r="AH14" s="193" t="str">
        <f t="shared" si="13"/>
        <v>-</v>
      </c>
      <c r="AI14" s="338" t="str">
        <f t="shared" si="14"/>
        <v>9г</v>
      </c>
      <c r="AJ14" s="193" t="str">
        <f t="shared" si="15"/>
        <v>10д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11в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9б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11б</v>
      </c>
      <c r="AN14" s="358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12г</v>
      </c>
      <c r="AO14" s="358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10г</v>
      </c>
      <c r="AP14" s="358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358" t="str">
        <f t="shared" si="26"/>
        <v>9а</v>
      </c>
      <c r="AR14" s="358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9д</v>
      </c>
      <c r="AS14" s="358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11д</v>
      </c>
      <c r="AT14" s="358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-</v>
      </c>
      <c r="AU14" s="196" t="str">
        <f t="shared" si="22"/>
        <v>10а</v>
      </c>
      <c r="AV14" s="359">
        <f t="shared" si="23"/>
        <v>5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12а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-</v>
      </c>
      <c r="AY14" s="196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6</v>
      </c>
      <c r="AZ14" s="193" t="str">
        <f t="shared" si="17"/>
        <v>-</v>
      </c>
      <c r="BA14" s="30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-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-</v>
      </c>
      <c r="BG14" s="30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5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8д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 t="str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-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30" t="str">
        <f>IF(COUNTIF('Програма-кодове'!$C13:$AD13,$BN$2)=0,"-",IF(COUNTIF('Програма-кодове'!$C13:$AD13,$BN$2)=1,INDEX('Програма-кодове'!$C$1:$AD$1,1,MATCH($BN$2,'Програма-кодове'!$C13:$AD13,0)),"Дублаж"))</f>
        <v>-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K13='Програма-кодове'!M13,'Програма-кодове'!K13&lt;&gt;""),"9а, в", IF(AND('Програма-кодове'!P13='Програма-кодове'!T13,'Програма-кодове'!P13&lt;&gt;""),"10а,д", "Дублаж"))))</f>
        <v>-</v>
      </c>
      <c r="BP14" s="77" t="str">
        <f>IF(COUNTIF('Програма-кодове'!$C13:$AD13,$BP$2)=0,"-",IF(COUNTIF('Програма-кодове'!$C13:$AD13,$BP$2)=1,INDEX('Програма-кодове'!$C$1:$AD$1,1,MATCH($BP$2,'Програма-кодове'!$C13:$AD13,0)),IF(AND('Програма-кодове'!L13='Програма-кодове'!N13,'Програма-кодове'!L13&lt;&gt;"" ),"9б,г",IF(AND('Програма-кодове'!Z13='Програма-кодове'!AB13,'Програма-кодове'!Z13&lt;&gt;"" ),"12а,в","Дублаж"))))</f>
        <v>-</v>
      </c>
      <c r="BQ14" s="30" t="str">
        <f>IF(COUNTIF('Програма-кодове'!$C13:$AD13,$BQ$2)=0,"-",IF(COUNTIF('Програма-кодове'!$C13:$AD13,$BQ$2)=1,"10б,в,г","Дублаж"))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IF(COUNTIF('Програма-кодове'!$C13:$AD13,$BR$2)=0,"-",IF(COUNTIF('Програма-кодове'!$C13:$AD13,$BR$2)=1,INDEX('Програма-кодове'!$C$1:$AD$1,1,MATCH($BR$2,'Програма-кодове'!$C13:$AD13,0)),"Дублаж"))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IF('Програма-кодове'!W13='Програма-кодове'!X13,"11б,в","Дублаж")))</f>
        <v>-</v>
      </c>
      <c r="BT14" s="30" t="str">
        <f>IF(COUNTIF('Програма-кодове'!$C13:$AD13,$BT$2)=0,"-",IF(COUNTIF('Програма-кодове'!$C13:$AD13,$BT$2)=1,INDEX('Програма-кодове'!$C$1:$AD$1,1,MATCH($BT$2,'Програма-кодове'!$C13:$AD13,0)),"Дублаж"))</f>
        <v>-</v>
      </c>
      <c r="BU14" s="193" t="str">
        <f t="shared" si="18"/>
        <v>-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 t="str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-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10а</v>
      </c>
      <c r="BY14" s="30" t="str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-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9г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9а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10д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  <c r="CF14" s="30" t="str">
        <f>IF(COUNTIF('Програма-кодове'!$C13:$AD13,$CF$2)=0,"-",IF(COUNTIF('Програма-кодове'!$C13:$AD13,$CF$2)=1,INDEX('Програма-кодове'!$C$1:$AD$1,1,MATCH($CF$2,'Програма-кодове'!$C13:$AD13,0)),"Дублаж"))</f>
        <v>-</v>
      </c>
    </row>
    <row r="15" spans="1:84" ht="11.95" customHeight="1">
      <c r="A15" s="410"/>
      <c r="B15" s="329">
        <v>6</v>
      </c>
      <c r="C15" s="193" t="str">
        <f t="shared" si="3"/>
        <v>-</v>
      </c>
      <c r="D15" s="20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12г</v>
      </c>
      <c r="E15" s="20" t="str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8д</v>
      </c>
      <c r="F15" s="346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346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9г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10а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12а</v>
      </c>
      <c r="J15" s="363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2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8в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11в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11б</v>
      </c>
      <c r="N15" s="20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7</v>
      </c>
      <c r="O15" s="20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9д</v>
      </c>
      <c r="P15" s="363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8a</v>
      </c>
      <c r="Q15" s="20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10в</v>
      </c>
      <c r="R15" s="193" t="str">
        <f t="shared" si="0"/>
        <v>-</v>
      </c>
      <c r="S15" s="193" t="str">
        <f t="shared" si="4"/>
        <v>-</v>
      </c>
      <c r="T15" s="193" t="str">
        <f t="shared" si="5"/>
        <v>-</v>
      </c>
      <c r="U15" s="359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-</v>
      </c>
      <c r="V15" s="338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20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5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8г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12в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-</v>
      </c>
      <c r="AA15" s="193" t="str">
        <f t="shared" si="6"/>
        <v>8б</v>
      </c>
      <c r="AB15" s="193" t="str">
        <f t="shared" si="7"/>
        <v>-</v>
      </c>
      <c r="AC15" s="193" t="str">
        <f t="shared" si="8"/>
        <v>-</v>
      </c>
      <c r="AD15" s="193" t="str">
        <f t="shared" si="9"/>
        <v>-</v>
      </c>
      <c r="AE15" s="193" t="str">
        <f t="shared" si="10"/>
        <v>-</v>
      </c>
      <c r="AF15" s="193" t="str">
        <f t="shared" si="11"/>
        <v>-</v>
      </c>
      <c r="AG15" s="193" t="str">
        <f t="shared" si="12"/>
        <v>8б</v>
      </c>
      <c r="AH15" s="193">
        <f t="shared" si="13"/>
        <v>6</v>
      </c>
      <c r="AI15" s="338" t="str">
        <f t="shared" si="14"/>
        <v>9а</v>
      </c>
      <c r="AJ15" s="193" t="str">
        <f t="shared" si="15"/>
        <v>10г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9в</v>
      </c>
      <c r="AL15" s="20" t="str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-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11г</v>
      </c>
      <c r="AN15" s="19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12б</v>
      </c>
      <c r="AO15" s="193" t="str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10б</v>
      </c>
      <c r="AP15" s="19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193" t="str">
        <f t="shared" si="16"/>
        <v>9б</v>
      </c>
      <c r="AR15" s="19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11д</v>
      </c>
      <c r="AS15" s="19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-</v>
      </c>
      <c r="AT15" s="19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-</v>
      </c>
      <c r="AU15" s="196" t="str">
        <f t="shared" si="22"/>
        <v>10д</v>
      </c>
      <c r="AV15" s="359">
        <f t="shared" si="23"/>
        <v>6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12д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11а</v>
      </c>
      <c r="AY15" s="196" t="str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-</v>
      </c>
      <c r="AZ15" s="193" t="str">
        <f t="shared" si="17"/>
        <v>-</v>
      </c>
      <c r="BA15" s="30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-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-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-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8б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 t="str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-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30">
        <f>IF(COUNTIF('Програма-кодове'!$C14:$AD14,$BN$2)=0,"-",IF(COUNTIF('Програма-кодове'!$C14:$AD14,$BN$2)=1,INDEX('Програма-кодове'!$C$1:$AD$1,1,MATCH($BN$2,'Програма-кодове'!$C14:$AD14,0)),"Дублаж"))</f>
        <v>6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K14='Програма-кодове'!M14,'Програма-кодове'!K14&lt;&gt;""),"9а, в", IF(AND('Програма-кодове'!P14='Програма-кодове'!T14,'Програма-кодове'!P14&lt;&gt;""),"10а,д", "Дублаж"))))</f>
        <v>-</v>
      </c>
      <c r="BP15" s="77" t="str">
        <f>IF(COUNTIF('Програма-кодове'!$C14:$AD14,$BP$2)=0,"-",IF(COUNTIF('Програма-кодове'!$C14:$AD14,$BP$2)=1,INDEX('Програма-кодове'!$C$1:$AD$1,1,MATCH($BP$2,'Програма-кодове'!$C14:$AD14,0)),IF(AND('Програма-кодове'!L14='Програма-кодове'!N14,'Програма-кодове'!L14&lt;&gt;"" ),"9б,г",IF(AND('Програма-кодове'!Z14='Програма-кодове'!AB14,'Програма-кодове'!Z14&lt;&gt;"" ),"12а,в","Дублаж"))))</f>
        <v>-</v>
      </c>
      <c r="BQ15" s="30" t="str">
        <f>IF(COUNTIF('Програма-кодове'!$C14:$AD14,$BQ$2)=0,"-",IF(COUNTIF('Програма-кодове'!$C14:$AD14,$BQ$2)=1,"10б,в,г","Дублаж"))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IF(COUNTIF('Програма-кодове'!$C14:$AD14,$BR$2)=0,"-",IF(COUNTIF('Програма-кодове'!$C14:$AD14,$BR$2)=1,INDEX('Програма-кодове'!$C$1:$AD$1,1,MATCH($BR$2,'Програма-кодове'!$C14:$AD14,0)),"Дублаж"))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IF('Програма-кодове'!W14='Програма-кодове'!X14,"11б,в","Дублаж")))</f>
        <v>-</v>
      </c>
      <c r="BT15" s="30" t="str">
        <f>IF(COUNTIF('Програма-кодове'!$C14:$AD14,$BT$2)=0,"-",IF(COUNTIF('Програма-кодове'!$C14:$AD14,$BT$2)=1,INDEX('Програма-кодове'!$C$1:$AD$1,1,MATCH($BT$2,'Програма-кодове'!$C14:$AD14,0)),"Дублаж"))</f>
        <v>-</v>
      </c>
      <c r="BU15" s="193" t="str">
        <f t="shared" si="18"/>
        <v>-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 t="str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-</v>
      </c>
      <c r="BX15" s="30" t="str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10д</v>
      </c>
      <c r="BY15" s="30" t="str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-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9а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-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9б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10г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  <c r="CF15" s="30" t="str">
        <f>IF(COUNTIF('Програма-кодове'!$C14:$AD14,$CF$2)=0,"-",IF(COUNTIF('Програма-кодове'!$C14:$AD14,$CF$2)=1,INDEX('Програма-кодове'!$C$1:$AD$1,1,MATCH($CF$2,'Програма-кодове'!$C14:$AD14,0)),"Дублаж"))</f>
        <v>-</v>
      </c>
    </row>
    <row r="16" spans="1:84" ht="13.6" customHeight="1" thickBot="1">
      <c r="A16" s="411"/>
      <c r="B16" s="330">
        <v>7</v>
      </c>
      <c r="C16" s="310" t="str">
        <f t="shared" si="3"/>
        <v>-</v>
      </c>
      <c r="D16" s="312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12г</v>
      </c>
      <c r="E16" s="312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8д</v>
      </c>
      <c r="F16" s="347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47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9г</v>
      </c>
      <c r="H16" s="312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10а</v>
      </c>
      <c r="I16" s="312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12б</v>
      </c>
      <c r="J16" s="364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12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8в</v>
      </c>
      <c r="L16" s="312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11в</v>
      </c>
      <c r="M16" s="312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11б</v>
      </c>
      <c r="N16" s="312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8г</v>
      </c>
      <c r="O16" s="312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9д</v>
      </c>
      <c r="P16" s="364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8a</v>
      </c>
      <c r="Q16" s="312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-</v>
      </c>
      <c r="R16" s="310" t="str">
        <f t="shared" si="0"/>
        <v>-</v>
      </c>
      <c r="S16" s="310" t="str">
        <f t="shared" si="4"/>
        <v>-</v>
      </c>
      <c r="T16" s="310" t="str">
        <f>IF(BO16&lt;&gt;"-",IF(AND(BP16="-",BU16="-"),BO16,IF(AND(BO16="11в",BP16="11б"),"11б,в",IF(AND(BO16="12б",BP16="12д"),"12б,д",IF(AND(BO16="12в",BP16="12б"),"12б,в")))),IF(BP16&lt;&gt;"-",IF(BU16="-",BP16,"Дублаж"),BU16))</f>
        <v>-</v>
      </c>
      <c r="U16" s="360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-</v>
      </c>
      <c r="V16" s="339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12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11д</v>
      </c>
      <c r="X16" s="312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10б</v>
      </c>
      <c r="Y16" s="312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12в</v>
      </c>
      <c r="Z16" s="312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-</v>
      </c>
      <c r="AA16" s="310" t="str">
        <f t="shared" si="6"/>
        <v>-</v>
      </c>
      <c r="AB16" s="310" t="str">
        <f t="shared" si="7"/>
        <v>-</v>
      </c>
      <c r="AC16" s="310" t="str">
        <f t="shared" si="8"/>
        <v>-</v>
      </c>
      <c r="AD16" s="310" t="str">
        <f t="shared" si="9"/>
        <v>-</v>
      </c>
      <c r="AE16" s="310" t="str">
        <f t="shared" si="10"/>
        <v>-</v>
      </c>
      <c r="AF16" s="310" t="str">
        <f t="shared" si="11"/>
        <v>9а</v>
      </c>
      <c r="AG16" s="310" t="str">
        <f t="shared" si="12"/>
        <v>9а</v>
      </c>
      <c r="AH16" s="310" t="str">
        <f t="shared" si="13"/>
        <v>-</v>
      </c>
      <c r="AI16" s="339" t="str">
        <f t="shared" si="14"/>
        <v>12а</v>
      </c>
      <c r="AJ16" s="310" t="str">
        <f t="shared" si="15"/>
        <v>10в</v>
      </c>
      <c r="AK16" s="312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11г</v>
      </c>
      <c r="AL16" s="312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-</v>
      </c>
      <c r="AM16" s="312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11а</v>
      </c>
      <c r="AN16" s="310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12д</v>
      </c>
      <c r="AO16" s="310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10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10" t="str">
        <f t="shared" si="16"/>
        <v>10д</v>
      </c>
      <c r="AR16" s="310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-</v>
      </c>
      <c r="AS16" s="310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9б</v>
      </c>
      <c r="AT16" s="310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-</v>
      </c>
      <c r="AU16" s="195" t="str">
        <f t="shared" si="22"/>
        <v>10г</v>
      </c>
      <c r="AV16" s="360" t="str">
        <f t="shared" si="23"/>
        <v>8б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-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9в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-</v>
      </c>
      <c r="AZ16" s="310" t="str">
        <f t="shared" si="17"/>
        <v>-</v>
      </c>
      <c r="BA16" s="30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-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9а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30" t="str">
        <f>IF(COUNTIF('Програма-кодове'!$C15:$AD15,$BN$2)=0,"-",IF(COUNTIF('Програма-кодове'!$C15:$AD15,$BN$2)=1,INDEX('Програма-кодове'!$C$1:$AD$1,1,MATCH($BN$2,'Програма-кодове'!$C15:$AD15,0)),"Дублаж"))</f>
        <v>-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K15='Програма-кодове'!M15,'Програма-кодове'!K15&lt;&gt;""),"9а, в", IF(AND('Програма-кодове'!P15='Програма-кодове'!T15,'Програма-кодове'!P15&lt;&gt;""),"10а,д", "Дублаж"))))</f>
        <v>-</v>
      </c>
      <c r="BP16" s="77" t="str">
        <f>IF(COUNTIF('Програма-кодове'!$C15:$AD15,$BP$2)=0,"-",IF(COUNTIF('Програма-кодове'!$C15:$AD15,$BP$2)=1,INDEX('Програма-кодове'!$C$1:$AD$1,1,MATCH($BP$2,'Програма-кодове'!$C15:$AD15,0)),IF(AND('Програма-кодове'!L15='Програма-кодове'!N15,'Програма-кодове'!L15&lt;&gt;"" ),"9б,г",IF(AND('Програма-кодове'!Z15='Програма-кодове'!AB15,'Програма-кодове'!Z15&lt;&gt;"" ),"12а,в","Дублаж"))))</f>
        <v>-</v>
      </c>
      <c r="BQ16" s="30" t="str">
        <f>IF(COUNTIF('Програма-кодове'!$C15:$AD15,$BQ$2)=0,"-",IF(COUNTIF('Програма-кодове'!$C15:$AD15,$BQ$2)=1,"10б,в,г","Дублаж"))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IF(COUNTIF('Програма-кодове'!$C15:$AD15,$BR$2)=0,"-",IF(COUNTIF('Програма-кодове'!$C15:$AD15,$BR$2)=1,INDEX('Програма-кодове'!$C$1:$AD$1,1,MATCH($BR$2,'Програма-кодове'!$C15:$AD15,0)),"Дублаж"))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IF('Програма-кодове'!W15='Програма-кодове'!X15,"11б,в","Дублаж")))</f>
        <v>-</v>
      </c>
      <c r="BT16" s="30" t="str">
        <f>IF(COUNTIF('Програма-кодове'!$C15:$AD15,$BT$2)=0,"-",IF(COUNTIF('Програма-кодове'!$C15:$AD15,$BT$2)=1,INDEX('Програма-кодове'!$C$1:$AD$1,1,MATCH($BT$2,'Програма-кодове'!$C15:$AD15,0)),"Дублаж"))</f>
        <v>-</v>
      </c>
      <c r="BU16" s="193" t="str">
        <f t="shared" si="18"/>
        <v>-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-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10г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8б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12а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10д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-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10в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  <c r="CF16" s="30" t="str">
        <f>IF(COUNTIF('Програма-кодове'!$C15:$AD15,$CF$2)=0,"-",IF(COUNTIF('Програма-кодове'!$C15:$AD15,$CF$2)=1,INDEX('Програма-кодове'!$C$1:$AD$1,1,MATCH($CF$2,'Програма-кодове'!$C15:$AD15,0)),"Дублаж"))</f>
        <v>-</v>
      </c>
    </row>
    <row r="17" spans="1:84" ht="13.6" customHeight="1">
      <c r="A17" s="407" t="s">
        <v>26</v>
      </c>
      <c r="B17" s="313">
        <v>1</v>
      </c>
      <c r="C17" s="311" t="str">
        <f t="shared" si="3"/>
        <v>-</v>
      </c>
      <c r="D17" s="196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12б</v>
      </c>
      <c r="E17" s="196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8в</v>
      </c>
      <c r="F17" s="196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11в</v>
      </c>
      <c r="G17" s="348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9в</v>
      </c>
      <c r="H17" s="348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19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12в</v>
      </c>
      <c r="J17" s="341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-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-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8б</v>
      </c>
      <c r="N17" s="361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9д</v>
      </c>
      <c r="P17" s="196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196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10а</v>
      </c>
      <c r="R17" s="311" t="str">
        <f t="shared" si="0"/>
        <v>-</v>
      </c>
      <c r="S17" s="311">
        <f t="shared" si="4"/>
        <v>5</v>
      </c>
      <c r="T17" s="311" t="str">
        <f t="shared" si="5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12а</v>
      </c>
      <c r="V17" s="196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-</v>
      </c>
      <c r="W17" s="196" t="str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-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8д</v>
      </c>
      <c r="Y17" s="373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-</v>
      </c>
      <c r="Z17" s="194" t="str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-</v>
      </c>
      <c r="AA17" s="311" t="str">
        <f t="shared" si="6"/>
        <v>8г</v>
      </c>
      <c r="AB17" s="373" t="str">
        <f t="shared" si="7"/>
        <v>9г</v>
      </c>
      <c r="AC17" s="311" t="str">
        <f t="shared" si="8"/>
        <v>9б</v>
      </c>
      <c r="AD17" s="311" t="str">
        <f t="shared" si="9"/>
        <v>9б</v>
      </c>
      <c r="AE17" s="311" t="str">
        <f>IF(BJ17&lt;&gt;"-",IF(AND(BC17="-",BH17="-",BK17="-"),BJ17,"Дублаж"),IF(BC17&lt;&gt;"-",IF(AND(BH17="-",BK17="-"),BC17,"Дублаж"),IF(BH17&lt;&gt;"-",IF(BK17="-",BH17,"Дублаж"),BK17)))</f>
        <v>8г</v>
      </c>
      <c r="AF17" s="311" t="str">
        <f>IF(BE17&lt;&gt;"-",IF(AND(BF17="-",BG17="-"),BE17,"Дублаж"),IF(AND(BF17&lt;&gt;"-",BG17&lt;&gt;"-"),"Дублаж",IF(BF17&lt;&gt;"-",BF17,BG17)))</f>
        <v>12г</v>
      </c>
      <c r="AG17" s="311" t="str">
        <f>IF(BC17&lt;&gt;"-",IF(AND(BF17="-",BI17="-",BL17="-"),BC17,"Дублаж"),IF(BF17&lt;&gt;"-",IF(AND(BI17="-",BL17="-"),BF17,"Дублаж"),IF(BI17&lt;&gt;"-",IF(BL17="-",BI17,"Дублаж"),BL17)))</f>
        <v>-</v>
      </c>
      <c r="AH17" s="311" t="str">
        <f>IF(AND(BE17&lt;&gt;"-",BN17&lt;&gt;"-"),"Дублаж",IF(BE17&lt;&gt;"-",BE17,BN17))</f>
        <v>12г</v>
      </c>
      <c r="AI17" s="340" t="str">
        <f t="shared" si="14"/>
        <v>9а</v>
      </c>
      <c r="AJ17" s="311" t="str">
        <f t="shared" si="15"/>
        <v>10г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11б</v>
      </c>
      <c r="AL17" s="340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-</v>
      </c>
      <c r="AM17" s="196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-</v>
      </c>
      <c r="AN17" s="311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11г</v>
      </c>
      <c r="AO17" s="311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-</v>
      </c>
      <c r="AP17" s="311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11" t="str">
        <f t="shared" ref="AQ17:AQ23" si="30">IF(AND(CB17&lt;&gt;"-",CC17&lt;&gt;"-"),"Дублаж",IF(CB17&lt;&gt;"-",CB17,CC17))</f>
        <v>10д</v>
      </c>
      <c r="AR17" s="311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-</v>
      </c>
      <c r="AS17" s="311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11д</v>
      </c>
      <c r="AT17" s="311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10б</v>
      </c>
      <c r="AU17" s="196">
        <f t="shared" ref="AU17:AU21" si="31">IF(AND(BW17&lt;&gt;"-",BX17&lt;&gt;"-"),"Дублаж",IF(BW17&lt;&gt;"-",BW17,BX17))</f>
        <v>6</v>
      </c>
      <c r="AV17" s="361" t="str">
        <f>IF(BY17&lt;&gt;"-",IF(AND(BG17="-",BK17="-",BL17="-",BN17="-"),BY17,"Дублаж"),IF(BG17&lt;&gt;"-",IF(AND(BK17="-",BL17="-",BN17="-"),BG17,"Дублаж"),IF(BK17&lt;&gt;"-",IF(AND(BL17="-",BN17="-"),BK17,"Дублаж"),IF(BL17&lt;&gt;"-",IF(BN17="-", BL17, BN17),BN17))))</f>
        <v>8a</v>
      </c>
      <c r="AW17" s="196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10в</v>
      </c>
      <c r="AX17" s="196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7</v>
      </c>
      <c r="AY17" s="196" t="str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-</v>
      </c>
      <c r="AZ17" s="341" t="str">
        <f t="shared" si="17"/>
        <v>12д</v>
      </c>
      <c r="BA17" s="30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9б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12г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-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8г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 t="str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-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9г</v>
      </c>
      <c r="BN17" s="30" t="str">
        <f>IF(COUNTIF('Програма-кодове'!$C16:$AD16,$BN$2)=0,"-",IF(COUNTIF('Програма-кодове'!$C16:$AD16,$BN$2)=1,INDEX('Програма-кодове'!$C$1:$AD$1,1,MATCH($BN$2,'Програма-кодове'!$C16:$AD16,0)),"Дублаж"))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K16='Програма-кодове'!M16,'Програма-кодове'!K16&lt;&gt;""),"9а, в", IF(AND('Програма-кодове'!P16='Програма-кодове'!T16,'Програма-кодове'!P16&lt;&gt;""),"10а,д", "Дублаж"))))</f>
        <v>-</v>
      </c>
      <c r="BP17" s="77" t="str">
        <f>IF(COUNTIF('Програма-кодове'!$C16:$AD16,$BP$2)=0,"-",IF(COUNTIF('Програма-кодове'!$C16:$AD16,$BP$2)=1,INDEX('Програма-кодове'!$C$1:$AD$1,1,MATCH($BP$2,'Програма-кодове'!$C16:$AD16,0)),IF(AND('Програма-кодове'!L16='Програма-кодове'!N16,'Програма-кодове'!L16&lt;&gt;"" ),"9б,г",IF(AND('Програма-кодове'!Z16='Програма-кодове'!AB16,'Програма-кодове'!Z16&lt;&gt;"" ),"12а,в","Дублаж"))))</f>
        <v>-</v>
      </c>
      <c r="BQ17" s="30" t="str">
        <f>IF(COUNTIF('Програма-кодове'!$C16:$AD16,$BQ$2)=0,"-",IF(COUNTIF('Програма-кодове'!$C16:$AD16,$BQ$2)=1,"10б,в,г","Дублаж"))</f>
        <v>-</v>
      </c>
      <c r="BR17" s="30">
        <f>IF(COUNTIF('Програма-кодове'!$C16:$AD16,$BR$2)=0,"-",IF(COUNTIF('Програма-кодове'!$C16:$AD16,$BR$2)=1,INDEX('Програма-кодове'!$C$1:$AD$1,1,MATCH($BR$2,'Програма-кодове'!$C16:$AD16,0)),"Дублаж"))</f>
        <v>5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IF('Програма-кодове'!W16='Програма-кодове'!X16,"11б,в","Дублаж")))</f>
        <v>-</v>
      </c>
      <c r="BT17" s="30" t="str">
        <f>IF(COUNTIF('Програма-кодове'!$C16:$AD16,$BT$2)=0,"-",IF(COUNTIF('Програма-кодове'!$C16:$AD16,$BT$2)=1,INDEX('Програма-кодове'!$C$1:$AD$1,1,MATCH($BT$2,'Програма-кодове'!$C16:$AD16,0)),"Дублаж"))</f>
        <v>12д</v>
      </c>
      <c r="BU17" s="193" t="str">
        <f t="shared" si="18"/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 t="str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-</v>
      </c>
      <c r="BX17" s="30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6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8a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9а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10д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10г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  <c r="CF17" s="30" t="str">
        <f>IF(COUNTIF('Програма-кодове'!$C16:$AD16,$CF$2)=0,"-",IF(COUNTIF('Програма-кодове'!$C16:$AD16,$CF$2)=1,INDEX('Програма-кодове'!$C$1:$AD$1,1,MATCH($CF$2,'Програма-кодове'!$C16:$AD16,0)),"Дублаж"))</f>
        <v>-</v>
      </c>
    </row>
    <row r="18" spans="1:84" ht="13.6" customHeight="1">
      <c r="A18" s="407"/>
      <c r="B18" s="314">
        <v>2</v>
      </c>
      <c r="C18" s="193" t="str">
        <f t="shared" si="3"/>
        <v>-</v>
      </c>
      <c r="D18" s="194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6</v>
      </c>
      <c r="E18" s="194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8д</v>
      </c>
      <c r="F18" s="194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11в</v>
      </c>
      <c r="G18" s="346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9в</v>
      </c>
      <c r="H18" s="346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1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12в</v>
      </c>
      <c r="J18" s="337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-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8в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8б</v>
      </c>
      <c r="N18" s="359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94" t="str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-</v>
      </c>
      <c r="P18" s="194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194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10а</v>
      </c>
      <c r="R18" s="193" t="str">
        <f t="shared" si="0"/>
        <v>-</v>
      </c>
      <c r="S18" s="193" t="str">
        <f t="shared" si="4"/>
        <v>-</v>
      </c>
      <c r="T18" s="193" t="str">
        <f t="shared" si="5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12а</v>
      </c>
      <c r="V18" s="194" t="str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-</v>
      </c>
      <c r="W18" s="194" t="str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-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8г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9б</v>
      </c>
      <c r="Z18" s="194" t="str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-</v>
      </c>
      <c r="AA18" s="193" t="str">
        <f t="shared" si="6"/>
        <v>8a</v>
      </c>
      <c r="AB18" s="193" t="str">
        <f t="shared" si="7"/>
        <v>-</v>
      </c>
      <c r="AC18" s="193" t="str">
        <f t="shared" si="8"/>
        <v>9г</v>
      </c>
      <c r="AD18" s="193" t="str">
        <f t="shared" si="9"/>
        <v>9г</v>
      </c>
      <c r="AE18" s="193" t="str">
        <f t="shared" si="10"/>
        <v>8a</v>
      </c>
      <c r="AF18" s="193" t="str">
        <f t="shared" si="11"/>
        <v>-</v>
      </c>
      <c r="AG18" s="193">
        <f t="shared" si="12"/>
        <v>7</v>
      </c>
      <c r="AH18" s="193" t="str">
        <f t="shared" si="13"/>
        <v>-</v>
      </c>
      <c r="AI18" s="338">
        <f t="shared" si="14"/>
        <v>5</v>
      </c>
      <c r="AJ18" s="193" t="str">
        <f t="shared" si="15"/>
        <v>10в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12б</v>
      </c>
      <c r="AL18" s="338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-</v>
      </c>
      <c r="AM18" s="194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10б</v>
      </c>
      <c r="AN18" s="94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9д</v>
      </c>
      <c r="AO18" s="94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-</v>
      </c>
      <c r="AP18" s="94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94" t="str">
        <f t="shared" si="30"/>
        <v>10д</v>
      </c>
      <c r="AR18" s="94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11г</v>
      </c>
      <c r="AS18" s="94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11д</v>
      </c>
      <c r="AT18" s="94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12д</v>
      </c>
      <c r="AU18" s="194" t="str">
        <f t="shared" si="31"/>
        <v>9а</v>
      </c>
      <c r="AV18" s="359">
        <f t="shared" si="23"/>
        <v>7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10г</v>
      </c>
      <c r="AX18" s="194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11б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-</v>
      </c>
      <c r="AZ18" s="337" t="str">
        <f t="shared" si="17"/>
        <v>12г</v>
      </c>
      <c r="BA18" s="30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9г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-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8a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7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30" t="str">
        <f>IF(COUNTIF('Програма-кодове'!$C17:$AD17,$BN$2)=0,"-",IF(COUNTIF('Програма-кодове'!$C17:$AD17,$BN$2)=1,INDEX('Програма-кодове'!$C$1:$AD$1,1,MATCH($BN$2,'Програма-кодове'!$C17:$AD17,0)),"Дублаж"))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K17='Програма-кодове'!M17,'Програма-кодове'!K17&lt;&gt;""),"9а, в", IF(AND('Програма-кодове'!P17='Програма-кодове'!T17,'Програма-кодове'!P17&lt;&gt;""),"10а,д", "Дублаж"))))</f>
        <v>-</v>
      </c>
      <c r="BP18" s="77" t="str">
        <f>IF(COUNTIF('Програма-кодове'!$C17:$AD17,$BP$2)=0,"-",IF(COUNTIF('Програма-кодове'!$C17:$AD17,$BP$2)=1,INDEX('Програма-кодове'!$C$1:$AD$1,1,MATCH($BP$2,'Програма-кодове'!$C17:$AD17,0)),IF(AND('Програма-кодове'!L17='Програма-кодове'!N17,'Програма-кодове'!L17&lt;&gt;"" ),"9б,г",IF(AND('Програма-кодове'!Z17='Програма-кодове'!AB17,'Програма-кодове'!Z17&lt;&gt;"" ),"12а,в","Дублаж"))))</f>
        <v>-</v>
      </c>
      <c r="BQ18" s="30" t="str">
        <f>IF(COUNTIF('Програма-кодове'!$C17:$AD17,$BQ$2)=0,"-",IF(COUNTIF('Програма-кодове'!$C17:$AD17,$BQ$2)=1,"10б,в,г","Дублаж"))</f>
        <v>-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IF(COUNTIF('Програма-кодове'!$C17:$AD17,$BR$2)=0,"-",IF(COUNTIF('Програма-кодове'!$C17:$AD17,$BR$2)=1,INDEX('Програма-кодове'!$C$1:$AD$1,1,MATCH($BR$2,'Програма-кодове'!$C17:$AD17,0)),"Дублаж"))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IF('Програма-кодове'!W17='Програма-кодове'!X17,"11б,в","Дублаж")))</f>
        <v>-</v>
      </c>
      <c r="BT18" s="30" t="str">
        <f>IF(COUNTIF('Програма-кодове'!$C17:$AD17,$BT$2)=0,"-",IF(COUNTIF('Програма-кодове'!$C17:$AD17,$BT$2)=1,INDEX('Програма-кодове'!$C$1:$AD$1,1,MATCH($BT$2,'Програма-кодове'!$C17:$AD17,0)),"Дублаж"))</f>
        <v>12г</v>
      </c>
      <c r="BU18" s="193" t="str">
        <f t="shared" si="18"/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-</v>
      </c>
      <c r="BX18" s="30" t="str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9а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-</v>
      </c>
      <c r="CA18" s="30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5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10д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-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10в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  <c r="CF18" s="30" t="str">
        <f>IF(COUNTIF('Програма-кодове'!$C17:$AD17,$CF$2)=0,"-",IF(COUNTIF('Програма-кодове'!$C17:$AD17,$CF$2)=1,INDEX('Програма-кодове'!$C$1:$AD$1,1,MATCH($CF$2,'Програма-кодове'!$C17:$AD17,0)),"Дублаж"))</f>
        <v>-</v>
      </c>
    </row>
    <row r="19" spans="1:84" ht="13.6" customHeight="1">
      <c r="A19" s="407"/>
      <c r="B19" s="314">
        <v>3</v>
      </c>
      <c r="C19" s="193" t="str">
        <f t="shared" si="3"/>
        <v>-</v>
      </c>
      <c r="D19" s="194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6</v>
      </c>
      <c r="E19" s="194" t="str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8г</v>
      </c>
      <c r="F19" s="346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-</v>
      </c>
      <c r="G19" s="346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5</v>
      </c>
      <c r="H19" s="194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10д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12г</v>
      </c>
      <c r="J19" s="194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-</v>
      </c>
      <c r="K19" s="194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8в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11д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194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 t="str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9б</v>
      </c>
      <c r="P19" s="194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-</v>
      </c>
      <c r="Q19" s="194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-</v>
      </c>
      <c r="R19" s="193" t="str">
        <f t="shared" si="0"/>
        <v>10б,в,г</v>
      </c>
      <c r="S19" s="193" t="str">
        <f t="shared" si="4"/>
        <v>10б,в,г</v>
      </c>
      <c r="T19" s="342" t="str">
        <f t="shared" si="5"/>
        <v>10б,в,г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9а</v>
      </c>
      <c r="V19" s="194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-</v>
      </c>
      <c r="W19" s="342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-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8a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12в</v>
      </c>
      <c r="Z19" s="194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7</v>
      </c>
      <c r="AA19" s="193" t="str">
        <f t="shared" si="6"/>
        <v>-</v>
      </c>
      <c r="AB19" s="193" t="str">
        <f t="shared" si="7"/>
        <v>-</v>
      </c>
      <c r="AC19" s="193" t="str">
        <f t="shared" si="8"/>
        <v>11в</v>
      </c>
      <c r="AD19" s="193" t="str">
        <f t="shared" si="9"/>
        <v>11в</v>
      </c>
      <c r="AE19" s="193" t="str">
        <f t="shared" si="10"/>
        <v>8д</v>
      </c>
      <c r="AF19" s="193" t="str">
        <f t="shared" si="11"/>
        <v>12б</v>
      </c>
      <c r="AG19" s="193" t="str">
        <f t="shared" si="12"/>
        <v>8д</v>
      </c>
      <c r="AH19" s="193" t="str">
        <f t="shared" si="13"/>
        <v>12б</v>
      </c>
      <c r="AI19" s="193" t="str">
        <f t="shared" si="14"/>
        <v>-</v>
      </c>
      <c r="AJ19" s="193" t="str">
        <f t="shared" si="15"/>
        <v>10а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9в</v>
      </c>
      <c r="AL19" s="337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-</v>
      </c>
      <c r="AM19" s="194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12а</v>
      </c>
      <c r="AN19" s="193" t="str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-</v>
      </c>
      <c r="AO19" s="19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-</v>
      </c>
      <c r="AP19" s="19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193" t="str">
        <f t="shared" ref="AQ19" si="32">IF(AND(CB19&lt;&gt;"-",CC19&lt;&gt;"-"),"Дублаж",IF(CB19&lt;&gt;"-",CB19,CC19))</f>
        <v>12д</v>
      </c>
      <c r="AR19" s="19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9г</v>
      </c>
      <c r="AS19" s="19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11б</v>
      </c>
      <c r="AT19" s="19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9д</v>
      </c>
      <c r="AU19" s="194" t="str">
        <f t="shared" si="31"/>
        <v>11г</v>
      </c>
      <c r="AV19" s="194" t="str">
        <f t="shared" si="23"/>
        <v>-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-</v>
      </c>
      <c r="AX19" s="194" t="str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11а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-</v>
      </c>
      <c r="AZ19" s="337" t="str">
        <f t="shared" si="17"/>
        <v>10б,в,г</v>
      </c>
      <c r="BA19" s="30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8д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11в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12б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-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 t="str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-</v>
      </c>
      <c r="BN19" s="30" t="str">
        <f>IF(COUNTIF('Програма-кодове'!$C18:$AD18,$BN$2)=0,"-",IF(COUNTIF('Програма-кодове'!$C18:$AD18,$BN$2)=1,INDEX('Програма-кодове'!$C$1:$AD$1,1,MATCH($BN$2,'Програма-кодове'!$C18:$AD18,0)),"Дублаж"))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K18='Програма-кодове'!M18,'Програма-кодове'!K18&lt;&gt;""),"9а, в", IF(AND('Програма-кодове'!P18='Програма-кодове'!T18,'Програма-кодове'!P18&lt;&gt;""),"10а,д", "Дублаж"))))</f>
        <v>-</v>
      </c>
      <c r="BP19" s="77" t="str">
        <f>IF(COUNTIF('Програма-кодове'!$C18:$AD18,$BP$2)=0,"-",IF(COUNTIF('Програма-кодове'!$C18:$AD18,$BP$2)=1,INDEX('Програма-кодове'!$C$1:$AD$1,1,MATCH($BP$2,'Програма-кодове'!$C18:$AD18,0)),IF(AND('Програма-кодове'!L18='Програма-кодове'!N18,'Програма-кодове'!L18&lt;&gt;"" ),"9б,г",IF(AND('Програма-кодове'!Z18='Програма-кодове'!AB18,'Програма-кодове'!Z18&lt;&gt;"" ),"12а,в","Дублаж"))))</f>
        <v>-</v>
      </c>
      <c r="BQ19" s="30" t="str">
        <f>IF(COUNTIF('Програма-кодове'!$C18:$AD18,$BQ$2)=0,"-",IF(COUNTIF('Програма-кодове'!$C18:$AD18,$BQ$2)=1,"10б,в,г","Дублаж"))</f>
        <v>10б,в,г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IF(COUNTIF('Програма-кодове'!$C18:$AD18,$BR$2)=0,"-",IF(COUNTIF('Програма-кодове'!$C18:$AD18,$BR$2)=1,INDEX('Програма-кодове'!$C$1:$AD$1,1,MATCH($BR$2,'Програма-кодове'!$C18:$AD18,0)),"Дублаж"))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IF('Програма-кодове'!W18='Програма-кодове'!X18,"11б,в","Дублаж")))</f>
        <v>-</v>
      </c>
      <c r="BT19" s="30" t="str">
        <f>IF(COUNTIF('Програма-кодове'!$C18:$AD18,$BT$2)=0,"-",IF(COUNTIF('Програма-кодове'!$C18:$AD18,$BT$2)=1,INDEX('Програма-кодове'!$C$1:$AD$1,1,MATCH($BT$2,'Програма-кодове'!$C18:$AD18,0)),"Дублаж"))</f>
        <v>-</v>
      </c>
      <c r="BU19" s="193" t="str">
        <f t="shared" si="18"/>
        <v>10б,в,г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-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11г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-</v>
      </c>
      <c r="BZ19" s="30" t="str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-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12д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10а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  <c r="CF19" s="30" t="str">
        <f>IF(COUNTIF('Програма-кодове'!$C18:$AD18,$CF$2)=0,"-",IF(COUNTIF('Програма-кодове'!$C18:$AD18,$CF$2)=1,INDEX('Програма-кодове'!$C$1:$AD$1,1,MATCH($CF$2,'Програма-кодове'!$C18:$AD18,0)),"Дублаж"))</f>
        <v>-</v>
      </c>
    </row>
    <row r="20" spans="1:84" ht="11.95" customHeight="1">
      <c r="A20" s="407"/>
      <c r="B20" s="314">
        <v>4</v>
      </c>
      <c r="C20" s="193" t="str">
        <f t="shared" si="3"/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12а</v>
      </c>
      <c r="E20" s="194" t="str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-</v>
      </c>
      <c r="F20" s="196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9б</v>
      </c>
      <c r="G20" s="196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194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-</v>
      </c>
      <c r="I20" s="1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12г</v>
      </c>
      <c r="J20" s="194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8д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8в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11в</v>
      </c>
      <c r="M20" s="202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11б</v>
      </c>
      <c r="N20" s="194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8г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9г</v>
      </c>
      <c r="P20" s="363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363" t="str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-</v>
      </c>
      <c r="R20" s="193" t="str">
        <f t="shared" si="0"/>
        <v>10б,в,г</v>
      </c>
      <c r="S20" s="193" t="str">
        <f t="shared" si="4"/>
        <v>10б,в,г</v>
      </c>
      <c r="T20" s="342" t="str">
        <f t="shared" si="5"/>
        <v>10б,в,г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9а</v>
      </c>
      <c r="V20" s="194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-</v>
      </c>
      <c r="W20" s="342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-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-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10д</v>
      </c>
      <c r="AA20" s="193" t="str">
        <f t="shared" si="6"/>
        <v>8б</v>
      </c>
      <c r="AB20" s="193" t="str">
        <f t="shared" si="7"/>
        <v>-</v>
      </c>
      <c r="AC20" s="193" t="str">
        <f t="shared" si="8"/>
        <v>11г</v>
      </c>
      <c r="AD20" s="193" t="str">
        <f>BD20</f>
        <v>11г</v>
      </c>
      <c r="AE20" s="193" t="str">
        <f t="shared" si="10"/>
        <v>8б</v>
      </c>
      <c r="AF20" s="193" t="str">
        <f t="shared" si="11"/>
        <v>12в</v>
      </c>
      <c r="AG20" s="193" t="str">
        <f t="shared" si="12"/>
        <v>-</v>
      </c>
      <c r="AH20" s="193" t="str">
        <f t="shared" si="13"/>
        <v>12в</v>
      </c>
      <c r="AI20" s="338">
        <f t="shared" si="14"/>
        <v>7</v>
      </c>
      <c r="AJ20" s="338" t="str">
        <f t="shared" si="15"/>
        <v>-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9д</v>
      </c>
      <c r="AL20" s="337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-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12б</v>
      </c>
      <c r="AN20" s="193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11д</v>
      </c>
      <c r="AO20" s="193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-</v>
      </c>
      <c r="AP20" s="193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193" t="str">
        <f t="shared" si="30"/>
        <v>12д</v>
      </c>
      <c r="AR20" s="193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9в</v>
      </c>
      <c r="AS20" s="193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11а</v>
      </c>
      <c r="AT20" s="193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-</v>
      </c>
      <c r="AU20" s="194">
        <f t="shared" si="31"/>
        <v>5</v>
      </c>
      <c r="AV20" s="194">
        <f t="shared" si="23"/>
        <v>6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-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 t="str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10а</v>
      </c>
      <c r="AZ20" s="337" t="str">
        <f t="shared" si="17"/>
        <v>10б,в,г</v>
      </c>
      <c r="BA20" s="30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11г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12в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-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8б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 t="str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-</v>
      </c>
      <c r="BN20" s="30" t="str">
        <f>IF(COUNTIF('Програма-кодове'!$C19:$AD19,$BN$2)=0,"-",IF(COUNTIF('Програма-кодове'!$C19:$AD19,$BN$2)=1,INDEX('Програма-кодове'!$C$1:$AD$1,1,MATCH($BN$2,'Програма-кодове'!$C19:$AD19,0)),"Дублаж"))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K19='Програма-кодове'!M19,'Програма-кодове'!K19&lt;&gt;""),"9а, в", IF(AND('Програма-кодове'!P19='Програма-кодове'!T19,'Програма-кодове'!P19&lt;&gt;""),"10а,д", "Дублаж"))))</f>
        <v>-</v>
      </c>
      <c r="BP20" s="77" t="str">
        <f>IF(COUNTIF('Програма-кодове'!$C19:$AD19,$BP$2)=0,"-",IF(COUNTIF('Програма-кодове'!$C19:$AD19,$BP$2)=1,INDEX('Програма-кодове'!$C$1:$AD$1,1,MATCH($BP$2,'Програма-кодове'!$C19:$AD19,0)),IF(AND('Програма-кодове'!L19='Програма-кодове'!N19,'Програма-кодове'!L19&lt;&gt;"" ),"9б,г",IF(AND('Програма-кодове'!Z19='Програма-кодове'!AB19,'Програма-кодове'!Z19&lt;&gt;"" ),"12а,в","Дублаж"))))</f>
        <v>-</v>
      </c>
      <c r="BQ20" s="30" t="str">
        <f>IF(COUNTIF('Програма-кодове'!$C19:$AD19,$BQ$2)=0,"-",IF(COUNTIF('Програма-кодове'!$C19:$AD19,$BQ$2)=1,"10б,в,г","Дублаж"))</f>
        <v>10б,в,г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IF(COUNTIF('Програма-кодове'!$C19:$AD19,$BR$2)=0,"-",IF(COUNTIF('Програма-кодове'!$C19:$AD19,$BR$2)=1,INDEX('Програма-кодове'!$C$1:$AD$1,1,MATCH($BR$2,'Програма-кодове'!$C19:$AD19,0)),"Дублаж"))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IF('Програма-кодове'!W19='Програма-кодове'!X19,"11б,в","Дублаж")))</f>
        <v>-</v>
      </c>
      <c r="BT20" s="30" t="str">
        <f>IF(COUNTIF('Програма-кодове'!$C19:$AD19,$BT$2)=0,"-",IF(COUNTIF('Програма-кодове'!$C19:$AD19,$BT$2)=1,INDEX('Програма-кодове'!$C$1:$AD$1,1,MATCH($BT$2,'Програма-кодове'!$C19:$AD19,0)),"Дублаж"))</f>
        <v>-</v>
      </c>
      <c r="BU20" s="193" t="str">
        <f t="shared" si="18"/>
        <v>10б,в,г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-</v>
      </c>
      <c r="BW20" s="30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5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6</v>
      </c>
      <c r="BZ20" s="30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7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-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12д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-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  <c r="CF20" s="30" t="str">
        <f>IF(COUNTIF('Програма-кодове'!$C19:$AD19,$CF$2)=0,"-",IF(COUNTIF('Програма-кодове'!$C19:$AD19,$CF$2)=1,INDEX('Програма-кодове'!$C$1:$AD$1,1,MATCH($CF$2,'Програма-кодове'!$C19:$AD19,0)),"Дублаж"))</f>
        <v>-</v>
      </c>
    </row>
    <row r="21" spans="1:84" ht="13.6" customHeight="1">
      <c r="A21" s="407"/>
      <c r="B21" s="314">
        <v>5</v>
      </c>
      <c r="C21" s="193" t="str">
        <f t="shared" si="3"/>
        <v>-</v>
      </c>
      <c r="D21" s="366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7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11д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194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10г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-</v>
      </c>
      <c r="J21" s="194" t="str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8д</v>
      </c>
      <c r="K21" s="342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-</v>
      </c>
      <c r="L21" s="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-</v>
      </c>
      <c r="M21" s="363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-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8г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9в</v>
      </c>
      <c r="P21" s="363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8a</v>
      </c>
      <c r="Q21" s="194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10б</v>
      </c>
      <c r="R21" s="366" t="str">
        <f t="shared" si="0"/>
        <v>10а,д</v>
      </c>
      <c r="S21" s="193" t="str">
        <f t="shared" si="4"/>
        <v>12г</v>
      </c>
      <c r="T21" s="342" t="str">
        <f t="shared" si="5"/>
        <v>10а,д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-</v>
      </c>
      <c r="V21" s="194" t="str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-</v>
      </c>
      <c r="W21" s="194" t="str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11г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8б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12б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11в</v>
      </c>
      <c r="AA21" s="193" t="str">
        <f t="shared" si="6"/>
        <v>8в</v>
      </c>
      <c r="AB21" s="193" t="str">
        <f t="shared" si="7"/>
        <v>-</v>
      </c>
      <c r="AC21" s="193" t="str">
        <f t="shared" si="8"/>
        <v>11а</v>
      </c>
      <c r="AD21" s="193" t="str">
        <f t="shared" si="9"/>
        <v>11а</v>
      </c>
      <c r="AE21" s="193" t="str">
        <f t="shared" si="10"/>
        <v>8в</v>
      </c>
      <c r="AF21" s="193" t="str">
        <f t="shared" si="11"/>
        <v>12в</v>
      </c>
      <c r="AG21" s="193" t="str">
        <f t="shared" si="12"/>
        <v>-</v>
      </c>
      <c r="AH21" s="193" t="str">
        <f t="shared" si="13"/>
        <v>12в</v>
      </c>
      <c r="AI21" s="338" t="str">
        <f t="shared" si="14"/>
        <v>12д</v>
      </c>
      <c r="AJ21" s="338" t="str">
        <f t="shared" si="15"/>
        <v>-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12а</v>
      </c>
      <c r="AL21" s="194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10в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9г</v>
      </c>
      <c r="AN21" s="94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6</v>
      </c>
      <c r="AO21" s="94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11б</v>
      </c>
      <c r="AP21" s="94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94" t="str">
        <f t="shared" si="30"/>
        <v>9б</v>
      </c>
      <c r="AR21" s="94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9д</v>
      </c>
      <c r="AS21" s="94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9а</v>
      </c>
      <c r="AT21" s="94" t="str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-</v>
      </c>
      <c r="AU21" s="194" t="str">
        <f t="shared" si="31"/>
        <v>-</v>
      </c>
      <c r="AV21" s="194">
        <f t="shared" si="23"/>
        <v>5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-</v>
      </c>
      <c r="AY21" s="194" t="str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-</v>
      </c>
      <c r="AZ21" s="337" t="str">
        <f t="shared" si="17"/>
        <v>-</v>
      </c>
      <c r="BA21" s="30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11а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12в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-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8в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30" t="str">
        <f>IF(COUNTIF('Програма-кодове'!$C20:$AD20,$BN$2)=0,"-",IF(COUNTIF('Програма-кодове'!$C20:$AD20,$BN$2)=1,INDEX('Програма-кодове'!$C$1:$AD$1,1,MATCH($BN$2,'Програма-кодове'!$C20:$AD20,0)),"Дублаж"))</f>
        <v>-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K20='Програма-кодове'!M20,'Програма-кодове'!K20&lt;&gt;""),"9а, в", IF(AND('Програма-кодове'!P20='Програма-кодове'!T20,'Програма-кодове'!P20&lt;&gt;""),"10а,д", "Дублаж"))))</f>
        <v>10а,д</v>
      </c>
      <c r="BP21" s="77" t="str">
        <f>IF(COUNTIF('Програма-кодове'!$C20:$AD20,$BP$2)=0,"-",IF(COUNTIF('Програма-кодове'!$C20:$AD20,$BP$2)=1,INDEX('Програма-кодове'!$C$1:$AD$1,1,MATCH($BP$2,'Програма-кодове'!$C20:$AD20,0)),IF(AND('Програма-кодове'!L20='Програма-кодове'!N20,'Програма-кодове'!L20&lt;&gt;"" ),"9б,г",IF(AND('Програма-кодове'!Z20='Програма-кодове'!AB20,'Програма-кодове'!Z20&lt;&gt;"" ),"12а,в","Дублаж"))))</f>
        <v>-</v>
      </c>
      <c r="BQ21" s="30" t="str">
        <f>IF(COUNTIF('Програма-кодове'!$C20:$AD20,$BQ$2)=0,"-",IF(COUNTIF('Програма-кодове'!$C20:$AD20,$BQ$2)=1,"10б,в,г","Дублаж"))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IF(COUNTIF('Програма-кодове'!$C20:$AD20,$BR$2)=0,"-",IF(COUNTIF('Програма-кодове'!$C20:$AD20,$BR$2)=1,INDEX('Програма-кодове'!$C$1:$AD$1,1,MATCH($BR$2,'Програма-кодове'!$C20:$AD20,0)),"Дублаж"))</f>
        <v>12г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IF('Програма-кодове'!W20='Програма-кодове'!X20,"11б,в","Дублаж")))</f>
        <v>-</v>
      </c>
      <c r="BT21" s="30" t="str">
        <f>IF(COUNTIF('Програма-кодове'!$C20:$AD20,$BT$2)=0,"-",IF(COUNTIF('Програма-кодове'!$C20:$AD20,$BT$2)=1,INDEX('Програма-кодове'!$C$1:$AD$1,1,MATCH($BT$2,'Програма-кодове'!$C20:$AD20,0)),"Дублаж"))</f>
        <v>-</v>
      </c>
      <c r="BU21" s="193" t="str">
        <f t="shared" si="18"/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-</v>
      </c>
      <c r="BY21" s="30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5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12д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-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9б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-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  <c r="CF21" s="30" t="str">
        <f>IF(COUNTIF('Програма-кодове'!$C20:$AD20,$CF$2)=0,"-",IF(COUNTIF('Програма-кодове'!$C20:$AD20,$CF$2)=1,INDEX('Програма-кодове'!$C$1:$AD$1,1,MATCH($CF$2,'Програма-кодове'!$C20:$AD20,0)),"Дублаж"))</f>
        <v>-</v>
      </c>
    </row>
    <row r="22" spans="1:84" ht="13.6" customHeight="1">
      <c r="A22" s="407"/>
      <c r="B22" s="314">
        <v>6</v>
      </c>
      <c r="C22" s="193" t="str">
        <f t="shared" si="3"/>
        <v>-</v>
      </c>
      <c r="D22" s="366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 t="str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8б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11д</v>
      </c>
      <c r="G22" s="194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 t="str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10г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12д</v>
      </c>
      <c r="J22" s="194" t="str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8д</v>
      </c>
      <c r="K22" s="342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-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11г</v>
      </c>
      <c r="M22" s="363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-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8г</v>
      </c>
      <c r="O22" s="194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9а</v>
      </c>
      <c r="P22" s="363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194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10б</v>
      </c>
      <c r="R22" s="366" t="str">
        <f t="shared" si="0"/>
        <v>10а,д</v>
      </c>
      <c r="S22" s="193" t="str">
        <f t="shared" si="4"/>
        <v>12г</v>
      </c>
      <c r="T22" s="342" t="str">
        <f t="shared" si="5"/>
        <v>10а,д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9д</v>
      </c>
      <c r="V22" s="194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6</v>
      </c>
      <c r="W22" s="194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5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10в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12б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-</v>
      </c>
      <c r="AA22" s="193" t="str">
        <f t="shared" si="6"/>
        <v>-</v>
      </c>
      <c r="AB22" s="193" t="str">
        <f t="shared" si="7"/>
        <v>-</v>
      </c>
      <c r="AC22" s="193" t="str">
        <f t="shared" si="8"/>
        <v>11б</v>
      </c>
      <c r="AD22" s="193" t="str">
        <f t="shared" si="9"/>
        <v>11б</v>
      </c>
      <c r="AE22" s="193">
        <f t="shared" si="10"/>
        <v>7</v>
      </c>
      <c r="AF22" s="193" t="str">
        <f t="shared" si="11"/>
        <v>12а</v>
      </c>
      <c r="AG22" s="193" t="str">
        <f t="shared" si="12"/>
        <v>-</v>
      </c>
      <c r="AH22" s="193" t="str">
        <f t="shared" si="13"/>
        <v>12а</v>
      </c>
      <c r="AI22" s="338" t="str">
        <f t="shared" si="14"/>
        <v>9г</v>
      </c>
      <c r="AJ22" s="338" t="str">
        <f t="shared" si="15"/>
        <v>-</v>
      </c>
      <c r="AK22" s="337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-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9б</v>
      </c>
      <c r="AM22" s="194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9в</v>
      </c>
      <c r="AN22" s="193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11а</v>
      </c>
      <c r="AO22" s="193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11в</v>
      </c>
      <c r="AP22" s="193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193" t="str">
        <f t="shared" si="30"/>
        <v>-</v>
      </c>
      <c r="AR22" s="193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-</v>
      </c>
      <c r="AS22" s="193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-</v>
      </c>
      <c r="AT22" s="193" t="str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-</v>
      </c>
      <c r="AU22" s="194" t="str">
        <f t="shared" ref="AU22" si="33">IF(AND(BW22&lt;&gt;"-",BX22&lt;&gt;"-"),"Дублаж",IF(BW22&lt;&gt;"-",BW22,BX22))</f>
        <v>-</v>
      </c>
      <c r="AV22" s="194">
        <f t="shared" ref="AV22" si="34">IF(BY22&lt;&gt;"-",IF(AND(BG22="-",BK22="-",BL22="-",BN22="-"),BY22,"Дублаж"),IF(BG22&lt;&gt;"-",IF(AND(BK22="-",BL22="-",BN22="-"),BG22,"Дублаж"),IF(BK22&lt;&gt;"-",IF(AND(BL22="-",BN22="-"),BK22,"Дублаж"),IF(BL22&lt;&gt;"-",IF(BN22="-", BL22, BN22),BN22))))</f>
        <v>7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-</v>
      </c>
      <c r="AX22" s="194" t="str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-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8в</v>
      </c>
      <c r="AZ22" s="337" t="str">
        <f t="shared" si="17"/>
        <v>12в</v>
      </c>
      <c r="BA22" s="30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-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11б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12а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7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30" t="str">
        <f>IF(COUNTIF('Програма-кодове'!$C21:$AD21,$BN$2)=0,"-",IF(COUNTIF('Програма-кодове'!$C21:$AD21,$BN$2)=1,INDEX('Програма-кодове'!$C$1:$AD$1,1,MATCH($BN$2,'Програма-кодове'!$C21:$AD21,0)),"Дублаж"))</f>
        <v>-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K21='Програма-кодове'!M21,'Програма-кодове'!K21&lt;&gt;""),"9а, в", IF(AND('Програма-кодове'!P21='Програма-кодове'!T21,'Програма-кодове'!P21&lt;&gt;""),"10а,д", "Дублаж"))))</f>
        <v>10а,д</v>
      </c>
      <c r="BP22" s="77" t="str">
        <f>IF(COUNTIF('Програма-кодове'!$C21:$AD21,$BP$2)=0,"-",IF(COUNTIF('Програма-кодове'!$C21:$AD21,$BP$2)=1,INDEX('Програма-кодове'!$C$1:$AD$1,1,MATCH($BP$2,'Програма-кодове'!$C21:$AD21,0)),IF(AND('Програма-кодове'!L21='Програма-кодове'!N21,'Програма-кодове'!L21&lt;&gt;"" ),"9б,г",IF(AND('Програма-кодове'!Z21='Програма-кодове'!AB21,'Програма-кодове'!Z21&lt;&gt;"" ),"12а,в","Дублаж"))))</f>
        <v>-</v>
      </c>
      <c r="BQ22" s="30" t="str">
        <f>IF(COUNTIF('Програма-кодове'!$C21:$AD21,$BQ$2)=0,"-",IF(COUNTIF('Програма-кодове'!$C21:$AD21,$BQ$2)=1,"10б,в,г","Дублаж"))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IF(COUNTIF('Програма-кодове'!$C21:$AD21,$BR$2)=0,"-",IF(COUNTIF('Програма-кодове'!$C21:$AD21,$BR$2)=1,INDEX('Програма-кодове'!$C$1:$AD$1,1,MATCH($BR$2,'Програма-кодове'!$C21:$AD21,0)),"Дублаж"))</f>
        <v>12г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IF('Програма-кодове'!W21='Програма-кодове'!X21,"11б,в","Дублаж")))</f>
        <v>-</v>
      </c>
      <c r="BT22" s="30" t="str">
        <f>IF(COUNTIF('Програма-кодове'!$C21:$AD21,$BT$2)=0,"-",IF(COUNTIF('Програма-кодове'!$C21:$AD21,$BT$2)=1,INDEX('Програма-кодове'!$C$1:$AD$1,1,MATCH($BT$2,'Програма-кодове'!$C21:$AD21,0)),"Дублаж"))</f>
        <v>12в</v>
      </c>
      <c r="BU22" s="193" t="str">
        <f t="shared" si="18"/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-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-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-</v>
      </c>
      <c r="CA22" s="30" t="str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9г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-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-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-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  <c r="CF22" s="30" t="str">
        <f>IF(COUNTIF('Програма-кодове'!$C21:$AD21,$CF$2)=0,"-",IF(COUNTIF('Програма-кодове'!$C21:$AD21,$CF$2)=1,INDEX('Програма-кодове'!$C$1:$AD$1,1,MATCH($CF$2,'Програма-кодове'!$C21:$AD21,0)),"Дублаж"))</f>
        <v>-</v>
      </c>
    </row>
    <row r="23" spans="1:84" ht="13.6" customHeight="1" thickBot="1">
      <c r="A23" s="408"/>
      <c r="B23" s="327">
        <v>7</v>
      </c>
      <c r="C23" s="315" t="str">
        <f t="shared" si="3"/>
        <v>-</v>
      </c>
      <c r="D23" s="315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15" t="str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8б</v>
      </c>
      <c r="F23" s="315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9б</v>
      </c>
      <c r="G23" s="315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15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10а</v>
      </c>
      <c r="I23" s="315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12в</v>
      </c>
      <c r="J23" s="315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8д</v>
      </c>
      <c r="K23" s="315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8в</v>
      </c>
      <c r="L23" s="315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11в</v>
      </c>
      <c r="M23" s="364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15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8г</v>
      </c>
      <c r="O23" s="315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9д</v>
      </c>
      <c r="P23" s="364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15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10д</v>
      </c>
      <c r="R23" s="344" t="str">
        <f t="shared" si="0"/>
        <v>-</v>
      </c>
      <c r="S23" s="315" t="str">
        <f t="shared" si="4"/>
        <v>12г</v>
      </c>
      <c r="T23" s="344" t="str">
        <f t="shared" si="5"/>
        <v>12а</v>
      </c>
      <c r="U23" s="315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9а</v>
      </c>
      <c r="V23" s="315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10г</v>
      </c>
      <c r="W23" s="315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5</v>
      </c>
      <c r="X23" s="315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10б</v>
      </c>
      <c r="Y23" s="315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12б</v>
      </c>
      <c r="Z23" s="315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11б</v>
      </c>
      <c r="AA23" s="315" t="str">
        <f t="shared" si="6"/>
        <v>-</v>
      </c>
      <c r="AB23" s="315" t="str">
        <f t="shared" si="7"/>
        <v>-</v>
      </c>
      <c r="AC23" s="315" t="str">
        <f t="shared" si="8"/>
        <v>-</v>
      </c>
      <c r="AD23" s="315" t="str">
        <f t="shared" si="9"/>
        <v>-</v>
      </c>
      <c r="AE23" s="315" t="str">
        <f t="shared" si="10"/>
        <v>-</v>
      </c>
      <c r="AF23" s="315" t="str">
        <f t="shared" si="11"/>
        <v>-</v>
      </c>
      <c r="AG23" s="315" t="str">
        <f>IF(BC23&lt;&gt;"-",IF(AND(BF23="-",BI23="-",BL23="-"),BC23,"Дублаж"),IF(BF23&lt;&gt;"-",IF(AND(BI23="-",BL23="-"),BF23,"Дублаж"),IF(BI23&lt;&gt;"-",IF(BL23="-",BI23,"Дублаж"),BL23)))</f>
        <v>-</v>
      </c>
      <c r="AH23" s="315" t="str">
        <f t="shared" si="13"/>
        <v>-</v>
      </c>
      <c r="AI23" s="339" t="str">
        <f t="shared" si="14"/>
        <v>11а</v>
      </c>
      <c r="AJ23" s="339" t="str">
        <f t="shared" si="15"/>
        <v>-</v>
      </c>
      <c r="AK23" s="315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-</v>
      </c>
      <c r="AL23" s="315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7</v>
      </c>
      <c r="AM23" s="315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9в</v>
      </c>
      <c r="AN23" s="315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11г</v>
      </c>
      <c r="AO23" s="315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10в</v>
      </c>
      <c r="AP23" s="315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15" t="str">
        <f t="shared" si="30"/>
        <v>12д</v>
      </c>
      <c r="AR23" s="315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9г</v>
      </c>
      <c r="AS23" s="315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11д</v>
      </c>
      <c r="AT23" s="315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-</v>
      </c>
      <c r="AU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315">
        <f>IF(BY23&lt;&gt;"-",IF(AND(BG23="-",BK23="-",BL23="-",BN23="-"),BY23,"Дублаж"),IF(BG23&lt;&gt;"-",IF(AND(BK23="-",BL23="-",BN23="-"),BG23,"Дублаж"),IF(BK23&lt;&gt;"-",IF(AND(BL23="-",BN23="-"),BK23,"Дублаж"),IF(BL23&lt;&gt;"-",IF(BN23="-", BL23, BN23),BN23))))</f>
        <v>6</v>
      </c>
      <c r="AW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0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30" t="str">
        <f>IF(COUNTIF('Програма-кодове'!$C22:$AD22,$BN$2)=0,"-",IF(COUNTIF('Програма-кодове'!$C22:$AD22,$BN$2)=1,INDEX('Програма-кодове'!$C$1:$AD$1,1,MATCH($BN$2,'Програма-кодове'!$C22:$AD22,0)),"Дублаж"))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K22='Програма-кодове'!M22,'Програма-кодове'!K22&lt;&gt;""),"9а, в", IF(AND('Програма-кодове'!P22='Програма-кодове'!T22,'Програма-кодове'!P22&lt;&gt;""),"10а,д", "Дублаж"))))</f>
        <v>-</v>
      </c>
      <c r="BP23" s="77" t="str">
        <f>IF(COUNTIF('Програма-кодове'!$C22:$AD22,$BP$2)=0,"-",IF(COUNTIF('Програма-кодове'!$C22:$AD22,$BP$2)=1,INDEX('Програма-кодове'!$C$1:$AD$1,1,MATCH($BP$2,'Програма-кодове'!$C22:$AD22,0)),IF(AND('Програма-кодове'!L22='Програма-кодове'!N22,'Програма-кодове'!L22&lt;&gt;"" ),"9б,г",IF(AND('Програма-кодове'!Z22='Програма-кодове'!AB22,'Програма-кодове'!Z22&lt;&gt;"" ),"12а,в","Дублаж"))))</f>
        <v>-</v>
      </c>
      <c r="BQ23" s="30" t="str">
        <f>IF(COUNTIF('Програма-кодове'!$C22:$AD22,$BQ$2)=0,"-",IF(COUNTIF('Програма-кодове'!$C22:$AD22,$BQ$2)=1,"10б,в,г","Дублаж"))</f>
        <v>-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IF(COUNTIF('Програма-кодове'!$C22:$AD22,$BR$2)=0,"-",IF(COUNTIF('Програма-кодове'!$C22:$AD22,$BR$2)=1,INDEX('Програма-кодове'!$C$1:$AD$1,1,MATCH($BR$2,'Програма-кодове'!$C22:$AD22,0)),"Дублаж"))</f>
        <v>12г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IF('Програма-кодове'!W22='Програма-кодове'!X22,"11б,в","Дублаж")))</f>
        <v>12а</v>
      </c>
      <c r="BT23" s="30" t="str">
        <f>IF(COUNTIF('Програма-кодове'!$C22:$AD22,$BT$2)=0,"-",IF(COUNTIF('Програма-кодове'!$C22:$AD22,$BT$2)=1,INDEX('Програма-кодове'!$C$1:$AD$1,1,MATCH($BT$2,'Програма-кодове'!$C22:$AD22,0)),"Дублаж"))</f>
        <v>-</v>
      </c>
      <c r="BU23" s="193" t="str">
        <f t="shared" si="18"/>
        <v>12а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 t="str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-</v>
      </c>
      <c r="BY23" s="30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6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11а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-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12д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-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  <c r="CF23" s="30" t="str">
        <f>IF(COUNTIF('Програма-кодове'!$C22:$AD22,$CF$2)=0,"-",IF(COUNTIF('Програма-кодове'!$C22:$AD22,$CF$2)=1,INDEX('Програма-кодове'!$C$1:$AD$1,1,MATCH($CF$2,'Програма-кодове'!$C22:$AD22,0)),"Дублаж"))</f>
        <v>-</v>
      </c>
    </row>
    <row r="24" spans="1:84" ht="13.6" customHeight="1">
      <c r="A24" s="409" t="s">
        <v>27</v>
      </c>
      <c r="B24" s="328">
        <v>1</v>
      </c>
      <c r="C24" s="311" t="str">
        <f t="shared" si="3"/>
        <v>-</v>
      </c>
      <c r="D24" s="316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12а</v>
      </c>
      <c r="E24" s="316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7</v>
      </c>
      <c r="F24" s="348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48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5</v>
      </c>
      <c r="H24" s="316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10в</v>
      </c>
      <c r="I24" s="316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-</v>
      </c>
      <c r="J24" s="316" t="str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8д</v>
      </c>
      <c r="K24" s="341" t="str">
        <f>IF(COUNTIF('Програма-кодове'!$C23:$AD23,$K$2)=0,"-",IF(COUNTIF('Програма-кодове'!$C23:$AD23,$K$2)=1,INDEX('Програма-кодове'!$C$1:$AD$1,1,MATCH($K$2,'Програма-кодове'!$C23:$AD23,0)),"Дублаж"))</f>
        <v>-</v>
      </c>
      <c r="L24" s="343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-</v>
      </c>
      <c r="M24" s="316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338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-</v>
      </c>
      <c r="O24" s="365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365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8a</v>
      </c>
      <c r="Q24" s="316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6</v>
      </c>
      <c r="R24" s="311" t="str">
        <f t="shared" si="0"/>
        <v>11в</v>
      </c>
      <c r="S24" s="311" t="str">
        <f t="shared" si="4"/>
        <v>11б</v>
      </c>
      <c r="T24" s="343" t="str">
        <f t="shared" si="5"/>
        <v>11б,в</v>
      </c>
      <c r="U24" s="316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16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10а</v>
      </c>
      <c r="W24" s="316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-</v>
      </c>
      <c r="X24" s="20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-</v>
      </c>
      <c r="Y24" s="316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12в</v>
      </c>
      <c r="Z24" s="370" t="str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-</v>
      </c>
      <c r="AA24" s="311" t="str">
        <f t="shared" si="6"/>
        <v>10б</v>
      </c>
      <c r="AB24" s="373" t="str">
        <f t="shared" si="7"/>
        <v>8в</v>
      </c>
      <c r="AC24" s="311" t="str">
        <f t="shared" si="8"/>
        <v>11а</v>
      </c>
      <c r="AD24" s="311" t="str">
        <f t="shared" si="9"/>
        <v>11а</v>
      </c>
      <c r="AE24" s="311" t="str">
        <f>IF(BJ24&lt;&gt;"-",IF(AND(BC24="-",BH24="-",BK24="-"),BJ24,"Дублаж"),IF(BC24&lt;&gt;"-",IF(AND(BH24="-",BK24="-"),BC24,"Дублаж"),IF(BH24&lt;&gt;"-",IF(BK24="-",BH24,"Дублаж"),BK24)))</f>
        <v>10б</v>
      </c>
      <c r="AF24" s="311" t="str">
        <f>IF(BE24&lt;&gt;"-",IF(AND(BF24="-",BG24="-"),BE24,"Дублаж"),IF(AND(BF24&lt;&gt;"-",BG24&lt;&gt;"-"),"Дублаж",IF(BF24&lt;&gt;"-",BF24,BG24)))</f>
        <v>12б</v>
      </c>
      <c r="AG24" s="311" t="str">
        <f t="shared" si="12"/>
        <v>-</v>
      </c>
      <c r="AH24" s="311" t="str">
        <f>IF(AND(BE24&lt;&gt;"-",BN24&lt;&gt;"-"),"Дублаж",IF(BE24&lt;&gt;"-",BE24,BN24))</f>
        <v>12б</v>
      </c>
      <c r="AI24" s="338" t="str">
        <f t="shared" si="14"/>
        <v>9а</v>
      </c>
      <c r="AJ24" s="311" t="str">
        <f>IF(CD24&lt;&gt;"-",IF(AND(CE24="-",CF24="-"),CD24,"Дублаж"),IF(AND(CE24&lt;&gt;"-",CF24&lt;&gt;"-"),"Дублаж",IF(CE24&lt;&gt;"-",CE24,CF24)))</f>
        <v>9д</v>
      </c>
      <c r="AK24" s="316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9в</v>
      </c>
      <c r="AL24" s="316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10д</v>
      </c>
      <c r="AM24" s="316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10г</v>
      </c>
      <c r="AN24" s="311" t="str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-</v>
      </c>
      <c r="AO24" s="311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9б</v>
      </c>
      <c r="AP24" s="311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11" t="str">
        <f t="shared" ref="AQ24:AQ25" si="35">IF(AND(CB24&lt;&gt;"-",CC24&lt;&gt;"-"),"Дублаж",IF(CB24&lt;&gt;"-",CB24,CC24))</f>
        <v>-</v>
      </c>
      <c r="AR24" s="311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11д</v>
      </c>
      <c r="AS24" s="311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-</v>
      </c>
      <c r="AT24" s="311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12д</v>
      </c>
      <c r="AU24" s="196" t="str">
        <f t="shared" ref="AU24:AU37" si="36">IF(AND(BW24&lt;&gt;"-",BX24&lt;&gt;"-"),"Дублаж",IF(BW24&lt;&gt;"-",BW24,BX24))</f>
        <v>11г</v>
      </c>
      <c r="AV24" s="196" t="str">
        <f t="shared" si="23"/>
        <v>-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-</v>
      </c>
      <c r="AX24" s="248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9г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-</v>
      </c>
      <c r="AZ24" s="341" t="str">
        <f>IF(AND(BT24&lt;&gt;"-",BU24&lt;&gt;"-"),"Дублаж",IF(BT24&lt;&gt;"-",BT24,BU24))</f>
        <v>8г</v>
      </c>
      <c r="BA24" s="30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11а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12б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-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10б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8в</v>
      </c>
      <c r="BN24" s="30" t="str">
        <f>IF(COUNTIF('Програма-кодове'!$C23:$AD23,$BN$2)=0,"-",IF(COUNTIF('Програма-кодове'!$C23:$AD23,$BN$2)=1,INDEX('Програма-кодове'!$C$1:$AD$1,1,MATCH($BN$2,'Програма-кодове'!$C23:$AD23,0)),"Дублаж"))</f>
        <v>-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K23='Програма-кодове'!M23,'Програма-кодове'!K23&lt;&gt;""),"9а, в", IF(AND('Програма-кодове'!P23='Програма-кодове'!T23,'Програма-кодове'!P23&lt;&gt;""),"10а,д", "Дублаж"))))</f>
        <v>11в</v>
      </c>
      <c r="BP24" s="77" t="str">
        <f>IF(COUNTIF('Програма-кодове'!$C23:$AD23,$BP$2)=0,"-",IF(COUNTIF('Програма-кодове'!$C23:$AD23,$BP$2)=1,INDEX('Програма-кодове'!$C$1:$AD$1,1,MATCH($BP$2,'Програма-кодове'!$C23:$AD23,0)),IF(AND('Програма-кодове'!L23='Програма-кодове'!N23,'Програма-кодове'!L23&lt;&gt;"" ),"9б,г",IF(AND('Програма-кодове'!Z23='Програма-кодове'!AB23,'Програма-кодове'!Z23&lt;&gt;"" ),"12а,в","Дублаж"))))</f>
        <v>11б</v>
      </c>
      <c r="BQ24" s="30" t="str">
        <f>IF(COUNTIF('Програма-кодове'!$C23:$AD23,$BQ$2)=0,"-",IF(COUNTIF('Програма-кодове'!$C23:$AD23,$BQ$2)=1,"10б,в,г","Дублаж"))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IF(COUNTIF('Програма-кодове'!$C23:$AD23,$BR$2)=0,"-",IF(COUNTIF('Програма-кодове'!$C23:$AD23,$BR$2)=1,INDEX('Програма-кодове'!$C$1:$AD$1,1,MATCH($BR$2,'Програма-кодове'!$C23:$AD23,0)),"Дублаж"))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IF('Програма-кодове'!W23='Програма-кодове'!X23,"11б,в","Дублаж")))</f>
        <v>-</v>
      </c>
      <c r="BT24" s="30" t="str">
        <f>IF(COUNTIF('Програма-кодове'!$C23:$AD23,$BT$2)=0,"-",IF(COUNTIF('Програма-кодове'!$C23:$AD23,$BT$2)=1,INDEX('Програма-кодове'!$C$1:$AD$1,1,MATCH($BT$2,'Програма-кодове'!$C23:$AD23,0)),"Дублаж"))</f>
        <v>8г</v>
      </c>
      <c r="BU24" s="193" t="str">
        <f t="shared" si="18"/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-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11г</v>
      </c>
      <c r="BX24" s="30" t="str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-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9а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-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9д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-</v>
      </c>
      <c r="CF24" s="30" t="str">
        <f>IF(COUNTIF('Програма-кодове'!$C23:$AD23,$CF$2)=0,"-",IF(COUNTIF('Програма-кодове'!$C23:$AD23,$CF$2)=1,INDEX('Програма-кодове'!$C$1:$AD$1,1,MATCH($CF$2,'Програма-кодове'!$C23:$AD23,0)),"Дублаж"))</f>
        <v>-</v>
      </c>
    </row>
    <row r="25" spans="1:84" ht="13.6" customHeight="1">
      <c r="A25" s="410"/>
      <c r="B25" s="329">
        <v>2</v>
      </c>
      <c r="C25" s="193" t="str">
        <f t="shared" si="3"/>
        <v>-</v>
      </c>
      <c r="D25" s="20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6</v>
      </c>
      <c r="E25" s="20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7</v>
      </c>
      <c r="F25" s="346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-</v>
      </c>
      <c r="G25" s="346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5</v>
      </c>
      <c r="H25" s="94" t="str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-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12б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8д</v>
      </c>
      <c r="K25" s="337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342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-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20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8г</v>
      </c>
      <c r="O25" s="363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365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8a</v>
      </c>
      <c r="Q25" s="20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10д</v>
      </c>
      <c r="R25" s="311" t="str">
        <f t="shared" si="0"/>
        <v>11в</v>
      </c>
      <c r="S25" s="193" t="str">
        <f t="shared" si="4"/>
        <v>11б</v>
      </c>
      <c r="T25" s="342" t="str">
        <f t="shared" si="5"/>
        <v>11б,в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20" t="str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-</v>
      </c>
      <c r="W25" s="20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-</v>
      </c>
      <c r="X25" s="20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20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12в</v>
      </c>
      <c r="Z25" s="20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-</v>
      </c>
      <c r="AA25" s="193" t="str">
        <f t="shared" si="6"/>
        <v>10в</v>
      </c>
      <c r="AB25" s="193" t="str">
        <f t="shared" si="7"/>
        <v>-</v>
      </c>
      <c r="AC25" s="193" t="str">
        <f t="shared" si="8"/>
        <v>11г</v>
      </c>
      <c r="AD25" s="193" t="str">
        <f t="shared" si="9"/>
        <v>11г</v>
      </c>
      <c r="AE25" s="193" t="str">
        <f t="shared" si="10"/>
        <v>10в</v>
      </c>
      <c r="AF25" s="193" t="str">
        <f t="shared" si="11"/>
        <v>12а</v>
      </c>
      <c r="AG25" s="193" t="str">
        <f t="shared" si="12"/>
        <v>-</v>
      </c>
      <c r="AH25" s="193" t="str">
        <f t="shared" si="13"/>
        <v>12а</v>
      </c>
      <c r="AI25" s="311" t="str">
        <f t="shared" si="14"/>
        <v>-</v>
      </c>
      <c r="AJ25" s="311" t="str">
        <f t="shared" ref="AJ25:AJ26" si="37">IF(CD25&lt;&gt;"-",IF(AND(CE25="-",CF25="-"),CD25,"Дублаж"),IF(AND(CE25&lt;&gt;"-",CF25&lt;&gt;"-"),"Дублаж",IF(CE25&lt;&gt;"-",CE25,CF25)))</f>
        <v>10б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9д</v>
      </c>
      <c r="AL25" s="20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10г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10а</v>
      </c>
      <c r="AN25" s="94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9в</v>
      </c>
      <c r="AO25" s="94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9а</v>
      </c>
      <c r="AP25" s="94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11а</v>
      </c>
      <c r="AQ25" s="94" t="str">
        <f t="shared" si="35"/>
        <v>-</v>
      </c>
      <c r="AR25" s="94" t="str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11д</v>
      </c>
      <c r="AS25" s="94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94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 t="str">
        <f t="shared" si="36"/>
        <v>9г</v>
      </c>
      <c r="AV25" s="194" t="str">
        <f t="shared" si="23"/>
        <v>-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-</v>
      </c>
      <c r="AX25" s="248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9б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-</v>
      </c>
      <c r="AZ25" s="337" t="str">
        <f t="shared" si="17"/>
        <v>8в</v>
      </c>
      <c r="BA25" s="30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11г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12а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-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10в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-</v>
      </c>
      <c r="BN25" s="30" t="str">
        <f>IF(COUNTIF('Програма-кодове'!$C24:$AD24,$BN$2)=0,"-",IF(COUNTIF('Програма-кодове'!$C24:$AD24,$BN$2)=1,INDEX('Програма-кодове'!$C$1:$AD$1,1,MATCH($BN$2,'Програма-кодове'!$C24:$AD24,0)),"Дублаж"))</f>
        <v>-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K24='Програма-кодове'!M24,'Програма-кодове'!K24&lt;&gt;""),"9а, в", IF(AND('Програма-кодове'!P24='Програма-кодове'!T24,'Програма-кодове'!P24&lt;&gt;""),"10а,д", "Дублаж"))))</f>
        <v>11в</v>
      </c>
      <c r="BP25" s="77" t="str">
        <f>IF(COUNTIF('Програма-кодове'!$C24:$AD24,$BP$2)=0,"-",IF(COUNTIF('Програма-кодове'!$C24:$AD24,$BP$2)=1,INDEX('Програма-кодове'!$C$1:$AD$1,1,MATCH($BP$2,'Програма-кодове'!$C24:$AD24,0)),IF(AND('Програма-кодове'!L24='Програма-кодове'!N24,'Програма-кодове'!L24&lt;&gt;"" ),"9б,г",IF(AND('Програма-кодове'!Z24='Програма-кодове'!AB24,'Програма-кодове'!Z24&lt;&gt;"" ),"12а,в","Дублаж"))))</f>
        <v>11б</v>
      </c>
      <c r="BQ25" s="30" t="str">
        <f>IF(COUNTIF('Програма-кодове'!$C24:$AD24,$BQ$2)=0,"-",IF(COUNTIF('Програма-кодове'!$C24:$AD24,$BQ$2)=1,"10б,в,г","Дублаж"))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IF(COUNTIF('Програма-кодове'!$C24:$AD24,$BR$2)=0,"-",IF(COUNTIF('Програма-кодове'!$C24:$AD24,$BR$2)=1,INDEX('Програма-кодове'!$C$1:$AD$1,1,MATCH($BR$2,'Програма-кодове'!$C24:$AD24,0)),"Дублаж"))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IF('Програма-кодове'!W24='Програма-кодове'!X24,"11б,в","Дублаж")))</f>
        <v>-</v>
      </c>
      <c r="BT25" s="30" t="str">
        <f>IF(COUNTIF('Програма-кодове'!$C24:$AD24,$BT$2)=0,"-",IF(COUNTIF('Програма-кодове'!$C24:$AD24,$BT$2)=1,INDEX('Програма-кодове'!$C$1:$AD$1,1,MATCH($BT$2,'Програма-кодове'!$C24:$AD24,0)),"Дублаж"))</f>
        <v>8в</v>
      </c>
      <c r="BU25" s="193" t="str">
        <f t="shared" si="18"/>
        <v>-</v>
      </c>
      <c r="BV25" s="30" t="str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-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-</v>
      </c>
      <c r="BX25" s="30" t="str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9г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-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-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-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10б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  <c r="CF25" s="30" t="str">
        <f>IF(COUNTIF('Програма-кодове'!$C24:$AD24,$CF$2)=0,"-",IF(COUNTIF('Програма-кодове'!$C24:$AD24,$CF$2)=1,INDEX('Програма-кодове'!$C$1:$AD$1,1,MATCH($CF$2,'Програма-кодове'!$C24:$AD24,0)),"Дублаж"))</f>
        <v>-</v>
      </c>
    </row>
    <row r="26" spans="1:84" ht="13.6" customHeight="1">
      <c r="A26" s="410"/>
      <c r="B26" s="329">
        <v>3</v>
      </c>
      <c r="C26" s="193" t="str">
        <f t="shared" si="3"/>
        <v>-</v>
      </c>
      <c r="D26" s="20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12д</v>
      </c>
      <c r="E26" s="346" t="str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-</v>
      </c>
      <c r="F26" s="20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11г</v>
      </c>
      <c r="G26" s="346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9д</v>
      </c>
      <c r="H26" s="20" t="str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10г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12б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8д</v>
      </c>
      <c r="K26" s="2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8в</v>
      </c>
      <c r="L26" s="342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-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20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7</v>
      </c>
      <c r="O26" s="363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365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338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311" t="str">
        <f t="shared" si="0"/>
        <v>11д</v>
      </c>
      <c r="S26" s="193">
        <f t="shared" si="4"/>
        <v>5</v>
      </c>
      <c r="T26" s="342" t="str">
        <f t="shared" si="5"/>
        <v>11д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 t="str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9в</v>
      </c>
      <c r="W26" s="359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-</v>
      </c>
      <c r="X26" s="20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-</v>
      </c>
      <c r="Y26" s="20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9б</v>
      </c>
      <c r="Z26" s="20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-</v>
      </c>
      <c r="AA26" s="193" t="str">
        <f t="shared" si="6"/>
        <v>-</v>
      </c>
      <c r="AB26" s="193" t="str">
        <f t="shared" si="7"/>
        <v>-</v>
      </c>
      <c r="AC26" s="193" t="str">
        <f t="shared" si="8"/>
        <v>11в</v>
      </c>
      <c r="AD26" s="193" t="str">
        <f>BD26</f>
        <v>11в</v>
      </c>
      <c r="AE26" s="193" t="str">
        <f t="shared" si="10"/>
        <v>-</v>
      </c>
      <c r="AF26" s="193" t="str">
        <f t="shared" si="11"/>
        <v>12в</v>
      </c>
      <c r="AG26" s="193" t="str">
        <f t="shared" si="12"/>
        <v>-</v>
      </c>
      <c r="AH26" s="193" t="str">
        <f t="shared" si="13"/>
        <v>12в</v>
      </c>
      <c r="AI26" s="338" t="str">
        <f t="shared" si="14"/>
        <v>12г</v>
      </c>
      <c r="AJ26" s="311" t="str">
        <f t="shared" si="37"/>
        <v>10д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-</v>
      </c>
      <c r="AL26" s="20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10а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11а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9г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11б</v>
      </c>
      <c r="AQ26" s="193" t="str">
        <f t="shared" si="16"/>
        <v>10б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-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-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-</v>
      </c>
      <c r="AU26" s="194" t="str">
        <f t="shared" si="36"/>
        <v>10в</v>
      </c>
      <c r="AV26" s="359">
        <f t="shared" si="23"/>
        <v>6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248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9а</v>
      </c>
      <c r="AY26" s="196" t="str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8г</v>
      </c>
      <c r="AZ26" s="193" t="str">
        <f t="shared" si="17"/>
        <v>-</v>
      </c>
      <c r="BA26" s="30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-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11в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12в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-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-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30" t="str">
        <f>IF(COUNTIF('Програма-кодове'!$C25:$AD25,$BN$2)=0,"-",IF(COUNTIF('Програма-кодове'!$C25:$AD25,$BN$2)=1,INDEX('Програма-кодове'!$C$1:$AD$1,1,MATCH($BN$2,'Програма-кодове'!$C25:$AD25,0)),"Дублаж"))</f>
        <v>-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K25='Програма-кодове'!M25,'Програма-кодове'!K25&lt;&gt;""),"9а, в", IF(AND('Програма-кодове'!P25='Програма-кодове'!T25,'Програма-кодове'!P25&lt;&gt;""),"10а,д", "Дублаж"))))</f>
        <v>11д</v>
      </c>
      <c r="BP26" s="77" t="str">
        <f>IF(COUNTIF('Програма-кодове'!$C25:$AD25,$BP$2)=0,"-",IF(COUNTIF('Програма-кодове'!$C25:$AD25,$BP$2)=1,INDEX('Програма-кодове'!$C$1:$AD$1,1,MATCH($BP$2,'Програма-кодове'!$C25:$AD25,0)),IF(AND('Програма-кодове'!L25='Програма-кодове'!N25,'Програма-кодове'!L25&lt;&gt;"" ),"9б,г",IF(AND('Програма-кодове'!Z25='Програма-кодове'!AB25,'Програма-кодове'!Z25&lt;&gt;"" ),"12а,в","Дублаж"))))</f>
        <v>-</v>
      </c>
      <c r="BQ26" s="30" t="str">
        <f>IF(COUNTIF('Програма-кодове'!$C25:$AD25,$BQ$2)=0,"-",IF(COUNTIF('Програма-кодове'!$C25:$AD25,$BQ$2)=1,"10б,в,г","Дублаж"))</f>
        <v>-</v>
      </c>
      <c r="BR26" s="30">
        <f>IF(COUNTIF('Програма-кодове'!$C25:$AD25,$BR$2)=0,"-",IF(COUNTIF('Програма-кодове'!$C25:$AD25,$BR$2)=1,INDEX('Програма-кодове'!$C$1:$AD$1,1,MATCH($BR$2,'Програма-кодове'!$C25:$AD25,0)),"Дублаж"))</f>
        <v>5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IF('Програма-кодове'!W25='Програма-кодове'!X25,"11б,в","Дублаж")))</f>
        <v>-</v>
      </c>
      <c r="BT26" s="30" t="str">
        <f>IF(COUNTIF('Програма-кодове'!$C25:$AD25,$BT$2)=0,"-",IF(COUNTIF('Програма-кодове'!$C25:$AD25,$BT$2)=1,INDEX('Програма-кодове'!$C$1:$AD$1,1,MATCH($BT$2,'Програма-кодове'!$C25:$AD25,0)),"Дублаж"))</f>
        <v>-</v>
      </c>
      <c r="BU26" s="193" t="str">
        <f t="shared" si="18"/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-</v>
      </c>
      <c r="BX26" s="30" t="str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10в</v>
      </c>
      <c r="BY26" s="30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6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12г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-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10б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10д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  <c r="CF26" s="30" t="str">
        <f>IF(COUNTIF('Програма-кодове'!$C25:$AD25,$CF$2)=0,"-",IF(COUNTIF('Програма-кодове'!$C25:$AD25,$CF$2)=1,INDEX('Програма-кодове'!$C$1:$AD$1,1,MATCH($CF$2,'Програма-кодове'!$C25:$AD25,0)),"Дублаж"))</f>
        <v>-</v>
      </c>
    </row>
    <row r="27" spans="1:84" ht="13.6" customHeight="1">
      <c r="A27" s="410"/>
      <c r="B27" s="329">
        <v>4</v>
      </c>
      <c r="C27" s="203" t="str">
        <f t="shared" si="3"/>
        <v>9в</v>
      </c>
      <c r="D27" s="20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12г</v>
      </c>
      <c r="E27" s="346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20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11г</v>
      </c>
      <c r="G27" s="346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9д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10б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-</v>
      </c>
      <c r="J27" s="20" t="str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8д</v>
      </c>
      <c r="K27" s="2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8в</v>
      </c>
      <c r="L27" s="342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-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8г</v>
      </c>
      <c r="O27" s="316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9г</v>
      </c>
      <c r="P27" s="20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-</v>
      </c>
      <c r="Q27" s="338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-</v>
      </c>
      <c r="R27" s="311" t="str">
        <f t="shared" si="0"/>
        <v>11д</v>
      </c>
      <c r="S27" s="337" t="str">
        <f t="shared" si="4"/>
        <v>-</v>
      </c>
      <c r="T27" s="342" t="str">
        <f>IF(BO27&lt;&gt;"-",IF(AND(BP27="-",BU27="-"),BO27,IF(AND(BO27="11в",BP27="11б"),"11б,в",IF(AND(BO27="12б",BP27="12д"),"12б,д",IF(AND(BO27="12в",BP27="12б"),"12б,в")))),IF(BP27&lt;&gt;"-",IF(BU27="-",BP27,"Дублаж"),BU27))</f>
        <v>11д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12а</v>
      </c>
      <c r="V27" s="20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6</v>
      </c>
      <c r="W27" s="20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11а</v>
      </c>
      <c r="X27" s="20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8a</v>
      </c>
      <c r="Y27" s="20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12б</v>
      </c>
      <c r="Z27" s="20" t="str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-</v>
      </c>
      <c r="AA27" s="193" t="str">
        <f t="shared" si="6"/>
        <v>-</v>
      </c>
      <c r="AB27" s="203" t="str">
        <f t="shared" si="7"/>
        <v>9в</v>
      </c>
      <c r="AC27" s="193" t="str">
        <f t="shared" si="8"/>
        <v>11б</v>
      </c>
      <c r="AD27" s="193" t="str">
        <f t="shared" si="9"/>
        <v>11б</v>
      </c>
      <c r="AE27" s="193" t="str">
        <f t="shared" si="10"/>
        <v>10а</v>
      </c>
      <c r="AF27" s="203" t="str">
        <f t="shared" si="11"/>
        <v>-</v>
      </c>
      <c r="AG27" s="193" t="str">
        <f t="shared" si="12"/>
        <v>10а</v>
      </c>
      <c r="AH27" s="203" t="str">
        <f t="shared" si="13"/>
        <v>-</v>
      </c>
      <c r="AI27" s="338">
        <f>IF(AND(CA27&lt;&gt;"-",BZ27&lt;&gt;"-"),"Дублаж",IF(CA27&lt;&gt;"-",CA27,BZ27))</f>
        <v>5</v>
      </c>
      <c r="AJ27" s="193" t="str">
        <f t="shared" si="15"/>
        <v>9б</v>
      </c>
      <c r="AK27" s="20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12д</v>
      </c>
      <c r="AL27" s="20" t="str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-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10в</v>
      </c>
      <c r="AN27" s="193" t="str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-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193" t="str">
        <f t="shared" si="16"/>
        <v>9а</v>
      </c>
      <c r="AR27" s="193" t="str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11в</v>
      </c>
      <c r="AS27" s="193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7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10г</v>
      </c>
      <c r="AU27" s="194" t="str">
        <f t="shared" si="36"/>
        <v>-</v>
      </c>
      <c r="AV27" s="194" t="str">
        <f t="shared" si="23"/>
        <v>-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12в</v>
      </c>
      <c r="AX27" s="248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-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-</v>
      </c>
      <c r="AZ27" s="337" t="str">
        <f t="shared" si="17"/>
        <v>10д</v>
      </c>
      <c r="BA27" s="30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9в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10а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11б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-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-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30" t="str">
        <f>IF(COUNTIF('Програма-кодове'!$C26:$AD26,$BN$2)=0,"-",IF(COUNTIF('Програма-кодове'!$C26:$AD26,$BN$2)=1,INDEX('Програма-кодове'!$C$1:$AD$1,1,MATCH($BN$2,'Програма-кодове'!$C26:$AD26,0)),"Дублаж"))</f>
        <v>-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K26='Програма-кодове'!M26,'Програма-кодове'!K26&lt;&gt;""),"9а, в", IF(AND('Програма-кодове'!P26='Програма-кодове'!T26,'Програма-кодове'!P26&lt;&gt;""),"10а,д", "Дублаж"))))</f>
        <v>11д</v>
      </c>
      <c r="BP27" s="77" t="str">
        <f>IF(COUNTIF('Програма-кодове'!$C26:$AD26,$BP$2)=0,"-",IF(COUNTIF('Програма-кодове'!$C26:$AD26,$BP$2)=1,INDEX('Програма-кодове'!$C$1:$AD$1,1,MATCH($BP$2,'Програма-кодове'!$C26:$AD26,0)),IF(AND('Програма-кодове'!L26='Програма-кодове'!N26,'Програма-кодове'!L26&lt;&gt;"" ),"9б,г",IF(AND('Програма-кодове'!Z26='Програма-кодове'!AB26,'Програма-кодове'!Z26&lt;&gt;"" ),"12а,в","Дублаж"))))</f>
        <v>-</v>
      </c>
      <c r="BQ27" s="30" t="str">
        <f>IF(COUNTIF('Програма-кодове'!$C26:$AD26,$BQ$2)=0,"-",IF(COUNTIF('Програма-кодове'!$C26:$AD26,$BQ$2)=1,"10б,в,г","Дублаж"))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IF(COUNTIF('Програма-кодове'!$C26:$AD26,$BR$2)=0,"-",IF(COUNTIF('Програма-кодове'!$C26:$AD26,$BR$2)=1,INDEX('Програма-кодове'!$C$1:$AD$1,1,MATCH($BR$2,'Програма-кодове'!$C26:$AD26,0)),"Дублаж"))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IF('Програма-кодове'!W26='Програма-кодове'!X26,"11б,в","Дублаж")))</f>
        <v>-</v>
      </c>
      <c r="BT27" s="30" t="str">
        <f>IF(COUNTIF('Програма-кодове'!$C26:$AD26,$BT$2)=0,"-",IF(COUNTIF('Програма-кодове'!$C26:$AD26,$BT$2)=1,INDEX('Програма-кодове'!$C$1:$AD$1,1,MATCH($BT$2,'Програма-кодове'!$C26:$AD26,0)),"Дублаж"))</f>
        <v>10д</v>
      </c>
      <c r="BU27" s="193" t="str">
        <f t="shared" si="18"/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-</v>
      </c>
      <c r="BW27" s="30" t="str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-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 t="str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-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-</v>
      </c>
      <c r="CA27" s="30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5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-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9а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9б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  <c r="CF27" s="30" t="str">
        <f>IF(COUNTIF('Програма-кодове'!$C26:$AD26,$CF$2)=0,"-",IF(COUNTIF('Програма-кодове'!$C26:$AD26,$CF$2)=1,INDEX('Програма-кодове'!$C$1:$AD$1,1,MATCH($CF$2,'Програма-кодове'!$C26:$AD26,0)),"Дублаж"))</f>
        <v>-</v>
      </c>
    </row>
    <row r="28" spans="1:84" ht="13.6" customHeight="1">
      <c r="A28" s="410"/>
      <c r="B28" s="329">
        <v>5</v>
      </c>
      <c r="C28" s="203" t="str">
        <f t="shared" si="3"/>
        <v>9д</v>
      </c>
      <c r="D28" s="20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12в</v>
      </c>
      <c r="E28" s="346" t="str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-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11б</v>
      </c>
      <c r="G28" s="346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-</v>
      </c>
      <c r="H28" s="20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10а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12а</v>
      </c>
      <c r="J28" s="342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-</v>
      </c>
      <c r="K28" s="2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8в</v>
      </c>
      <c r="L28" s="20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11г</v>
      </c>
      <c r="M28" s="20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8г</v>
      </c>
      <c r="O28" s="316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9в</v>
      </c>
      <c r="P28" s="20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-</v>
      </c>
      <c r="Q28" s="338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-</v>
      </c>
      <c r="R28" s="311" t="str">
        <f t="shared" si="0"/>
        <v>11а</v>
      </c>
      <c r="S28" s="337" t="str">
        <f t="shared" si="4"/>
        <v>-</v>
      </c>
      <c r="T28" s="342" t="str">
        <f t="shared" si="5"/>
        <v>11а</v>
      </c>
      <c r="U28" s="20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-</v>
      </c>
      <c r="V28" s="20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6</v>
      </c>
      <c r="W28" s="20" t="str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-</v>
      </c>
      <c r="X28" s="20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8д</v>
      </c>
      <c r="Y28" s="20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-</v>
      </c>
      <c r="Z28" s="20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7</v>
      </c>
      <c r="AA28" s="193" t="str">
        <f t="shared" si="6"/>
        <v>-</v>
      </c>
      <c r="AB28" s="203" t="str">
        <f t="shared" si="7"/>
        <v>9д</v>
      </c>
      <c r="AC28" s="193" t="str">
        <f t="shared" si="8"/>
        <v>-</v>
      </c>
      <c r="AD28" s="193" t="str">
        <f t="shared" si="9"/>
        <v>-</v>
      </c>
      <c r="AE28" s="193" t="str">
        <f t="shared" si="10"/>
        <v>10г</v>
      </c>
      <c r="AF28" s="203" t="str">
        <f t="shared" si="11"/>
        <v>-</v>
      </c>
      <c r="AG28" s="193" t="str">
        <f t="shared" si="12"/>
        <v>10г</v>
      </c>
      <c r="AH28" s="203" t="str">
        <f t="shared" si="13"/>
        <v>-</v>
      </c>
      <c r="AI28" s="338" t="str">
        <f>IF(AND(CA28&lt;&gt;"-",BZ28&lt;&gt;"-"),"Дублаж",IF(CA28&lt;&gt;"-",CA28,BZ28))</f>
        <v>9г</v>
      </c>
      <c r="AJ28" s="193" t="str">
        <f t="shared" si="15"/>
        <v>9а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12г</v>
      </c>
      <c r="AL28" s="20" t="str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10б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9б</v>
      </c>
      <c r="AN28" s="193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-</v>
      </c>
      <c r="AO28" s="193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-</v>
      </c>
      <c r="AP28" s="193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-</v>
      </c>
      <c r="AQ28" s="193" t="str">
        <f t="shared" si="16"/>
        <v>12д</v>
      </c>
      <c r="AR28" s="193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10д</v>
      </c>
      <c r="AS28" s="193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11в</v>
      </c>
      <c r="AT28" s="193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10в</v>
      </c>
      <c r="AU28" s="194" t="str">
        <f t="shared" si="36"/>
        <v>11д</v>
      </c>
      <c r="AV28" s="194">
        <f t="shared" si="23"/>
        <v>5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12б</v>
      </c>
      <c r="AX28" s="196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-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8б</v>
      </c>
      <c r="AZ28" s="337" t="str">
        <f t="shared" si="17"/>
        <v>8a</v>
      </c>
      <c r="BA28" s="30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9д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10г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-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-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 t="str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-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30" t="str">
        <f>IF(COUNTIF('Програма-кодове'!$C27:$AD27,$BN$2)=0,"-",IF(COUNTIF('Програма-кодове'!$C27:$AD27,$BN$2)=1,INDEX('Програма-кодове'!$C$1:$AD$1,1,MATCH($BN$2,'Програма-кодове'!$C27:$AD27,0)),"Дублаж"))</f>
        <v>-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K27='Програма-кодове'!M27,'Програма-кодове'!K27&lt;&gt;""),"9а, в", IF(AND('Програма-кодове'!P27='Програма-кодове'!T27,'Програма-кодове'!P27&lt;&gt;""),"10а,д", "Дублаж"))))</f>
        <v>11а</v>
      </c>
      <c r="BP28" s="77" t="str">
        <f>IF(COUNTIF('Програма-кодове'!$C27:$AD27,$BP$2)=0,"-",IF(COUNTIF('Програма-кодове'!$C27:$AD27,$BP$2)=1,INDEX('Програма-кодове'!$C$1:$AD$1,1,MATCH($BP$2,'Програма-кодове'!$C27:$AD27,0)),IF(AND('Програма-кодове'!L27='Програма-кодове'!N27,'Програма-кодове'!L27&lt;&gt;"" ),"9б,г",IF(AND('Програма-кодове'!Z27='Програма-кодове'!AB27,'Програма-кодове'!Z27&lt;&gt;"" ),"12а,в","Дублаж"))))</f>
        <v>-</v>
      </c>
      <c r="BQ28" s="30" t="str">
        <f>IF(COUNTIF('Програма-кодове'!$C27:$AD27,$BQ$2)=0,"-",IF(COUNTIF('Програма-кодове'!$C27:$AD27,$BQ$2)=1,"10б,в,г","Дублаж"))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IF(COUNTIF('Програма-кодове'!$C27:$AD27,$BR$2)=0,"-",IF(COUNTIF('Програма-кодове'!$C27:$AD27,$BR$2)=1,INDEX('Програма-кодове'!$C$1:$AD$1,1,MATCH($BR$2,'Програма-кодове'!$C27:$AD27,0)),"Дублаж"))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IF('Програма-кодове'!W27='Програма-кодове'!X27,"11б,в","Дублаж")))</f>
        <v>-</v>
      </c>
      <c r="BT28" s="30" t="str">
        <f>IF(COUNTIF('Програма-кодове'!$C27:$AD27,$BT$2)=0,"-",IF(COUNTIF('Програма-кодове'!$C27:$AD27,$BT$2)=1,INDEX('Програма-кодове'!$C$1:$AD$1,1,MATCH($BT$2,'Програма-кодове'!$C27:$AD27,0)),"Дублаж"))</f>
        <v>8a</v>
      </c>
      <c r="BU28" s="193" t="str">
        <f t="shared" si="18"/>
        <v>-</v>
      </c>
      <c r="BV28" s="30" t="str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-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11д</v>
      </c>
      <c r="BX28" s="30" t="str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-</v>
      </c>
      <c r="BY28" s="30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5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9г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-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12д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9а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  <c r="CF28" s="30" t="str">
        <f>IF(COUNTIF('Програма-кодове'!$C27:$AD27,$CF$2)=0,"-",IF(COUNTIF('Програма-кодове'!$C27:$AD27,$CF$2)=1,INDEX('Програма-кодове'!$C$1:$AD$1,1,MATCH($CF$2,'Програма-кодове'!$C27:$AD27,0)),"Дублаж"))</f>
        <v>-</v>
      </c>
    </row>
    <row r="29" spans="1:84" ht="13.6" customHeight="1">
      <c r="A29" s="410"/>
      <c r="B29" s="329">
        <v>6</v>
      </c>
      <c r="C29" s="193" t="str">
        <f t="shared" si="3"/>
        <v>-</v>
      </c>
      <c r="D29" s="20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12б</v>
      </c>
      <c r="E29" s="346" t="str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-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11б</v>
      </c>
      <c r="G29" s="346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8a</v>
      </c>
      <c r="H29" s="20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10д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12а</v>
      </c>
      <c r="J29" s="342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-</v>
      </c>
      <c r="K29" s="2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8в</v>
      </c>
      <c r="L29" s="20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11д</v>
      </c>
      <c r="M29" s="20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20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8г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9а</v>
      </c>
      <c r="P29" s="2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-</v>
      </c>
      <c r="Q29" s="338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311" t="str">
        <f t="shared" si="0"/>
        <v>11а</v>
      </c>
      <c r="S29" s="337" t="str">
        <f t="shared" si="4"/>
        <v>-</v>
      </c>
      <c r="T29" s="342" t="str">
        <f t="shared" si="5"/>
        <v>11а</v>
      </c>
      <c r="U29" s="20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9д</v>
      </c>
      <c r="V29" s="20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10г</v>
      </c>
      <c r="W29" s="20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5</v>
      </c>
      <c r="X29" s="20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10в</v>
      </c>
      <c r="Y29" s="370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-</v>
      </c>
      <c r="Z29" s="20" t="str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11в</v>
      </c>
      <c r="AA29" s="193" t="str">
        <f t="shared" si="6"/>
        <v>-</v>
      </c>
      <c r="AB29" s="370" t="str">
        <f t="shared" si="7"/>
        <v>9г</v>
      </c>
      <c r="AC29" s="193" t="str">
        <f t="shared" si="8"/>
        <v>-</v>
      </c>
      <c r="AD29" s="193" t="str">
        <f t="shared" si="9"/>
        <v>-</v>
      </c>
      <c r="AE29" s="193" t="str">
        <f t="shared" si="10"/>
        <v>-</v>
      </c>
      <c r="AF29" s="193" t="str">
        <f t="shared" si="11"/>
        <v>-</v>
      </c>
      <c r="AG29" s="193" t="str">
        <f t="shared" si="12"/>
        <v>-</v>
      </c>
      <c r="AH29" s="193" t="str">
        <f t="shared" si="13"/>
        <v>-</v>
      </c>
      <c r="AI29" s="338">
        <f>IF(AND(CA29&lt;&gt;"-",BZ29&lt;&gt;"-"),"Дублаж",IF(CA29&lt;&gt;"-",CA29,BZ29))</f>
        <v>6</v>
      </c>
      <c r="AJ29" s="193" t="str">
        <f t="shared" si="15"/>
        <v>9в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12в</v>
      </c>
      <c r="AL29" s="20" t="str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9б</v>
      </c>
      <c r="AM29" s="359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-</v>
      </c>
      <c r="AN29" s="193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-</v>
      </c>
      <c r="AO29" s="193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-</v>
      </c>
      <c r="AP29" s="193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-</v>
      </c>
      <c r="AQ29" s="193" t="str">
        <f t="shared" ref="AQ29" si="38">IF(AND(CB29&lt;&gt;"-",CC29&lt;&gt;"-"),"Дублаж",IF(CB29&lt;&gt;"-",CB29,CC29))</f>
        <v>12д</v>
      </c>
      <c r="AR29" s="193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-</v>
      </c>
      <c r="AS29" s="193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11г</v>
      </c>
      <c r="AT29" s="193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10а</v>
      </c>
      <c r="AU29" s="194">
        <f t="shared" si="36"/>
        <v>7</v>
      </c>
      <c r="AV29" s="359" t="str">
        <f t="shared" si="23"/>
        <v>8д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12г</v>
      </c>
      <c r="AX29" s="196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-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10б</v>
      </c>
      <c r="AZ29" s="337" t="str">
        <f t="shared" si="17"/>
        <v>8б</v>
      </c>
      <c r="BA29" s="30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 t="str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-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-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-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 t="str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-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9г</v>
      </c>
      <c r="BN29" s="30" t="str">
        <f>IF(COUNTIF('Програма-кодове'!$C28:$AD28,$BN$2)=0,"-",IF(COUNTIF('Програма-кодове'!$C28:$AD28,$BN$2)=1,INDEX('Програма-кодове'!$C$1:$AD$1,1,MATCH($BN$2,'Програма-кодове'!$C28:$AD28,0)),"Дублаж"))</f>
        <v>-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K28='Програма-кодове'!M28,'Програма-кодове'!K28&lt;&gt;""),"9а, в", IF(AND('Програма-кодове'!P28='Програма-кодове'!T28,'Програма-кодове'!P28&lt;&gt;""),"10а,д", "Дублаж"))))</f>
        <v>11а</v>
      </c>
      <c r="BP29" s="77" t="str">
        <f>IF(COUNTIF('Програма-кодове'!$C28:$AD28,$BP$2)=0,"-",IF(COUNTIF('Програма-кодове'!$C28:$AD28,$BP$2)=1,INDEX('Програма-кодове'!$C$1:$AD$1,1,MATCH($BP$2,'Програма-кодове'!$C28:$AD28,0)),IF(AND('Програма-кодове'!L28='Програма-кодове'!N28,'Програма-кодове'!L28&lt;&gt;"" ),"9б,г",IF(AND('Програма-кодове'!Z28='Програма-кодове'!AB28,'Програма-кодове'!Z28&lt;&gt;"" ),"12а,в","Дублаж"))))</f>
        <v>-</v>
      </c>
      <c r="BQ29" s="30" t="str">
        <f>IF(COUNTIF('Програма-кодове'!$C28:$AD28,$BQ$2)=0,"-",IF(COUNTIF('Програма-кодове'!$C28:$AD28,$BQ$2)=1,"10б,в,г","Дублаж"))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IF(COUNTIF('Програма-кодове'!$C28:$AD28,$BR$2)=0,"-",IF(COUNTIF('Програма-кодове'!$C28:$AD28,$BR$2)=1,INDEX('Програма-кодове'!$C$1:$AD$1,1,MATCH($BR$2,'Програма-кодове'!$C28:$AD28,0)),"Дублаж"))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IF('Програма-кодове'!W28='Програма-кодове'!X28,"11б,в","Дублаж")))</f>
        <v>-</v>
      </c>
      <c r="BT29" s="30" t="str">
        <f>IF(COUNTIF('Програма-кодове'!$C28:$AD28,$BT$2)=0,"-",IF(COUNTIF('Програма-кодове'!$C28:$AD28,$BT$2)=1,INDEX('Програма-кодове'!$C$1:$AD$1,1,MATCH($BT$2,'Програма-кодове'!$C28:$AD28,0)),"Дублаж"))</f>
        <v>8б</v>
      </c>
      <c r="BU29" s="193" t="str">
        <f t="shared" si="18"/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-</v>
      </c>
      <c r="BX29" s="30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7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8д</v>
      </c>
      <c r="BZ29" s="30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6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-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12д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9в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  <c r="CF29" s="30" t="str">
        <f>IF(COUNTIF('Програма-кодове'!$C28:$AD28,$CF$2)=0,"-",IF(COUNTIF('Програма-кодове'!$C28:$AD28,$CF$2)=1,INDEX('Програма-кодове'!$C$1:$AD$1,1,MATCH($CF$2,'Програма-кодове'!$C28:$AD28,0)),"Дублаж"))</f>
        <v>-</v>
      </c>
    </row>
    <row r="30" spans="1:84" ht="13.6" customHeight="1" thickBot="1">
      <c r="A30" s="411"/>
      <c r="B30" s="330">
        <v>7</v>
      </c>
      <c r="C30" s="310" t="str">
        <f t="shared" si="3"/>
        <v>-</v>
      </c>
      <c r="D30" s="312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12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12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12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12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12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12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12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12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12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12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12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12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12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10" t="str">
        <f t="shared" si="0"/>
        <v>-</v>
      </c>
      <c r="S30" s="310" t="str">
        <f t="shared" si="4"/>
        <v>-</v>
      </c>
      <c r="T30" s="310" t="str">
        <f t="shared" si="5"/>
        <v>-</v>
      </c>
      <c r="U30" s="312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12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12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12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12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12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10" t="str">
        <f t="shared" si="6"/>
        <v>-</v>
      </c>
      <c r="AB30" s="310" t="str">
        <f t="shared" si="7"/>
        <v>-</v>
      </c>
      <c r="AC30" s="310" t="str">
        <f t="shared" si="8"/>
        <v>-</v>
      </c>
      <c r="AD30" s="310" t="str">
        <f t="shared" si="9"/>
        <v>-</v>
      </c>
      <c r="AE30" s="310" t="str">
        <f t="shared" si="10"/>
        <v>-</v>
      </c>
      <c r="AF30" s="310" t="str">
        <f t="shared" si="11"/>
        <v>-</v>
      </c>
      <c r="AG30" s="310" t="str">
        <f>IF(BC30&lt;&gt;"-",IF(AND(BF30="-",BI30="-",BL30="-"),BC30,"Дублаж"),IF(BF30&lt;&gt;"-",IF(AND(BI30="-",BL30="-"),BF30,"Дублаж"),IF(BI30&lt;&gt;"-",IF(BL30="-",BI30,"Дублаж"),BL30)))</f>
        <v>-</v>
      </c>
      <c r="AH30" s="310" t="str">
        <f t="shared" si="13"/>
        <v>-</v>
      </c>
      <c r="AI30" s="312" t="str">
        <f t="shared" si="14"/>
        <v>-</v>
      </c>
      <c r="AJ30" s="310" t="str">
        <f>IF(CD30&lt;&gt;"-",IF(AND(CE30="-",CF30="-"),CD30,"Дублаж"),IF(AND(CE30&lt;&gt;"-",CF30&lt;&gt;"-"),"Дублаж",IF(CE30&lt;&gt;"-",CE30,CF30)))</f>
        <v>-</v>
      </c>
      <c r="AK30" s="312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12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12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10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10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10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10" t="str">
        <f t="shared" si="16"/>
        <v>-</v>
      </c>
      <c r="AR30" s="310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10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10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36"/>
        <v>-</v>
      </c>
      <c r="AV30" s="195" t="str">
        <f t="shared" si="23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10" t="str">
        <f t="shared" si="17"/>
        <v>-</v>
      </c>
      <c r="BA30" s="30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30" t="str">
        <f>IF(COUNTIF('Програма-кодове'!$C29:$AD29,$BN$2)=0,"-",IF(COUNTIF('Програма-кодове'!$C29:$AD29,$BN$2)=1,INDEX('Програма-кодове'!$C$1:$AD$1,1,MATCH($BN$2,'Програма-кодове'!$C29:$AD29,0)),"Дублаж"))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K29='Програма-кодове'!M29,'Програма-кодове'!K29&lt;&gt;""),"9а, в", IF(AND('Програма-кодове'!P29='Програма-кодове'!T29,'Програма-кодове'!P29&lt;&gt;""),"10а,д", "Дублаж"))))</f>
        <v>-</v>
      </c>
      <c r="BP30" s="77" t="str">
        <f>IF(COUNTIF('Програма-кодове'!$C29:$AD29,$BP$2)=0,"-",IF(COUNTIF('Програма-кодове'!$C29:$AD29,$BP$2)=1,INDEX('Програма-кодове'!$C$1:$AD$1,1,MATCH($BP$2,'Програма-кодове'!$C29:$AD29,0)),IF(AND('Програма-кодове'!L29='Програма-кодове'!N29,'Програма-кодове'!L29&lt;&gt;"" ),"9б,г",IF(AND('Програма-кодове'!Z29='Програма-кодове'!AB29,'Програма-кодове'!Z29&lt;&gt;"" ),"12а,в","Дублаж"))))</f>
        <v>-</v>
      </c>
      <c r="BQ30" s="30" t="str">
        <f>IF(COUNTIF('Програма-кодове'!$C29:$AD29,$BQ$2)=0,"-",IF(COUNTIF('Програма-кодове'!$C29:$AD29,$BQ$2)=1,"10б,в,г","Дублаж"))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IF(COUNTIF('Програма-кодове'!$C29:$AD29,$BR$2)=0,"-",IF(COUNTIF('Програма-кодове'!$C29:$AD29,$BR$2)=1,INDEX('Програма-кодове'!$C$1:$AD$1,1,MATCH($BR$2,'Програма-кодове'!$C29:$AD29,0)),"Дублаж"))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IF('Програма-кодове'!W29='Програма-кодове'!X29,"11б,в","Дублаж")))</f>
        <v>-</v>
      </c>
      <c r="BT30" s="30" t="str">
        <f>IF(COUNTIF('Програма-кодове'!$C29:$AD29,$BT$2)=0,"-",IF(COUNTIF('Програма-кодове'!$C29:$AD29,$BT$2)=1,INDEX('Програма-кодове'!$C$1:$AD$1,1,MATCH($BT$2,'Програма-кодове'!$C29:$AD29,0)),"Дублаж"))</f>
        <v>-</v>
      </c>
      <c r="BU30" s="193" t="str">
        <f t="shared" si="18"/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  <c r="CF30" s="30" t="str">
        <f>IF(COUNTIF('Програма-кодове'!$C29:$AD29,$CF$2)=0,"-",IF(COUNTIF('Програма-кодове'!$C29:$AD29,$CF$2)=1,INDEX('Програма-кодове'!$C$1:$AD$1,1,MATCH($CF$2,'Програма-кодове'!$C29:$AD29,0)),"Дублаж"))</f>
        <v>-</v>
      </c>
    </row>
    <row r="31" spans="1:84" ht="12.8" customHeight="1">
      <c r="A31" s="412" t="s">
        <v>28</v>
      </c>
      <c r="B31" s="313">
        <v>1</v>
      </c>
      <c r="C31" s="311" t="str">
        <f t="shared" si="3"/>
        <v>-</v>
      </c>
      <c r="D31" s="194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12в</v>
      </c>
      <c r="E31" s="194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8б</v>
      </c>
      <c r="F31" s="194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11а</v>
      </c>
      <c r="G31" s="34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9д</v>
      </c>
      <c r="H31" s="346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-</v>
      </c>
      <c r="I31" s="194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-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-</v>
      </c>
      <c r="K31" s="194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8в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11г</v>
      </c>
      <c r="M31" s="196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11б</v>
      </c>
      <c r="N31" s="363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-</v>
      </c>
      <c r="O31" s="196" t="str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9б</v>
      </c>
      <c r="P31" s="363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8a</v>
      </c>
      <c r="Q31" s="196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-</v>
      </c>
      <c r="R31" s="359" t="str">
        <f t="shared" si="0"/>
        <v>-</v>
      </c>
      <c r="S31" s="311" t="str">
        <f>IF(BP31&lt;&gt;"-",IF(AND(BR31="-",BQ31="-"),BP31,"Дублаж"),IF(AND(BR31&lt;&gt;"-",BQ31&lt;&gt;"-"),"Дублаж",IF(BR31&lt;&gt;"-",BR31,BQ31)))</f>
        <v>12г</v>
      </c>
      <c r="T31" s="311" t="str">
        <f t="shared" si="5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12а</v>
      </c>
      <c r="V31" s="194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6</v>
      </c>
      <c r="W31" s="194" t="str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-</v>
      </c>
      <c r="X31" s="194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8г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12б</v>
      </c>
      <c r="Z31" s="196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7</v>
      </c>
      <c r="AA31" s="311" t="str">
        <f>IF(BH31&lt;&gt;"-",IF(AND(BJ31="-",BI31="-"),BH31,"Дублаж"),IF(BJ31&lt;&gt;"-",IF(BI31="-",BJ31,"Дублаж"),BI31))</f>
        <v>8д</v>
      </c>
      <c r="AB31" s="311" t="str">
        <f t="shared" si="7"/>
        <v>-</v>
      </c>
      <c r="AC31" s="311" t="str">
        <f t="shared" si="8"/>
        <v>9г</v>
      </c>
      <c r="AD31" s="311" t="str">
        <f t="shared" si="9"/>
        <v>9г</v>
      </c>
      <c r="AE31" s="311">
        <f>IF(BJ31&lt;&gt;"-",IF(AND(BC31="-",BH31="-",BK31="-"),BJ31,"Дублаж"),IF(BC31&lt;&gt;"-",IF(AND(BH31="-",BK31="-"),BC31,"Дублаж"),IF(BH31&lt;&gt;"-",IF(BK31="-",BH31,"Дублаж"),BK31)))</f>
        <v>5</v>
      </c>
      <c r="AF31" s="311" t="str">
        <f>IF(BE31&lt;&gt;"-",IF(AND(BF31="-",BG31="-"),BE31,"Дублаж"),IF(AND(BF31&lt;&gt;"-",BG31&lt;&gt;"-"),"Дублаж",IF(BF31&lt;&gt;"-",BF31,BG31)))</f>
        <v>-</v>
      </c>
      <c r="AG31" s="311" t="str">
        <f>IF(BC31&lt;&gt;"-",IF(AND(BF31="-",BI31="-",BL31="-"),BC31,"Дублаж"),IF(BF31&lt;&gt;"-",IF(AND(BI31="-",BL31="-"),BF31,"Дублаж"),IF(BI31&lt;&gt;"-",IF(BL31="-",BI31,"Дублаж"),BL31)))</f>
        <v>8д</v>
      </c>
      <c r="AH31" s="311" t="str">
        <f>IF(AND(BE31&lt;&gt;"-",BN31&lt;&gt;"-"),"Дублаж",IF(BE31&lt;&gt;"-",BE31,BN31))</f>
        <v>-</v>
      </c>
      <c r="AI31" s="196" t="str">
        <f t="shared" si="14"/>
        <v>-</v>
      </c>
      <c r="AJ31" s="311" t="str">
        <f t="shared" si="15"/>
        <v>10а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11д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10б</v>
      </c>
      <c r="AM31" s="194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9а</v>
      </c>
      <c r="AN31" s="193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-</v>
      </c>
      <c r="AO31" s="193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10г</v>
      </c>
      <c r="AP31" s="193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193" t="str">
        <f t="shared" ref="AQ31" si="39">IF(AND(CB31&lt;&gt;"-",CC31&lt;&gt;"-"),"Дублаж",IF(CB31&lt;&gt;"-",CB31,CC31))</f>
        <v>10в</v>
      </c>
      <c r="AR31" s="193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9в</v>
      </c>
      <c r="AS31" s="193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-</v>
      </c>
      <c r="AT31" s="193" t="str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12д</v>
      </c>
      <c r="AU31" s="194" t="str">
        <f t="shared" si="36"/>
        <v>11в</v>
      </c>
      <c r="AV31" s="361">
        <f t="shared" si="23"/>
        <v>5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10д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 t="str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-</v>
      </c>
      <c r="AZ31" s="311" t="str">
        <f t="shared" si="17"/>
        <v>-</v>
      </c>
      <c r="BA31" s="30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9г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-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-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8д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5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30" t="str">
        <f>IF(COUNTIF('Програма-кодове'!$C30:$AD30,$BN$2)=0,"-",IF(COUNTIF('Програма-кодове'!$C30:$AD30,$BN$2)=1,INDEX('Програма-кодове'!$C$1:$AD$1,1,MATCH($BN$2,'Програма-кодове'!$C30:$AD30,0)),"Дублаж"))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K30='Програма-кодове'!M30,'Програма-кодове'!K30&lt;&gt;""),"9а, в", IF(AND('Програма-кодове'!P30='Програма-кодове'!T30,'Програма-кодове'!P30&lt;&gt;""),"10а,д", "Дублаж"))))</f>
        <v>-</v>
      </c>
      <c r="BP31" s="77" t="str">
        <f>IF(COUNTIF('Програма-кодове'!$C30:$AD30,$BP$2)=0,"-",IF(COUNTIF('Програма-кодове'!$C30:$AD30,$BP$2)=1,INDEX('Програма-кодове'!$C$1:$AD$1,1,MATCH($BP$2,'Програма-кодове'!$C30:$AD30,0)),IF(AND('Програма-кодове'!L30='Програма-кодове'!N30,'Програма-кодове'!L30&lt;&gt;"" ),"9б,г",IF(AND('Програма-кодове'!Z30='Програма-кодове'!AB30,'Програма-кодове'!Z30&lt;&gt;"" ),"12а,в","Дублаж"))))</f>
        <v>-</v>
      </c>
      <c r="BQ31" s="30" t="str">
        <f>IF(COUNTIF('Програма-кодове'!$C30:$AD30,$BQ$2)=0,"-",IF(COUNTIF('Програма-кодове'!$C30:$AD30,$BQ$2)=1,"10б,в,г","Дублаж"))</f>
        <v>-</v>
      </c>
      <c r="BR31" s="30" t="str">
        <f>IF(COUNTIF('Програма-кодове'!$C30:$AD30,$BR$2)=0,"-",IF(COUNTIF('Програма-кодове'!$C30:$AD30,$BR$2)=1,INDEX('Програма-кодове'!$C$1:$AD$1,1,MATCH($BR$2,'Програма-кодове'!$C30:$AD30,0)),"Дублаж"))</f>
        <v>12г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IF('Програма-кодове'!W30='Програма-кодове'!X30,"11б,в","Дублаж")))</f>
        <v>-</v>
      </c>
      <c r="BT31" s="30" t="str">
        <f>IF(COUNTIF('Програма-кодове'!$C30:$AD30,$BT$2)=0,"-",IF(COUNTIF('Програма-кодове'!$C30:$AD30,$BT$2)=1,INDEX('Програма-кодове'!$C$1:$AD$1,1,MATCH($BT$2,'Програма-кодове'!$C30:$AD30,0)),"Дублаж"))</f>
        <v>-</v>
      </c>
      <c r="BU31" s="193" t="str">
        <f t="shared" si="18"/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-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11в</v>
      </c>
      <c r="BX31" s="30" t="str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-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-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-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-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10в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10а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  <c r="CF31" s="30" t="str">
        <f>IF(COUNTIF('Програма-кодове'!$C30:$AD30,$CF$2)=0,"-",IF(COUNTIF('Програма-кодове'!$C30:$AD30,$CF$2)=1,INDEX('Програма-кодове'!$C$1:$AD$1,1,MATCH($CF$2,'Програма-кодове'!$C30:$AD30,0)),"Дублаж"))</f>
        <v>-</v>
      </c>
    </row>
    <row r="32" spans="1:84" ht="13.6" customHeight="1">
      <c r="A32" s="407"/>
      <c r="B32" s="314">
        <v>2</v>
      </c>
      <c r="C32" s="193" t="str">
        <f t="shared" si="3"/>
        <v>-</v>
      </c>
      <c r="D32" s="194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12д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8д</v>
      </c>
      <c r="F32" s="194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11а</v>
      </c>
      <c r="G32" s="346" t="str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9а</v>
      </c>
      <c r="H32" s="346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-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12в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-</v>
      </c>
      <c r="K32" s="194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8в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-</v>
      </c>
      <c r="M32" s="194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11б</v>
      </c>
      <c r="N32" s="363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-</v>
      </c>
      <c r="O32" s="194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9д</v>
      </c>
      <c r="P32" s="363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8a</v>
      </c>
      <c r="Q32" s="194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-</v>
      </c>
      <c r="R32" s="359" t="str">
        <f t="shared" si="0"/>
        <v>-</v>
      </c>
      <c r="S32" s="193" t="str">
        <f t="shared" si="4"/>
        <v>12г</v>
      </c>
      <c r="T32" s="193" t="str">
        <f t="shared" si="5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-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9в</v>
      </c>
      <c r="W32" s="194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5</v>
      </c>
      <c r="X32" s="194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8б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12б</v>
      </c>
      <c r="Z32" s="194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7</v>
      </c>
      <c r="AA32" s="193" t="str">
        <f t="shared" si="6"/>
        <v>8г</v>
      </c>
      <c r="AB32" s="193" t="str">
        <f t="shared" si="7"/>
        <v>-</v>
      </c>
      <c r="AC32" s="193" t="str">
        <f t="shared" si="8"/>
        <v>9б</v>
      </c>
      <c r="AD32" s="193" t="str">
        <f t="shared" si="9"/>
        <v>9б</v>
      </c>
      <c r="AE32" s="193" t="str">
        <f t="shared" si="10"/>
        <v>-</v>
      </c>
      <c r="AF32" s="193" t="str">
        <f t="shared" si="11"/>
        <v>-</v>
      </c>
      <c r="AG32" s="193" t="str">
        <f t="shared" ref="AG32:AG37" si="40">IF(BC32&lt;&gt;"-",IF(AND(BF32="-",BI32="-",BL32="-"),BC32,"Дублаж"),IF(BF32&lt;&gt;"-",IF(AND(BI32="-",BL32="-"),BF32,"Дублаж"),IF(BI32&lt;&gt;"-",IF(BL32="-",BI32,"Дублаж"),BL32)))</f>
        <v>8г</v>
      </c>
      <c r="AH32" s="193">
        <f t="shared" si="13"/>
        <v>6</v>
      </c>
      <c r="AI32" s="194" t="str">
        <f t="shared" si="14"/>
        <v>-</v>
      </c>
      <c r="AJ32" s="193" t="str">
        <f t="shared" si="15"/>
        <v>10г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11в</v>
      </c>
      <c r="AL32" s="196" t="str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10в</v>
      </c>
      <c r="AM32" s="194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11г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-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10д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16"/>
        <v>10а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-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11д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9г</v>
      </c>
      <c r="AU32" s="194" t="str">
        <f t="shared" si="36"/>
        <v>10б</v>
      </c>
      <c r="AV32" s="359">
        <f t="shared" si="23"/>
        <v>6</v>
      </c>
      <c r="AW32" s="194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12а</v>
      </c>
      <c r="AX32" s="194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-</v>
      </c>
      <c r="AY32" s="194" t="str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-</v>
      </c>
      <c r="AZ32" s="193" t="str">
        <f t="shared" si="17"/>
        <v>-</v>
      </c>
      <c r="BA32" s="30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9б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-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-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8г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 t="str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-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30">
        <f>IF(COUNTIF('Програма-кодове'!$C31:$AD31,$BN$2)=0,"-",IF(COUNTIF('Програма-кодове'!$C31:$AD31,$BN$2)=1,INDEX('Програма-кодове'!$C$1:$AD$1,1,MATCH($BN$2,'Програма-кодове'!$C31:$AD31,0)),"Дублаж"))</f>
        <v>6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K31='Програма-кодове'!M31,'Програма-кодове'!K31&lt;&gt;""),"9а, в", IF(AND('Програма-кодове'!P31='Програма-кодове'!T31,'Програма-кодове'!P31&lt;&gt;""),"10а,д", "Дублаж"))))</f>
        <v>-</v>
      </c>
      <c r="BP32" s="77" t="str">
        <f>IF(COUNTIF('Програма-кодове'!$C31:$AD31,$BP$2)=0,"-",IF(COUNTIF('Програма-кодове'!$C31:$AD31,$BP$2)=1,INDEX('Програма-кодове'!$C$1:$AD$1,1,MATCH($BP$2,'Програма-кодове'!$C31:$AD31,0)),IF(AND('Програма-кодове'!L31='Програма-кодове'!N31,'Програма-кодове'!L31&lt;&gt;"" ),"9б,г",IF(AND('Програма-кодове'!Z31='Програма-кодове'!AB31,'Програма-кодове'!Z31&lt;&gt;"" ),"12а,в","Дублаж"))))</f>
        <v>-</v>
      </c>
      <c r="BQ32" s="30" t="str">
        <f>IF(COUNTIF('Програма-кодове'!$C31:$AD31,$BQ$2)=0,"-",IF(COUNTIF('Програма-кодове'!$C31:$AD31,$BQ$2)=1,"10б,в,г","Дублаж"))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IF(COUNTIF('Програма-кодове'!$C31:$AD31,$BR$2)=0,"-",IF(COUNTIF('Програма-кодове'!$C31:$AD31,$BR$2)=1,INDEX('Програма-кодове'!$C$1:$AD$1,1,MATCH($BR$2,'Програма-кодове'!$C31:$AD31,0)),"Дублаж"))</f>
        <v>12г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IF('Програма-кодове'!W31='Програма-кодове'!X31,"11б,в","Дублаж")))</f>
        <v>-</v>
      </c>
      <c r="BT32" s="30" t="str">
        <f>IF(COUNTIF('Програма-кодове'!$C31:$AD31,$BT$2)=0,"-",IF(COUNTIF('Програма-кодове'!$C31:$AD31,$BT$2)=1,INDEX('Програма-кодове'!$C$1:$AD$1,1,MATCH($BT$2,'Програма-кодове'!$C31:$AD31,0)),"Дублаж"))</f>
        <v>-</v>
      </c>
      <c r="BU32" s="193" t="str">
        <f t="shared" si="18"/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 t="str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-</v>
      </c>
      <c r="BX32" s="30" t="str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10б</v>
      </c>
      <c r="BY32" s="30" t="str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-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-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10а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10г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  <c r="CF32" s="30" t="str">
        <f>IF(COUNTIF('Програма-кодове'!$C31:$AD31,$CF$2)=0,"-",IF(COUNTIF('Програма-кодове'!$C31:$AD31,$CF$2)=1,INDEX('Програма-кодове'!$C$1:$AD$1,1,MATCH($CF$2,'Програма-кодове'!$C31:$AD31,0)),"Дублаж"))</f>
        <v>-</v>
      </c>
    </row>
    <row r="33" spans="1:84" ht="13.6" customHeight="1">
      <c r="A33" s="407"/>
      <c r="B33" s="314">
        <v>3</v>
      </c>
      <c r="C33" s="193" t="str">
        <f t="shared" si="3"/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12г</v>
      </c>
      <c r="E33" s="194" t="str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8г</v>
      </c>
      <c r="F33" s="194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9б</v>
      </c>
      <c r="G33" s="34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-</v>
      </c>
      <c r="H33" s="194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10д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12д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8д</v>
      </c>
      <c r="K33" s="194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8в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8б</v>
      </c>
      <c r="N33" s="94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-</v>
      </c>
      <c r="O33" s="363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-</v>
      </c>
      <c r="P33" s="363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194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10а</v>
      </c>
      <c r="R33" s="342" t="str">
        <f t="shared" si="0"/>
        <v>-</v>
      </c>
      <c r="S33" s="342" t="str">
        <f t="shared" si="4"/>
        <v>12а,в</v>
      </c>
      <c r="T33" s="342" t="str">
        <f t="shared" si="5"/>
        <v>12а,в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9а</v>
      </c>
      <c r="V33" s="194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9в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11д</v>
      </c>
      <c r="X33" s="194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10б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-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-</v>
      </c>
      <c r="AA33" s="193" t="str">
        <f t="shared" si="6"/>
        <v>-</v>
      </c>
      <c r="AB33" s="193" t="str">
        <f t="shared" si="7"/>
        <v>-</v>
      </c>
      <c r="AC33" s="193" t="str">
        <f t="shared" si="8"/>
        <v>-</v>
      </c>
      <c r="AD33" s="193" t="str">
        <f t="shared" si="9"/>
        <v>-</v>
      </c>
      <c r="AE33" s="193">
        <f t="shared" si="10"/>
        <v>6</v>
      </c>
      <c r="AF33" s="193" t="str">
        <f t="shared" si="11"/>
        <v>12б</v>
      </c>
      <c r="AG33" s="193" t="str">
        <f t="shared" si="40"/>
        <v>-</v>
      </c>
      <c r="AH33" s="193" t="str">
        <f t="shared" si="13"/>
        <v>12б</v>
      </c>
      <c r="AI33" s="194" t="str">
        <f t="shared" si="14"/>
        <v>-</v>
      </c>
      <c r="AJ33" s="193" t="str">
        <f t="shared" si="15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11б</v>
      </c>
      <c r="AL33" s="196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7</v>
      </c>
      <c r="AM33" s="196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-</v>
      </c>
      <c r="AN33" s="94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5</v>
      </c>
      <c r="AO33" s="94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-</v>
      </c>
      <c r="AP33" s="94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94" t="str">
        <f t="shared" ref="AQ33" si="41">IF(AND(CB33&lt;&gt;"-",CC33&lt;&gt;"-"),"Дублаж",IF(CB33&lt;&gt;"-",CB33,CC33))</f>
        <v>10г</v>
      </c>
      <c r="AR33" s="94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11г</v>
      </c>
      <c r="AS33" s="94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11в</v>
      </c>
      <c r="AT33" s="94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9д</v>
      </c>
      <c r="AU33" s="194" t="str">
        <f t="shared" si="36"/>
        <v>-</v>
      </c>
      <c r="AV33" s="194">
        <f t="shared" si="23"/>
        <v>6</v>
      </c>
      <c r="AW33" s="194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10в</v>
      </c>
      <c r="AX33" s="194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-</v>
      </c>
      <c r="AY33" s="194" t="str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-</v>
      </c>
      <c r="AZ33" s="193" t="str">
        <f t="shared" si="17"/>
        <v>-</v>
      </c>
      <c r="BA33" s="30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 t="str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-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12б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-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-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6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30" t="str">
        <f>IF(COUNTIF('Програма-кодове'!$C32:$AD32,$BN$2)=0,"-",IF(COUNTIF('Програма-кодове'!$C32:$AD32,$BN$2)=1,INDEX('Програма-кодове'!$C$1:$AD$1,1,MATCH($BN$2,'Програма-кодове'!$C32:$AD32,0)),"Дублаж"))</f>
        <v>-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K32='Програма-кодове'!M32,'Програма-кодове'!K32&lt;&gt;""),"9а, в", IF(AND('Програма-кодове'!P32='Програма-кодове'!T32,'Програма-кодове'!P32&lt;&gt;""),"10а,д", "Дублаж"))))</f>
        <v>-</v>
      </c>
      <c r="BP33" s="77" t="str">
        <f>IF(COUNTIF('Програма-кодове'!$C32:$AD32,$BP$2)=0,"-",IF(COUNTIF('Програма-кодове'!$C32:$AD32,$BP$2)=1,INDEX('Програма-кодове'!$C$1:$AD$1,1,MATCH($BP$2,'Програма-кодове'!$C32:$AD32,0)),IF(AND('Програма-кодове'!L32='Програма-кодове'!N32,'Програма-кодове'!L32&lt;&gt;"" ),"9б,г",IF(AND('Програма-кодове'!Z32='Програма-кодове'!AB32,'Програма-кодове'!Z32&lt;&gt;"" ),"12а,в","Дублаж"))))</f>
        <v>12а,в</v>
      </c>
      <c r="BQ33" s="30" t="str">
        <f>IF(COUNTIF('Програма-кодове'!$C32:$AD32,$BQ$2)=0,"-",IF(COUNTIF('Програма-кодове'!$C32:$AD32,$BQ$2)=1,"10б,в,г","Дублаж"))</f>
        <v>-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IF(COUNTIF('Програма-кодове'!$C32:$AD32,$BR$2)=0,"-",IF(COUNTIF('Програма-кодове'!$C32:$AD32,$BR$2)=1,INDEX('Програма-кодове'!$C$1:$AD$1,1,MATCH($BR$2,'Програма-кодове'!$C32:$AD32,0)),"Дублаж"))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IF('Програма-кодове'!W32='Програма-кодове'!X32,"11б,в","Дублаж")))</f>
        <v>-</v>
      </c>
      <c r="BT33" s="30" t="str">
        <f>IF(COUNTIF('Програма-кодове'!$C32:$AD32,$BT$2)=0,"-",IF(COUNTIF('Програма-кодове'!$C32:$AD32,$BT$2)=1,INDEX('Програма-кодове'!$C$1:$AD$1,1,MATCH($BT$2,'Програма-кодове'!$C32:$AD32,0)),"Дублаж"))</f>
        <v>-</v>
      </c>
      <c r="BU33" s="193" t="str">
        <f t="shared" si="18"/>
        <v>-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 t="str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-</v>
      </c>
      <c r="BX33" s="30" t="str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-</v>
      </c>
      <c r="BY33" s="30" t="str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-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-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-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10г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  <c r="CF33" s="30" t="str">
        <f>IF(COUNTIF('Програма-кодове'!$C32:$AD32,$CF$2)=0,"-",IF(COUNTIF('Програма-кодове'!$C32:$AD32,$CF$2)=1,INDEX('Програма-кодове'!$C$1:$AD$1,1,MATCH($CF$2,'Програма-кодове'!$C32:$AD32,0)),"Дублаж"))</f>
        <v>-</v>
      </c>
    </row>
    <row r="34" spans="1:84" ht="13.6" customHeight="1">
      <c r="A34" s="407"/>
      <c r="B34" s="314">
        <v>4</v>
      </c>
      <c r="C34" s="193" t="str">
        <f t="shared" si="3"/>
        <v>-</v>
      </c>
      <c r="D34" s="194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6</v>
      </c>
      <c r="E34" s="194" t="str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-</v>
      </c>
      <c r="F34" s="346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-</v>
      </c>
      <c r="G34" s="346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9г</v>
      </c>
      <c r="H34" s="194" t="str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10д</v>
      </c>
      <c r="I34" s="194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12б</v>
      </c>
      <c r="J34" s="194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8д</v>
      </c>
      <c r="K34" s="194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8в</v>
      </c>
      <c r="L34" s="196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11д</v>
      </c>
      <c r="M34" s="366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-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8г</v>
      </c>
      <c r="O34" s="363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-</v>
      </c>
      <c r="P34" s="363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8a</v>
      </c>
      <c r="Q34" s="194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10г</v>
      </c>
      <c r="R34" s="366" t="str">
        <f t="shared" si="0"/>
        <v>11г</v>
      </c>
      <c r="S34" s="342" t="str">
        <f t="shared" si="4"/>
        <v>12а,в</v>
      </c>
      <c r="T34" s="342" t="str">
        <f t="shared" si="5"/>
        <v>12а,в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12г</v>
      </c>
      <c r="V34" s="338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-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11а</v>
      </c>
      <c r="X34" s="359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12д</v>
      </c>
      <c r="Z34" s="194" t="str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11б</v>
      </c>
      <c r="AA34" s="193" t="str">
        <f t="shared" si="6"/>
        <v>8б</v>
      </c>
      <c r="AB34" s="193" t="str">
        <f t="shared" si="7"/>
        <v>-</v>
      </c>
      <c r="AC34" s="193" t="str">
        <f t="shared" si="8"/>
        <v>-</v>
      </c>
      <c r="AD34" s="193" t="str">
        <f t="shared" si="9"/>
        <v>-</v>
      </c>
      <c r="AE34" s="193" t="str">
        <f t="shared" si="10"/>
        <v>-</v>
      </c>
      <c r="AF34" s="193">
        <f t="shared" si="11"/>
        <v>5</v>
      </c>
      <c r="AG34" s="193" t="str">
        <f t="shared" si="40"/>
        <v>8б</v>
      </c>
      <c r="AH34" s="193" t="str">
        <f t="shared" si="13"/>
        <v>-</v>
      </c>
      <c r="AI34" s="338">
        <f t="shared" si="14"/>
        <v>7</v>
      </c>
      <c r="AJ34" s="193" t="str">
        <f t="shared" si="15"/>
        <v>10в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-</v>
      </c>
      <c r="AL34" s="196" t="str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10а</v>
      </c>
      <c r="AM34" s="196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11в</v>
      </c>
      <c r="AN34" s="193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-</v>
      </c>
      <c r="AO34" s="193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193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193" t="str">
        <f t="shared" si="16"/>
        <v>-</v>
      </c>
      <c r="AR34" s="193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9д</v>
      </c>
      <c r="AS34" s="193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9а</v>
      </c>
      <c r="AT34" s="193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9в</v>
      </c>
      <c r="AU34" s="194" t="str">
        <f t="shared" si="36"/>
        <v>9б</v>
      </c>
      <c r="AV34" s="359">
        <f t="shared" si="23"/>
        <v>5</v>
      </c>
      <c r="AW34" s="194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-</v>
      </c>
      <c r="AX34" s="194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-</v>
      </c>
      <c r="AY34" s="194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-</v>
      </c>
      <c r="AZ34" s="193" t="str">
        <f t="shared" si="17"/>
        <v>-</v>
      </c>
      <c r="BA34" s="30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-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-</v>
      </c>
      <c r="BG34" s="30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5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-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8б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30" t="str">
        <f>IF(COUNTIF('Програма-кодове'!$C33:$AD33,$BN$2)=0,"-",IF(COUNTIF('Програма-кодове'!$C33:$AD33,$BN$2)=1,INDEX('Програма-кодове'!$C$1:$AD$1,1,MATCH($BN$2,'Програма-кодове'!$C33:$AD33,0)),"Дублаж"))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K33='Програма-кодове'!M33,'Програма-кодове'!K33&lt;&gt;""),"9а, в", IF(AND('Програма-кодове'!P33='Програма-кодове'!T33,'Програма-кодове'!P33&lt;&gt;""),"10а,д", "Дублаж"))))</f>
        <v>-</v>
      </c>
      <c r="BP34" s="77" t="str">
        <f>IF(COUNTIF('Програма-кодове'!$C33:$AD33,$BP$2)=0,"-",IF(COUNTIF('Програма-кодове'!$C33:$AD33,$BP$2)=1,INDEX('Програма-кодове'!$C$1:$AD$1,1,MATCH($BP$2,'Програма-кодове'!$C33:$AD33,0)),IF(AND('Програма-кодове'!L33='Програма-кодове'!N33,'Програма-кодове'!L33&lt;&gt;"" ),"9б,г",IF(AND('Програма-кодове'!Z33='Програма-кодове'!AB33,'Програма-кодове'!Z33&lt;&gt;"" ),"12а,в","Дублаж"))))</f>
        <v>12а,в</v>
      </c>
      <c r="BQ34" s="30" t="str">
        <f>IF(COUNTIF('Програма-кодове'!$C33:$AD33,$BQ$2)=0,"-",IF(COUNTIF('Програма-кодове'!$C33:$AD33,$BQ$2)=1,"10б,в,г","Дублаж"))</f>
        <v>-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IF(COUNTIF('Програма-кодове'!$C33:$AD33,$BR$2)=0,"-",IF(COUNTIF('Програма-кодове'!$C33:$AD33,$BR$2)=1,INDEX('Програма-кодове'!$C$1:$AD$1,1,MATCH($BR$2,'Програма-кодове'!$C33:$AD33,0)),"Дублаж"))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IF('Програма-кодове'!W33='Програма-кодове'!X33,"11б,в","Дублаж")))</f>
        <v>-</v>
      </c>
      <c r="BT34" s="30" t="str">
        <f>IF(COUNTIF('Програма-кодове'!$C33:$AD33,$BT$2)=0,"-",IF(COUNTIF('Програма-кодове'!$C33:$AD33,$BT$2)=1,INDEX('Програма-кодове'!$C$1:$AD$1,1,MATCH($BT$2,'Програма-кодове'!$C33:$AD33,0)),"Дублаж"))</f>
        <v>-</v>
      </c>
      <c r="BU34" s="193" t="str">
        <f t="shared" si="18"/>
        <v>-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11г</v>
      </c>
      <c r="BW34" s="30" t="str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-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9б</v>
      </c>
      <c r="BY34" s="30" t="str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-</v>
      </c>
      <c r="BZ34" s="30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7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-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-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-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10в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  <c r="CF34" s="30" t="str">
        <f>IF(COUNTIF('Програма-кодове'!$C33:$AD33,$CF$2)=0,"-",IF(COUNTIF('Програма-кодове'!$C33:$AD33,$CF$2)=1,INDEX('Програма-кодове'!$C$1:$AD$1,1,MATCH($CF$2,'Програма-кодове'!$C33:$AD33,0)),"Дублаж"))</f>
        <v>-</v>
      </c>
    </row>
    <row r="35" spans="1:84" ht="13.6" customHeight="1">
      <c r="A35" s="407"/>
      <c r="B35" s="314">
        <v>5</v>
      </c>
      <c r="C35" s="193" t="str">
        <f t="shared" si="3"/>
        <v>-</v>
      </c>
      <c r="D35" s="194" t="str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-</v>
      </c>
      <c r="E35" s="196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7</v>
      </c>
      <c r="F35" s="346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-</v>
      </c>
      <c r="G35" s="346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5</v>
      </c>
      <c r="H35" s="196" t="str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10а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12а</v>
      </c>
      <c r="J35" s="194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8д</v>
      </c>
      <c r="K35" s="342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-</v>
      </c>
      <c r="L35" s="196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11в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 t="str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8г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-</v>
      </c>
      <c r="P35" s="194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-</v>
      </c>
      <c r="Q35" s="194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10б</v>
      </c>
      <c r="R35" s="193" t="str">
        <f t="shared" si="0"/>
        <v>12б</v>
      </c>
      <c r="S35" s="193" t="str">
        <f t="shared" si="4"/>
        <v>12д</v>
      </c>
      <c r="T35" s="342" t="str">
        <f t="shared" si="5"/>
        <v>12б,д</v>
      </c>
      <c r="U35" s="194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-</v>
      </c>
      <c r="V35" s="338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-</v>
      </c>
      <c r="W35" s="194" t="str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11а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-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12в</v>
      </c>
      <c r="Z35" s="194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11б</v>
      </c>
      <c r="AA35" s="193" t="str">
        <f t="shared" si="6"/>
        <v>8в</v>
      </c>
      <c r="AB35" s="193" t="str">
        <f t="shared" si="7"/>
        <v>-</v>
      </c>
      <c r="AC35" s="193" t="str">
        <f t="shared" si="8"/>
        <v>-</v>
      </c>
      <c r="AD35" s="193" t="str">
        <f t="shared" si="9"/>
        <v>-</v>
      </c>
      <c r="AE35" s="193" t="str">
        <f t="shared" si="10"/>
        <v>-</v>
      </c>
      <c r="AF35" s="193" t="str">
        <f t="shared" si="11"/>
        <v>12г</v>
      </c>
      <c r="AG35" s="193" t="str">
        <f t="shared" si="40"/>
        <v>8в</v>
      </c>
      <c r="AH35" s="193" t="str">
        <f t="shared" si="13"/>
        <v>12г</v>
      </c>
      <c r="AI35" s="338" t="str">
        <f t="shared" si="14"/>
        <v>9а</v>
      </c>
      <c r="AJ35" s="193" t="str">
        <f t="shared" si="15"/>
        <v>10д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11г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10г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11д</v>
      </c>
      <c r="AN35" s="193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6</v>
      </c>
      <c r="AO35" s="193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10в</v>
      </c>
      <c r="AP35" s="193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193" t="str">
        <f t="shared" ref="AQ35" si="42">IF(AND(CB35&lt;&gt;"-",CC35&lt;&gt;"-"),"Дублаж",IF(CB35&lt;&gt;"-",CB35,CC35))</f>
        <v>-</v>
      </c>
      <c r="AR35" s="193" t="str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9г</v>
      </c>
      <c r="AS35" s="193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9б</v>
      </c>
      <c r="AT35" s="193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-</v>
      </c>
      <c r="AU35" s="194" t="str">
        <f t="shared" si="36"/>
        <v>9д</v>
      </c>
      <c r="AV35" s="194" t="str">
        <f t="shared" si="23"/>
        <v>-</v>
      </c>
      <c r="AW35" s="194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-</v>
      </c>
      <c r="AX35" s="194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9в</v>
      </c>
      <c r="AY35" s="194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8a</v>
      </c>
      <c r="AZ35" s="193" t="str">
        <f t="shared" si="17"/>
        <v>-</v>
      </c>
      <c r="BA35" s="30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12г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-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8в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30" t="str">
        <f>IF(COUNTIF('Програма-кодове'!$C34:$AD34,$BN$2)=0,"-",IF(COUNTIF('Програма-кодове'!$C34:$AD34,$BN$2)=1,INDEX('Програма-кодове'!$C$1:$AD$1,1,MATCH($BN$2,'Програма-кодове'!$C34:$AD34,0)),"Дублаж"))</f>
        <v>-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K34='Програма-кодове'!M34,'Програма-кодове'!K34&lt;&gt;""),"9а, в", IF(AND('Програма-кодове'!P34='Програма-кодове'!T34,'Програма-кодове'!P34&lt;&gt;""),"10а,д", "Дублаж"))))</f>
        <v>12б</v>
      </c>
      <c r="BP35" s="77" t="str">
        <f>IF(COUNTIF('Програма-кодове'!$C34:$AD34,$BP$2)=0,"-",IF(COUNTIF('Програма-кодове'!$C34:$AD34,$BP$2)=1,INDEX('Програма-кодове'!$C$1:$AD$1,1,MATCH($BP$2,'Програма-кодове'!$C34:$AD34,0)),IF(AND('Програма-кодове'!L34='Програма-кодове'!N34,'Програма-кодове'!L34&lt;&gt;"" ),"9б,г",IF(AND('Програма-кодове'!Z34='Програма-кодове'!AB34,'Програма-кодове'!Z34&lt;&gt;"" ),"12а,в","Дублаж"))))</f>
        <v>12д</v>
      </c>
      <c r="BQ35" s="30" t="str">
        <f>IF(COUNTIF('Програма-кодове'!$C34:$AD34,$BQ$2)=0,"-",IF(COUNTIF('Програма-кодове'!$C34:$AD34,$BQ$2)=1,"10б,в,г","Дублаж"))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IF(COUNTIF('Програма-кодове'!$C34:$AD34,$BR$2)=0,"-",IF(COUNTIF('Програма-кодове'!$C34:$AD34,$BR$2)=1,INDEX('Програма-кодове'!$C$1:$AD$1,1,MATCH($BR$2,'Програма-кодове'!$C34:$AD34,0)),"Дублаж"))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IF('Програма-кодове'!W34='Програма-кодове'!X34,"11б,в","Дублаж")))</f>
        <v>-</v>
      </c>
      <c r="BT35" s="30" t="str">
        <f>IF(COUNTIF('Програма-кодове'!$C34:$AD34,$BT$2)=0,"-",IF(COUNTIF('Програма-кодове'!$C34:$AD34,$BT$2)=1,INDEX('Програма-кодове'!$C$1:$AD$1,1,MATCH($BT$2,'Програма-кодове'!$C34:$AD34,0)),"Дублаж"))</f>
        <v>-</v>
      </c>
      <c r="BU35" s="193" t="str">
        <f t="shared" si="18"/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-</v>
      </c>
      <c r="BW35" s="30" t="str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-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9д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-</v>
      </c>
      <c r="BZ35" s="30" t="str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-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9а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-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10д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  <c r="CF35" s="30" t="str">
        <f>IF(COUNTIF('Програма-кодове'!$C34:$AD34,$CF$2)=0,"-",IF(COUNTIF('Програма-кодове'!$C34:$AD34,$CF$2)=1,INDEX('Програма-кодове'!$C$1:$AD$1,1,MATCH($CF$2,'Програма-кодове'!$C34:$AD34,0)),"Дублаж"))</f>
        <v>-</v>
      </c>
    </row>
    <row r="36" spans="1:84" ht="13.6" customHeight="1">
      <c r="A36" s="407"/>
      <c r="B36" s="314">
        <v>6</v>
      </c>
      <c r="C36" s="193" t="str">
        <f t="shared" si="3"/>
        <v>-</v>
      </c>
      <c r="D36" s="194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-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8в</v>
      </c>
      <c r="F36" s="346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-</v>
      </c>
      <c r="G36" s="348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9в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10г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12г</v>
      </c>
      <c r="J36" s="194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8д</v>
      </c>
      <c r="K36" s="342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-</v>
      </c>
      <c r="L36" s="196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11в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 t="str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8г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-</v>
      </c>
      <c r="P36" s="194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-</v>
      </c>
      <c r="Q36" s="194" t="str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10в</v>
      </c>
      <c r="R36" s="193" t="str">
        <f t="shared" si="0"/>
        <v>12б</v>
      </c>
      <c r="S36" s="193" t="str">
        <f t="shared" si="4"/>
        <v>12д</v>
      </c>
      <c r="T36" s="342" t="str">
        <f>IF(BO36&lt;&gt;"-",IF(AND(BP36="-",BU36="-"),BO36,IF(AND(BO36="11в",BP36="11б"),"11б,в",IF(AND(BO36="12б",BP36="12д"),"12б,д",IF(AND(BO36="12в",BP36="12б"),"12б,в")))),IF(BP36&lt;&gt;"-",IF(BU36="-",BP36,"Дублаж"),BU36))</f>
        <v>12б,д</v>
      </c>
      <c r="U36" s="194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-</v>
      </c>
      <c r="V36" s="338" t="str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-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11г</v>
      </c>
      <c r="X36" s="359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-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12в</v>
      </c>
      <c r="Z36" s="194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10д</v>
      </c>
      <c r="AA36" s="193" t="str">
        <f t="shared" si="6"/>
        <v>8a</v>
      </c>
      <c r="AB36" s="193" t="str">
        <f t="shared" si="7"/>
        <v>-</v>
      </c>
      <c r="AC36" s="193" t="str">
        <f t="shared" si="8"/>
        <v>-</v>
      </c>
      <c r="AD36" s="193" t="str">
        <f t="shared" si="9"/>
        <v>-</v>
      </c>
      <c r="AE36" s="193" t="str">
        <f t="shared" si="10"/>
        <v>-</v>
      </c>
      <c r="AF36" s="193" t="str">
        <f t="shared" si="11"/>
        <v>12а</v>
      </c>
      <c r="AG36" s="193" t="str">
        <f t="shared" si="40"/>
        <v>8a</v>
      </c>
      <c r="AH36" s="193" t="str">
        <f t="shared" si="13"/>
        <v>12а</v>
      </c>
      <c r="AI36" s="338" t="str">
        <f>IF(AND(CA36&lt;&gt;"-",BZ36&lt;&gt;"-"),"Дублаж",IF(CA36&lt;&gt;"-",CA36,BZ36))</f>
        <v>9г</v>
      </c>
      <c r="AJ36" s="193" t="str">
        <f t="shared" si="15"/>
        <v>10б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11а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9б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11б</v>
      </c>
      <c r="AN36" s="193" t="str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9д</v>
      </c>
      <c r="AO36" s="193" t="str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10а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16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11д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-</v>
      </c>
      <c r="AT36" s="193" t="str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-</v>
      </c>
      <c r="AU36" s="194">
        <f t="shared" si="36"/>
        <v>5</v>
      </c>
      <c r="AV36" s="359">
        <f t="shared" si="23"/>
        <v>7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-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9а</v>
      </c>
      <c r="AY36" s="194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6</v>
      </c>
      <c r="AZ36" s="193" t="str">
        <f>IF(AND(BT36&lt;&gt;"-",BU36&lt;&gt;"-"),"Дублаж",IF(BT36&lt;&gt;"-",BT36,BU36))</f>
        <v>-</v>
      </c>
      <c r="BA36" s="30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12а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-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8a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30" t="str">
        <f>IF(COUNTIF('Програма-кодове'!$C35:$AD35,$BN$2)=0,"-",IF(COUNTIF('Програма-кодове'!$C35:$AD35,$BN$2)=1,INDEX('Програма-кодове'!$C$1:$AD$1,1,MATCH($BN$2,'Програма-кодове'!$C35:$AD35,0)),"Дублаж"))</f>
        <v>-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K35='Програма-кодове'!M35,'Програма-кодове'!K35&lt;&gt;""),"9а, в", IF(AND('Програма-кодове'!P35='Програма-кодове'!T35,'Програма-кодове'!P35&lt;&gt;""),"10а,д", "Дублаж"))))</f>
        <v>12б</v>
      </c>
      <c r="BP36" s="77" t="str">
        <f>IF(COUNTIF('Програма-кодове'!$C35:$AD35,$BP$2)=0,"-",IF(COUNTIF('Програма-кодове'!$C35:$AD35,$BP$2)=1,INDEX('Програма-кодове'!$C$1:$AD$1,1,MATCH($BP$2,'Програма-кодове'!$C35:$AD35,0)),IF(AND('Програма-кодове'!L35='Програма-кодове'!N35,'Програма-кодове'!L35&lt;&gt;"" ),"9б,г",IF(AND('Програма-кодове'!Z35='Програма-кодове'!AB35,'Програма-кодове'!Z35&lt;&gt;"" ),"12а,в","Дублаж"))))</f>
        <v>12д</v>
      </c>
      <c r="BQ36" s="30" t="str">
        <f>IF(COUNTIF('Програма-кодове'!$C35:$AD35,$BQ$2)=0,"-",IF(COUNTIF('Програма-кодове'!$C35:$AD35,$BQ$2)=1,"10б,в,г","Дублаж"))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IF(COUNTIF('Програма-кодове'!$C35:$AD35,$BR$2)=0,"-",IF(COUNTIF('Програма-кодове'!$C35:$AD35,$BR$2)=1,INDEX('Програма-кодове'!$C$1:$AD$1,1,MATCH($BR$2,'Програма-кодове'!$C35:$AD35,0)),"Дублаж"))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IF('Програма-кодове'!W35='Програма-кодове'!X35,"11б,в","Дублаж")))</f>
        <v>-</v>
      </c>
      <c r="BT36" s="30" t="str">
        <f>IF(COUNTIF('Програма-кодове'!$C35:$AD35,$BT$2)=0,"-",IF(COUNTIF('Програма-кодове'!$C35:$AD35,$BT$2)=1,INDEX('Програма-кодове'!$C$1:$AD$1,1,MATCH($BT$2,'Програма-кодове'!$C35:$AD35,0)),"Дублаж"))</f>
        <v>-</v>
      </c>
      <c r="BU36" s="193" t="str">
        <f t="shared" si="18"/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5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7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-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9г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10б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  <c r="CF36" s="30" t="str">
        <f>IF(COUNTIF('Програма-кодове'!$C35:$AD35,$CF$2)=0,"-",IF(COUNTIF('Програма-кодове'!$C35:$AD35,$CF$2)=1,INDEX('Програма-кодове'!$C$1:$AD$1,1,MATCH($CF$2,'Програма-кодове'!$C35:$AD35,0)),"Дублаж"))</f>
        <v>-</v>
      </c>
    </row>
    <row r="37" spans="1:84" ht="11.95" customHeight="1" thickBot="1">
      <c r="A37" s="408"/>
      <c r="B37" s="327">
        <v>7</v>
      </c>
      <c r="C37" s="310" t="str">
        <f t="shared" si="3"/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195" t="str">
        <f t="shared" si="0"/>
        <v>-</v>
      </c>
      <c r="S37" s="195" t="str">
        <f t="shared" si="4"/>
        <v>-</v>
      </c>
      <c r="T37" s="195" t="str">
        <f t="shared" ref="T37" si="43">IF(BO37&lt;&gt;"-",IF(AND(BP37="-",BU37="-"),BO37,IF(AND(BO37="11б",BP37="11д"),"11б,д",IF(AND(BO37="12д",BP37="12а"),"12а,д",IF(AND(BO37="12в",BP37="12б"),"12б,в",IF(AND(BO37="10в",BP37="10б"),"10б,в",IF(AND(BO37="9д",BP37="9в"),"9в,д","Дублаж")))))),IF(BP37&lt;&gt;"-",IF(BU37="-",BP37,"Дублаж"),BU37))</f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195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10" t="str">
        <f t="shared" si="6"/>
        <v>-</v>
      </c>
      <c r="AB37" s="310" t="str">
        <f t="shared" si="7"/>
        <v>-</v>
      </c>
      <c r="AC37" s="310" t="str">
        <f t="shared" si="8"/>
        <v>-</v>
      </c>
      <c r="AD37" s="310" t="str">
        <f t="shared" si="9"/>
        <v>-</v>
      </c>
      <c r="AE37" s="310" t="str">
        <f t="shared" si="10"/>
        <v>-</v>
      </c>
      <c r="AF37" s="310" t="str">
        <f t="shared" si="11"/>
        <v>-</v>
      </c>
      <c r="AG37" s="310" t="str">
        <f t="shared" si="40"/>
        <v>-</v>
      </c>
      <c r="AH37" s="310" t="str">
        <f t="shared" si="13"/>
        <v>-</v>
      </c>
      <c r="AI37" s="209" t="str">
        <f t="shared" si="14"/>
        <v>-</v>
      </c>
      <c r="AJ37" s="310" t="str">
        <f>IF(CD37&lt;&gt;"-",IF(AND(CE37="-",CF37="-"),CD37,"Дублаж"),IF(AND(CE37&lt;&gt;"-",CF37&lt;&gt;"-"),"Дублаж",IF(CE37&lt;&gt;"-",CE37,CF37)))</f>
        <v>-</v>
      </c>
      <c r="AK37" s="209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09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09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10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10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10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10" t="str">
        <f t="shared" si="16"/>
        <v>-</v>
      </c>
      <c r="AR37" s="310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10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10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09" t="str">
        <f t="shared" si="36"/>
        <v>-</v>
      </c>
      <c r="AV37" s="195" t="str">
        <f>IF(BY37&lt;&gt;"-",IF(AND(BG37="-",BK37="-",BL37="-",BN37="-"),BY37,"Дублаж"),IF(BG37&lt;&gt;"-",IF(AND(BK37="-",BL37="-",BN37="-"),BG37,"Дублаж"),IF(BK37&lt;&gt;"-",IF(AND(BL37="-",BN37="-"),BK37,"Дублаж"),IF(BL37&lt;&gt;"-",IF(BN37="-", BL37, BN37),BN37))))</f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10" t="str">
        <f t="shared" si="17"/>
        <v>-</v>
      </c>
      <c r="BA37" s="30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30" t="str">
        <f>IF(COUNTIF('Програма-кодове'!$C36:$AD36,$BN$2)=0,"-",IF(COUNTIF('Програма-кодове'!$C36:$AD36,$BN$2)=1,INDEX('Програма-кодове'!$C$1:$AD$1,1,MATCH($BN$2,'Програма-кодове'!$C36:$AD36,0)),"Дублаж"))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K36='Програма-кодове'!M36,'Програма-кодове'!K36&lt;&gt;""),"9а, в", IF(AND('Програма-кодове'!P36='Програма-кодове'!T36,'Програма-кодове'!P36&lt;&gt;""),"10а,д", "Дублаж"))))</f>
        <v>-</v>
      </c>
      <c r="BP37" s="77" t="str">
        <f>IF(COUNTIF('Програма-кодове'!$C36:$AD36,$BP$2)=0,"-",IF(COUNTIF('Програма-кодове'!$C36:$AD36,$BP$2)=1,INDEX('Програма-кодове'!$C$1:$AD$1,1,MATCH($BP$2,'Програма-кодове'!$C36:$AD36,0)),IF(AND('Програма-кодове'!L36='Програма-кодове'!N36,'Програма-кодове'!L36&lt;&gt;"" ),"9б,г",IF(AND('Програма-кодове'!Z36='Програма-кодове'!AB36,'Програма-кодове'!Z36&lt;&gt;"" ),"12а,в","Дублаж"))))</f>
        <v>-</v>
      </c>
      <c r="BQ37" s="30" t="str">
        <f>IF(COUNTIF('Програма-кодове'!$C36:$AD36,$BQ$2)=0,"-",IF(COUNTIF('Програма-кодове'!$C36:$AD36,$BQ$2)=1,"10б,в,г","Дублаж"))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IF(COUNTIF('Програма-кодове'!$C36:$AD36,$BR$2)=0,"-",IF(COUNTIF('Програма-кодове'!$C36:$AD36,$BR$2)=1,INDEX('Програма-кодове'!$C$1:$AD$1,1,MATCH($BR$2,'Програма-кодове'!$C36:$AD36,0)),"Дублаж"))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IF('Програма-кодове'!W36='Програма-кодове'!X36,"11б,в","Дублаж")))</f>
        <v>-</v>
      </c>
      <c r="BT37" s="30" t="str">
        <f>IF(COUNTIF('Програма-кодове'!$C36:$AD36,$BT$2)=0,"-",IF(COUNTIF('Програма-кодове'!$C36:$AD36,$BT$2)=1,INDEX('Програма-кодове'!$C$1:$AD$1,1,MATCH($BT$2,'Програма-кодове'!$C36:$AD36,0)),"Дублаж"))</f>
        <v>-</v>
      </c>
      <c r="BU37" s="193" t="str">
        <f t="shared" si="18"/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  <c r="CF37" s="30" t="str">
        <f>IF(COUNTIF('Програма-кодове'!$C36:$AD36,$CF$2)=0,"-",IF(COUNTIF('Програма-кодове'!$C36:$AD36,$CF$2)=1,INDEX('Програма-кодове'!$C$1:$AD$1,1,MATCH($CF$2,'Програма-кодове'!$C36:$AD36,0)),"Дублаж"))</f>
        <v>-</v>
      </c>
    </row>
    <row r="38" spans="1:84" s="21" customFormat="1" ht="13.6" customHeight="1">
      <c r="A38" s="301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</row>
    <row r="39" spans="1:84">
      <c r="AN39" s="12" t="s">
        <v>123</v>
      </c>
      <c r="AO39" s="12" t="s">
        <v>124</v>
      </c>
      <c r="AP39" s="12" t="s">
        <v>125</v>
      </c>
      <c r="AQ39" s="12" t="s">
        <v>126</v>
      </c>
      <c r="AR39" s="12" t="s">
        <v>123</v>
      </c>
      <c r="AU39" s="12">
        <f>COUNTIF(AU3:AU37,"9д")</f>
        <v>1</v>
      </c>
      <c r="AW39" s="12" t="s">
        <v>250</v>
      </c>
      <c r="AZ39" s="12">
        <f>COUNTIF(C3:AZ37,"Дублаж")</f>
        <v>0</v>
      </c>
    </row>
    <row r="40" spans="1:84">
      <c r="AA40" s="21"/>
      <c r="AB40" s="12" t="s">
        <v>248</v>
      </c>
      <c r="AN40" s="12">
        <f>49-COUNTIF(AN3:AT9,"-")</f>
        <v>29</v>
      </c>
      <c r="AO40" s="12">
        <f>49-COUNTIF(AN10:AT16,"-")</f>
        <v>32</v>
      </c>
      <c r="AP40" s="12">
        <f>42-COUNTIF(AN17:AT22,"-")</f>
        <v>24</v>
      </c>
      <c r="AQ40" s="12">
        <f>42-COUNTIF(AN24:AT29,"-")</f>
        <v>22</v>
      </c>
      <c r="AR40" s="12">
        <f>42-COUNTIF(AN31:AT36,"-")</f>
        <v>24</v>
      </c>
      <c r="AS40" s="405">
        <f>SUM(AN40:AR40)</f>
        <v>131</v>
      </c>
      <c r="AT40" s="405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4">
      <c r="AA41" s="21"/>
      <c r="AB41" s="21" t="s">
        <v>249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405">
        <f>SUM(AN41:AR41)</f>
        <v>128</v>
      </c>
      <c r="AT41" s="405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4">
      <c r="AP42" s="12" t="s">
        <v>258</v>
      </c>
      <c r="AQ42" s="12" t="s">
        <v>258</v>
      </c>
      <c r="AR42" s="12" t="s">
        <v>258</v>
      </c>
    </row>
    <row r="43" spans="1:84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4" ht="15.05" customHeight="1">
      <c r="D44" s="12" t="s">
        <v>127</v>
      </c>
      <c r="R44" s="21"/>
      <c r="S44" s="21"/>
      <c r="T44" s="21"/>
      <c r="U44" s="21"/>
      <c r="W44" s="21"/>
      <c r="X44" s="21"/>
      <c r="AF44" s="12" t="s">
        <v>166</v>
      </c>
      <c r="BI44" s="79"/>
    </row>
    <row r="45" spans="1:84">
      <c r="A45" s="150"/>
      <c r="B45" s="151">
        <v>5</v>
      </c>
      <c r="C45" s="151">
        <v>6</v>
      </c>
      <c r="D45" s="151">
        <v>7</v>
      </c>
      <c r="E45" s="151" t="s">
        <v>112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112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4">
      <c r="A46" s="150" t="s">
        <v>123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33*")+COUNTIF('Програма-кодове'!C2:C8,"34*")+COUNTIF('Програма-кодове'!C2:C8,"41*")+COUNTIF('Програма-кодове'!C2:C8,"43*")</f>
        <v>2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3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0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0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0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34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4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34*")+COUNTIF('Програма-кодове'!N2:N8,"35*")+COUNTIF('Програма-кодове'!N2:N8,"41*")+COUNTIF('Програма-кодове'!N2:N8,"43*")+COUNTIF('Програма-кодове'!N2:N8,50)</f>
        <v>2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2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3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3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3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2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3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3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2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2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2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2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5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1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1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1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1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1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1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0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1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1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1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1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0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0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1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1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1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1</v>
      </c>
      <c r="BA46" s="152">
        <f>COUNTIF('Програма-кодове'!X2:X8,"45*")+COUNTIF('Програма-кодове'!X2:X8,46)+COUNTIF('Програма-кодове'!X2:X8,47)+COUNTIF('Програма-кодове'!X2:X8,48)+COUNTIF('Програма-кодове'!X2:X8,49)</f>
        <v>0</v>
      </c>
      <c r="BB46" s="152">
        <f>COUNTIF('Програма-кодове'!Y2:Y8,"45*")+COUNTIF('Програма-кодове'!Y2:Y8,46)+COUNTIF('Програма-кодове'!Y2:Y8,47)+COUNTIF('Програма-кодове'!Y2:Y8,48)+COUNTIF('Програма-кодове'!Y2:Y8,49)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0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0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0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1</v>
      </c>
    </row>
    <row r="47" spans="1:84">
      <c r="A47" s="150" t="s">
        <v>124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33*")+COUNTIF('Програма-кодове'!C9:C15,"34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0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0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34*")+COUNTIF('Програма-кодове'!K9:K15,"35*")+COUNTIF('Програма-кодове'!K9:K15,"41*")+COUNTIF('Програма-кодове'!K9:K15,"43*")+COUNTIF('Програма-кодове'!K9:K15,50)</f>
        <v>1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3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2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34*")+COUNTIF('Програма-кодове'!N9:N15,"35*")+COUNTIF('Програма-кодове'!N9:N15,"41*")+COUNTIF('Програма-кодове'!N9:N15,"43*")+COUNTIF('Програма-кодове'!N9:N15,50)</f>
        <v>2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4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3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3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3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3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5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5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2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1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1.5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1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0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1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0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0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0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1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0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1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1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COUNTIF('Програма-кодове'!X9:X15,"45*")+COUNTIF('Програма-кодове'!X9:X15,46)+COUNTIF('Програма-кодове'!X9:X15,47)+COUNTIF('Програма-кодове'!X9:X15,48)+COUNTIF('Програма-кодове'!X9:X15,49)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COUNTIF('Програма-кодове'!Y9:Y15,"45*")+COUNTIF('Програма-кодове'!Y9:Y15,46)+COUNTIF('Програма-кодове'!Y9:Y15,47)+COUNTIF('Програма-кодове'!Y9:Y15,48)+COUNTIF('Програма-кодове'!Y9:Y15,49)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1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1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1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4">
      <c r="A48" s="150" t="s">
        <v>125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33*")+COUNTIF('Програма-кодове'!C16:C21,"34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34*")+COUNTIF('Програма-кодове'!K16:K21,"35*")+COUNTIF('Програма-кодове'!K16:K21,"41*")+COUNTIF('Програма-кодове'!K16:K21,"43*")+COUNTIF('Програма-кодове'!K16:K21,50)</f>
        <v>1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2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34*")+COUNTIF('Програма-кодове'!N16:N21,"35*")+COUNTIF('Програма-кодове'!N16:N21,"41*")+COUNTIF('Програма-кодове'!N16:N21,"43*")+COUNTIF('Програма-кодове'!N16:N21,50)</f>
        <v>2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4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1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2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2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1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2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3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1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3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2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2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1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1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5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1.5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0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1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0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1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0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0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1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1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1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0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1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0</v>
      </c>
      <c r="BA48" s="152">
        <f>COUNTIF('Програма-кодове'!X16:X21,"45*")+COUNTIF('Програма-кодове'!X16:X21,46)+COUNTIF('Програма-кодове'!X16:X21,47)+COUNTIF('Програма-кодове'!X16:X21,48)+COUNTIF('Програма-кодове'!X16:X21,49)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COUNTIF('Програма-кодове'!Y16:Y21,"45*")+COUNTIF('Програма-кодове'!Y16:Y21,46)+COUNTIF('Програма-кодове'!Y16:Y21,47)+COUNTIF('Програма-кодове'!Y16:Y21,48)+COUNTIF('Програма-кодове'!Y16:Y21,49)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0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0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0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0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0</v>
      </c>
    </row>
    <row r="49" spans="1:59">
      <c r="A49" s="150" t="s">
        <v>126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33*")+COUNTIF('Програма-кодове'!C23:C29,"34*")+COUNTIF('Програма-кодове'!C23:C29,"41*")+COUNTIF('Програма-кодове'!C23:C29,"43*")</f>
        <v>1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1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1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34*")+COUNTIF('Програма-кодове'!K23:K28,"35*")+COUNTIF('Програма-кодове'!K23:K28,"41*")+COUNTIF('Програма-кодове'!K23:K28,"43*")+COUNTIF('Програма-кодове'!K23:K28,50)</f>
        <v>3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4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3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34*")+COUNTIF('Програма-кодове'!N23:N28,"35*")+COUNTIF('Програма-кодове'!N23:N28,"41*")+COUNTIF('Програма-кодове'!N23:N28,"43*")+COUNTIF('Програма-кодове'!N23:N28,50)</f>
        <v>1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2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3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3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2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3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3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1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2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1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2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0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0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5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1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0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0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1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1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0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2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1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1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0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0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COUNTIF('Програма-кодове'!W23:W28,"45*")+COUNTIF('Програма-кодове'!W23:W28,46)+COUNTIF('Програма-кодове'!W23:W28,47)+COUNTIF('Програма-кодове'!W23:W28,48)+COUNTIF('Програма-кодове'!W23:W28,49)</f>
        <v>0</v>
      </c>
      <c r="BA49" s="152">
        <f>COUNTIF('Програма-кодове'!X23:X28,"45*")+COUNTIF('Програма-кодове'!X23:X28,46)+COUNTIF('Програма-кодове'!X23:X28,47)+COUNTIF('Програма-кодове'!X23:X28,48)+COUNTIF('Програма-кодове'!X23:X28,49)</f>
        <v>1</v>
      </c>
      <c r="BB49" s="152">
        <f>COUNTIF('Програма-кодове'!Y23:Y28,"45*")+COUNTIF('Програма-кодове'!Y23:Y28,46)+COUNTIF('Програма-кодове'!Y23:Y28,47)+COUNTIF('Програма-кодове'!Y23:Y28,48)+COUNTIF('Програма-кодове'!Y23:Y28,49)</f>
        <v>1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0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1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1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123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33*")+COUNTIF('Програма-кодове'!C30:C36,"34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1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34*")+COUNTIF('Програма-кодове'!K30:K36,"35*")+COUNTIF('Програма-кодове'!K30:K36,"41*")+COUNTIF('Програма-кодове'!K30:K36,"43*")+COUNTIF('Програма-кодове'!K30:K36,50)</f>
        <v>2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2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2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34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3</v>
      </c>
      <c r="O50" s="152">
        <f>COUNTIF('Програма-кодове'!P30:P36,33)+COUNTIF('Програма-кодове'!P30:P36,34)+COUNTIF('Програма-кодове'!P30:P36,35)+COUNTIF('Програма-кодове'!P30:P36,36)+COUNTIF('Програма-кодове'!P30:P36,37)+COUNTIF('Програма-кодове'!P30:P36,38)+COUNTIF('Програма-кодове'!P30:P36,39)+COUNTIF('Програма-кодове'!P30:P36,40)+COUNTIF('Програма-кодове'!P30:P36,41)+COUNTIF('Програма-кодове'!P30:P36,42)+COUNTIF('Програма-кодове'!P30:P36,43)+COUNTIF('Програма-кодове'!P30:P36,44)+COUNTIF('Програма-кодове'!P30:P36,"33*")+COUNTIF('Програма-кодове'!P30:P36,"34*")+COUNTIF('Програма-кодове'!P30:P36,"35*")+COUNTIF('Програма-кодове'!P30:P36,"41*")+COUNTIF('Програма-кодове'!P30:P36,"43*")</f>
        <v>4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3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4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4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2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1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3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3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0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0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0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1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1.5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1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1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1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0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0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0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1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0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1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0</v>
      </c>
      <c r="AT50" s="152">
        <f>COUNTIF('Програма-кодове'!Q24:Q29,45)+COUNTIF('Програма-кодове'!Q24:Q29,46)+COUNTIF('Програма-кодове'!Q24:Q29,47)+COUNTIF('Програма-кодове'!Q24:Q29,48)+COUNTIF('Програма-кодове'!Q24:Q29,49)</f>
        <v>1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1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0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1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0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0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1</v>
      </c>
      <c r="BA50" s="152">
        <f>COUNTIF('Програма-кодове'!X30:X35,"45*")+COUNTIF('Програма-кодове'!X30:X35,46)+COUNTIF('Програма-кодове'!X30:X35,47)+COUNTIF('Програма-кодове'!X30:X35,48)+COUNTIF('Програма-кодове'!X30:X35,49)</f>
        <v>0</v>
      </c>
      <c r="BB50" s="152">
        <f>COUNTIF('Програма-кодове'!Y30:Y35,"45*")+COUNTIF('Програма-кодове'!Y30:Y35,46)+COUNTIF('Програма-кодове'!Y30:Y35,47)+COUNTIF('Програма-кодове'!Y30:Y35,48)+COUNTIF('Програма-кодове'!Y30:Y35,49)</f>
        <v>0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1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0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0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44">SUM(B46:B50)</f>
        <v>6</v>
      </c>
      <c r="C51" s="90">
        <f t="shared" si="44"/>
        <v>6</v>
      </c>
      <c r="D51" s="90">
        <f t="shared" si="44"/>
        <v>9</v>
      </c>
      <c r="E51" s="90">
        <f t="shared" si="44"/>
        <v>0</v>
      </c>
      <c r="F51" s="90">
        <f t="shared" si="44"/>
        <v>0</v>
      </c>
      <c r="G51" s="90">
        <f t="shared" si="44"/>
        <v>0</v>
      </c>
      <c r="H51" s="90">
        <f t="shared" si="44"/>
        <v>0</v>
      </c>
      <c r="I51" s="90">
        <f t="shared" si="44"/>
        <v>0</v>
      </c>
      <c r="J51" s="90">
        <f t="shared" si="44"/>
        <v>10</v>
      </c>
      <c r="K51" s="90">
        <f t="shared" si="44"/>
        <v>14</v>
      </c>
      <c r="L51" s="90">
        <f t="shared" si="44"/>
        <v>14</v>
      </c>
      <c r="M51" s="90">
        <f t="shared" si="44"/>
        <v>10</v>
      </c>
      <c r="N51" s="90">
        <f t="shared" si="44"/>
        <v>15</v>
      </c>
      <c r="O51" s="90">
        <f t="shared" si="44"/>
        <v>14</v>
      </c>
      <c r="P51" s="90">
        <f t="shared" si="44"/>
        <v>14</v>
      </c>
      <c r="Q51" s="90">
        <f t="shared" si="44"/>
        <v>14</v>
      </c>
      <c r="R51" s="90">
        <f t="shared" si="44"/>
        <v>14</v>
      </c>
      <c r="S51" s="90">
        <f t="shared" si="44"/>
        <v>14</v>
      </c>
      <c r="T51" s="90">
        <f t="shared" si="44"/>
        <v>11</v>
      </c>
      <c r="U51" s="90">
        <f t="shared" si="44"/>
        <v>11</v>
      </c>
      <c r="V51" s="90">
        <f t="shared" si="44"/>
        <v>11</v>
      </c>
      <c r="W51" s="90">
        <f t="shared" si="44"/>
        <v>11</v>
      </c>
      <c r="X51" s="90">
        <f t="shared" si="44"/>
        <v>18</v>
      </c>
      <c r="Y51" s="90">
        <f t="shared" si="44"/>
        <v>6</v>
      </c>
      <c r="Z51" s="90">
        <f t="shared" si="44"/>
        <v>6</v>
      </c>
      <c r="AA51" s="90">
        <f t="shared" si="44"/>
        <v>6</v>
      </c>
      <c r="AB51" s="90">
        <f t="shared" si="44"/>
        <v>6</v>
      </c>
      <c r="AC51" s="90">
        <f>SUM(AC46:AC50)</f>
        <v>17</v>
      </c>
      <c r="AF51" s="90">
        <f t="shared" ref="AF51:BG51" si="45">SUM(AF46:AF50)</f>
        <v>7</v>
      </c>
      <c r="AG51" s="90">
        <f t="shared" si="45"/>
        <v>6</v>
      </c>
      <c r="AH51" s="90">
        <f t="shared" si="45"/>
        <v>5.5</v>
      </c>
      <c r="AI51" s="90">
        <f t="shared" si="45"/>
        <v>3</v>
      </c>
      <c r="AJ51" s="90">
        <f t="shared" si="45"/>
        <v>3</v>
      </c>
      <c r="AK51" s="90">
        <f t="shared" si="45"/>
        <v>3</v>
      </c>
      <c r="AL51" s="90">
        <f t="shared" si="45"/>
        <v>3</v>
      </c>
      <c r="AM51" s="90">
        <f t="shared" si="45"/>
        <v>3</v>
      </c>
      <c r="AN51" s="90">
        <f t="shared" si="45"/>
        <v>3</v>
      </c>
      <c r="AO51" s="90">
        <f t="shared" si="45"/>
        <v>3</v>
      </c>
      <c r="AP51" s="90">
        <f t="shared" si="45"/>
        <v>3</v>
      </c>
      <c r="AQ51" s="90">
        <f t="shared" si="45"/>
        <v>3</v>
      </c>
      <c r="AR51" s="90">
        <f t="shared" si="45"/>
        <v>3</v>
      </c>
      <c r="AS51" s="90">
        <f t="shared" si="45"/>
        <v>3</v>
      </c>
      <c r="AT51" s="90">
        <f t="shared" si="45"/>
        <v>3</v>
      </c>
      <c r="AU51" s="90">
        <f t="shared" si="45"/>
        <v>3</v>
      </c>
      <c r="AV51" s="90">
        <f t="shared" si="45"/>
        <v>3</v>
      </c>
      <c r="AW51" s="90">
        <f t="shared" si="45"/>
        <v>3</v>
      </c>
      <c r="AX51" s="90">
        <f t="shared" si="45"/>
        <v>2</v>
      </c>
      <c r="AY51" s="90">
        <f t="shared" si="45"/>
        <v>2</v>
      </c>
      <c r="AZ51" s="90">
        <f t="shared" si="45"/>
        <v>2</v>
      </c>
      <c r="BA51" s="90">
        <f t="shared" si="45"/>
        <v>2</v>
      </c>
      <c r="BB51" s="90">
        <f t="shared" si="45"/>
        <v>2</v>
      </c>
      <c r="BC51" s="90">
        <f t="shared" si="45"/>
        <v>2</v>
      </c>
      <c r="BD51" s="90">
        <f t="shared" si="45"/>
        <v>2</v>
      </c>
      <c r="BE51" s="90">
        <f t="shared" si="45"/>
        <v>2</v>
      </c>
      <c r="BF51" s="90">
        <f t="shared" si="45"/>
        <v>2</v>
      </c>
      <c r="BG51" s="90">
        <f t="shared" si="45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2"/>
      <c r="W52" s="58"/>
      <c r="X52" s="58"/>
      <c r="Y52" s="58"/>
      <c r="Z52" s="58"/>
      <c r="AA52" s="226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9685039370078741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2019 - 2020&amp;C&amp;"Times New Roman,Bold"&amp;18 &amp;R&amp;"Times New Roman,Bold"&amp;18I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912C2-0181-4889-9866-F4AC62F17D53}">
  <dimension ref="A2:G227"/>
  <sheetViews>
    <sheetView tabSelected="1" topLeftCell="A58" zoomScaleNormal="100" workbookViewId="0">
      <selection activeCell="D69" sqref="D69"/>
    </sheetView>
  </sheetViews>
  <sheetFormatPr defaultRowHeight="12.45"/>
  <cols>
    <col min="1" max="1" width="4.375" customWidth="1"/>
    <col min="2" max="2" width="3.5" customWidth="1"/>
    <col min="3" max="3" width="17.875" customWidth="1"/>
    <col min="4" max="4" width="18.875" customWidth="1"/>
    <col min="5" max="5" width="22" customWidth="1"/>
    <col min="6" max="6" width="14.25" customWidth="1"/>
    <col min="7" max="7" width="26.375" customWidth="1"/>
  </cols>
  <sheetData>
    <row r="2" spans="1:7" ht="13.1" thickBot="1">
      <c r="A2" s="376"/>
    </row>
    <row r="3" spans="1:7" ht="13.75" thickTop="1" thickBot="1">
      <c r="A3" s="377"/>
      <c r="B3" s="377"/>
      <c r="C3" s="378" t="s">
        <v>24</v>
      </c>
      <c r="D3" s="378" t="s">
        <v>25</v>
      </c>
      <c r="E3" s="378" t="s">
        <v>26</v>
      </c>
      <c r="F3" s="378" t="s">
        <v>27</v>
      </c>
      <c r="G3" s="378" t="s">
        <v>28</v>
      </c>
    </row>
    <row r="4" spans="1:7" ht="13.1">
      <c r="A4" s="379"/>
      <c r="B4" s="380">
        <v>1</v>
      </c>
      <c r="C4" s="381" t="s">
        <v>35</v>
      </c>
      <c r="D4" s="382" t="s">
        <v>71</v>
      </c>
      <c r="E4" s="383" t="s">
        <v>44</v>
      </c>
      <c r="F4" s="383" t="s">
        <v>71</v>
      </c>
      <c r="G4" s="383" t="s">
        <v>233</v>
      </c>
    </row>
    <row r="5" spans="1:7" ht="13.1">
      <c r="A5" s="384"/>
      <c r="B5" s="380">
        <v>2</v>
      </c>
      <c r="C5" s="381" t="s">
        <v>35</v>
      </c>
      <c r="D5" s="382" t="s">
        <v>42</v>
      </c>
      <c r="E5" s="383" t="s">
        <v>47</v>
      </c>
      <c r="F5" s="383" t="s">
        <v>71</v>
      </c>
      <c r="G5" s="383" t="s">
        <v>35</v>
      </c>
    </row>
    <row r="6" spans="1:7" ht="26.2">
      <c r="A6" s="379"/>
      <c r="B6" s="380">
        <v>3</v>
      </c>
      <c r="C6" s="381" t="s">
        <v>44</v>
      </c>
      <c r="D6" s="382" t="s">
        <v>233</v>
      </c>
      <c r="E6" s="383" t="s">
        <v>71</v>
      </c>
      <c r="F6" s="383" t="s">
        <v>44</v>
      </c>
      <c r="G6" s="383" t="s">
        <v>42</v>
      </c>
    </row>
    <row r="7" spans="1:7" ht="13.1">
      <c r="A7" s="413" t="s">
        <v>128</v>
      </c>
      <c r="B7" s="380">
        <v>4</v>
      </c>
      <c r="C7" s="381" t="s">
        <v>38</v>
      </c>
      <c r="D7" s="382" t="s">
        <v>38</v>
      </c>
      <c r="E7" s="383" t="s">
        <v>43</v>
      </c>
      <c r="F7" s="383" t="s">
        <v>47</v>
      </c>
      <c r="G7" s="383" t="s">
        <v>36</v>
      </c>
    </row>
    <row r="8" spans="1:7" ht="26.2">
      <c r="A8" s="413"/>
      <c r="B8" s="380">
        <v>5</v>
      </c>
      <c r="C8" s="381" t="s">
        <v>100</v>
      </c>
      <c r="D8" s="382" t="s">
        <v>36</v>
      </c>
      <c r="E8" s="383" t="s">
        <v>397</v>
      </c>
      <c r="F8" s="383" t="s">
        <v>397</v>
      </c>
      <c r="G8" s="383" t="s">
        <v>71</v>
      </c>
    </row>
    <row r="9" spans="1:7" ht="26.2">
      <c r="A9" s="379"/>
      <c r="B9" s="380">
        <v>6</v>
      </c>
      <c r="C9" s="381" t="s">
        <v>42</v>
      </c>
      <c r="D9" s="382" t="s">
        <v>35</v>
      </c>
      <c r="E9" s="383" t="s">
        <v>35</v>
      </c>
      <c r="F9" s="383" t="s">
        <v>35</v>
      </c>
      <c r="G9" s="383" t="s">
        <v>43</v>
      </c>
    </row>
    <row r="10" spans="1:7" ht="13.75" thickBot="1">
      <c r="A10" s="385"/>
      <c r="B10" s="386">
        <v>7</v>
      </c>
      <c r="C10" s="385"/>
      <c r="D10" s="385"/>
      <c r="E10" s="387" t="s">
        <v>59</v>
      </c>
      <c r="F10" s="385"/>
      <c r="G10" s="385"/>
    </row>
    <row r="11" spans="1:7" ht="13.75" thickTop="1" thickBot="1">
      <c r="A11" s="388"/>
      <c r="B11" s="388"/>
      <c r="C11" s="389" t="s">
        <v>24</v>
      </c>
      <c r="D11" s="389" t="s">
        <v>25</v>
      </c>
      <c r="E11" s="389" t="s">
        <v>26</v>
      </c>
      <c r="F11" s="389" t="s">
        <v>27</v>
      </c>
      <c r="G11" s="389" t="s">
        <v>28</v>
      </c>
    </row>
    <row r="12" spans="1:7" ht="26.2">
      <c r="A12" s="390"/>
      <c r="B12" s="380">
        <v>1</v>
      </c>
      <c r="C12" s="381" t="s">
        <v>100</v>
      </c>
      <c r="D12" s="382" t="s">
        <v>45</v>
      </c>
      <c r="E12" s="383" t="s">
        <v>38</v>
      </c>
      <c r="F12" s="383" t="s">
        <v>45</v>
      </c>
      <c r="G12" s="383" t="s">
        <v>35</v>
      </c>
    </row>
    <row r="13" spans="1:7" ht="13.1">
      <c r="A13" s="379"/>
      <c r="B13" s="380">
        <v>2</v>
      </c>
      <c r="C13" s="381" t="s">
        <v>47</v>
      </c>
      <c r="D13" s="382" t="s">
        <v>47</v>
      </c>
      <c r="E13" s="383" t="s">
        <v>71</v>
      </c>
      <c r="F13" s="383" t="s">
        <v>71</v>
      </c>
      <c r="G13" s="383" t="s">
        <v>217</v>
      </c>
    </row>
    <row r="14" spans="1:7" ht="26.2">
      <c r="A14" s="413" t="s">
        <v>130</v>
      </c>
      <c r="B14" s="380">
        <v>3</v>
      </c>
      <c r="C14" s="381" t="s">
        <v>45</v>
      </c>
      <c r="D14" s="382" t="s">
        <v>35</v>
      </c>
      <c r="E14" s="383" t="s">
        <v>71</v>
      </c>
      <c r="F14" s="383" t="s">
        <v>397</v>
      </c>
      <c r="G14" s="383" t="s">
        <v>233</v>
      </c>
    </row>
    <row r="15" spans="1:7" ht="26.2">
      <c r="A15" s="413"/>
      <c r="B15" s="380">
        <v>4</v>
      </c>
      <c r="C15" s="381" t="s">
        <v>35</v>
      </c>
      <c r="D15" s="382" t="s">
        <v>233</v>
      </c>
      <c r="E15" s="383" t="s">
        <v>397</v>
      </c>
      <c r="F15" s="383" t="s">
        <v>35</v>
      </c>
      <c r="G15" s="383" t="s">
        <v>71</v>
      </c>
    </row>
    <row r="16" spans="1:7" ht="26.2">
      <c r="A16" s="413"/>
      <c r="B16" s="380">
        <v>5</v>
      </c>
      <c r="C16" s="381" t="s">
        <v>71</v>
      </c>
      <c r="D16" s="382" t="s">
        <v>398</v>
      </c>
      <c r="E16" s="383" t="s">
        <v>42</v>
      </c>
      <c r="F16" s="383" t="s">
        <v>35</v>
      </c>
      <c r="G16" s="383" t="s">
        <v>42</v>
      </c>
    </row>
    <row r="17" spans="1:7" ht="13.1">
      <c r="A17" s="379"/>
      <c r="B17" s="380">
        <v>6</v>
      </c>
      <c r="C17" s="381" t="s">
        <v>38</v>
      </c>
      <c r="D17" s="382" t="s">
        <v>217</v>
      </c>
      <c r="E17" s="383" t="s">
        <v>35</v>
      </c>
      <c r="F17" s="383" t="s">
        <v>100</v>
      </c>
      <c r="G17" s="383" t="s">
        <v>398</v>
      </c>
    </row>
    <row r="18" spans="1:7" ht="13.75" thickBot="1">
      <c r="A18" s="385"/>
      <c r="B18" s="386">
        <v>7</v>
      </c>
      <c r="C18" s="385"/>
      <c r="D18" s="385"/>
      <c r="E18" s="387" t="s">
        <v>59</v>
      </c>
      <c r="F18" s="385"/>
      <c r="G18" s="385"/>
    </row>
    <row r="19" spans="1:7" ht="13.75" thickTop="1" thickBot="1">
      <c r="A19" s="388"/>
      <c r="B19" s="388"/>
      <c r="C19" s="389" t="s">
        <v>24</v>
      </c>
      <c r="D19" s="389" t="s">
        <v>25</v>
      </c>
      <c r="E19" s="389" t="s">
        <v>26</v>
      </c>
      <c r="F19" s="389" t="s">
        <v>27</v>
      </c>
      <c r="G19" s="389" t="s">
        <v>28</v>
      </c>
    </row>
    <row r="20" spans="1:7" ht="13.1">
      <c r="A20" s="390"/>
      <c r="B20" s="380">
        <v>1</v>
      </c>
      <c r="C20" s="381" t="s">
        <v>45</v>
      </c>
      <c r="D20" s="382" t="s">
        <v>40</v>
      </c>
      <c r="E20" s="383" t="s">
        <v>398</v>
      </c>
      <c r="F20" s="383" t="s">
        <v>71</v>
      </c>
      <c r="G20" s="383" t="s">
        <v>35</v>
      </c>
    </row>
    <row r="21" spans="1:7" ht="13.1">
      <c r="A21" s="379"/>
      <c r="B21" s="380">
        <v>2</v>
      </c>
      <c r="C21" s="381" t="s">
        <v>37</v>
      </c>
      <c r="D21" s="382" t="s">
        <v>38</v>
      </c>
      <c r="E21" s="383" t="s">
        <v>233</v>
      </c>
      <c r="F21" s="383" t="s">
        <v>71</v>
      </c>
      <c r="G21" s="383" t="s">
        <v>35</v>
      </c>
    </row>
    <row r="22" spans="1:7" ht="26.2">
      <c r="A22" s="413" t="s">
        <v>157</v>
      </c>
      <c r="B22" s="380">
        <v>3</v>
      </c>
      <c r="C22" s="381" t="s">
        <v>398</v>
      </c>
      <c r="D22" s="382" t="s">
        <v>47</v>
      </c>
      <c r="E22" s="383" t="s">
        <v>35</v>
      </c>
      <c r="F22" s="383" t="s">
        <v>45</v>
      </c>
      <c r="G22" s="383" t="s">
        <v>47</v>
      </c>
    </row>
    <row r="23" spans="1:7" ht="13.1">
      <c r="A23" s="413"/>
      <c r="B23" s="380">
        <v>4</v>
      </c>
      <c r="C23" s="381" t="s">
        <v>40</v>
      </c>
      <c r="D23" s="382" t="s">
        <v>35</v>
      </c>
      <c r="E23" s="383" t="s">
        <v>100</v>
      </c>
      <c r="F23" s="383" t="s">
        <v>37</v>
      </c>
      <c r="G23" s="383" t="s">
        <v>100</v>
      </c>
    </row>
    <row r="24" spans="1:7" ht="26.2">
      <c r="A24" s="413"/>
      <c r="B24" s="380">
        <v>5</v>
      </c>
      <c r="C24" s="381" t="s">
        <v>71</v>
      </c>
      <c r="D24" s="382" t="s">
        <v>71</v>
      </c>
      <c r="E24" s="383" t="s">
        <v>71</v>
      </c>
      <c r="F24" s="383" t="s">
        <v>35</v>
      </c>
      <c r="G24" s="383" t="s">
        <v>71</v>
      </c>
    </row>
    <row r="25" spans="1:7" ht="13.1">
      <c r="A25" s="379"/>
      <c r="B25" s="380">
        <v>6</v>
      </c>
      <c r="C25" s="381" t="s">
        <v>42</v>
      </c>
      <c r="D25" s="382" t="s">
        <v>45</v>
      </c>
      <c r="E25" s="383" t="s">
        <v>233</v>
      </c>
      <c r="F25" s="383" t="s">
        <v>38</v>
      </c>
      <c r="G25" s="383" t="s">
        <v>397</v>
      </c>
    </row>
    <row r="26" spans="1:7" ht="13.75" thickBot="1">
      <c r="A26" s="385"/>
      <c r="B26" s="386">
        <v>7</v>
      </c>
      <c r="C26" s="391" t="s">
        <v>35</v>
      </c>
      <c r="D26" s="385"/>
      <c r="E26" s="387" t="s">
        <v>59</v>
      </c>
      <c r="F26" s="385"/>
      <c r="G26" s="385"/>
    </row>
    <row r="27" spans="1:7" ht="13.75" thickTop="1" thickBot="1">
      <c r="A27" s="388"/>
      <c r="B27" s="388"/>
      <c r="C27" s="389" t="s">
        <v>24</v>
      </c>
      <c r="D27" s="389" t="s">
        <v>25</v>
      </c>
      <c r="E27" s="389" t="s">
        <v>26</v>
      </c>
      <c r="F27" s="389" t="s">
        <v>27</v>
      </c>
      <c r="G27" s="389" t="s">
        <v>28</v>
      </c>
    </row>
    <row r="28" spans="1:7" ht="26.2">
      <c r="A28" s="390"/>
      <c r="B28" s="380">
        <v>1</v>
      </c>
      <c r="C28" s="381" t="s">
        <v>71</v>
      </c>
      <c r="D28" s="382" t="s">
        <v>36</v>
      </c>
      <c r="E28" s="383" t="s">
        <v>397</v>
      </c>
      <c r="F28" s="383" t="s">
        <v>45</v>
      </c>
      <c r="G28" s="383" t="s">
        <v>45</v>
      </c>
    </row>
    <row r="29" spans="1:7" ht="26.2">
      <c r="A29" s="379"/>
      <c r="B29" s="380">
        <v>2</v>
      </c>
      <c r="C29" s="381" t="s">
        <v>71</v>
      </c>
      <c r="D29" s="382" t="s">
        <v>71</v>
      </c>
      <c r="E29" s="383" t="s">
        <v>217</v>
      </c>
      <c r="F29" s="383" t="s">
        <v>45</v>
      </c>
      <c r="G29" s="383" t="s">
        <v>45</v>
      </c>
    </row>
    <row r="30" spans="1:7" ht="26.2">
      <c r="A30" s="413" t="s">
        <v>399</v>
      </c>
      <c r="B30" s="380">
        <v>3</v>
      </c>
      <c r="C30" s="381" t="s">
        <v>45</v>
      </c>
      <c r="D30" s="382" t="s">
        <v>35</v>
      </c>
      <c r="E30" s="383" t="s">
        <v>35</v>
      </c>
      <c r="F30" s="383" t="s">
        <v>45</v>
      </c>
      <c r="G30" s="383" t="s">
        <v>45</v>
      </c>
    </row>
    <row r="31" spans="1:7" ht="26.2">
      <c r="A31" s="413"/>
      <c r="B31" s="380">
        <v>4</v>
      </c>
      <c r="C31" s="381" t="s">
        <v>45</v>
      </c>
      <c r="D31" s="382" t="s">
        <v>45</v>
      </c>
      <c r="E31" s="383" t="s">
        <v>45</v>
      </c>
      <c r="F31" s="383" t="s">
        <v>35</v>
      </c>
      <c r="G31" s="383" t="s">
        <v>45</v>
      </c>
    </row>
    <row r="32" spans="1:7" ht="26.2">
      <c r="A32" s="413"/>
      <c r="B32" s="380">
        <v>5</v>
      </c>
      <c r="C32" s="381" t="s">
        <v>398</v>
      </c>
      <c r="D32" s="382" t="s">
        <v>45</v>
      </c>
      <c r="E32" s="383" t="s">
        <v>45</v>
      </c>
      <c r="F32" s="383" t="s">
        <v>41</v>
      </c>
      <c r="G32" s="383" t="s">
        <v>398</v>
      </c>
    </row>
    <row r="33" spans="1:7" ht="13.1">
      <c r="A33" s="379"/>
      <c r="B33" s="380">
        <v>6</v>
      </c>
      <c r="C33" s="381" t="s">
        <v>45</v>
      </c>
      <c r="D33" s="382" t="s">
        <v>45</v>
      </c>
      <c r="E33" s="383" t="s">
        <v>45</v>
      </c>
      <c r="F33" s="383" t="s">
        <v>71</v>
      </c>
      <c r="G33" s="383" t="s">
        <v>36</v>
      </c>
    </row>
    <row r="34" spans="1:7" ht="13.75" thickBot="1">
      <c r="A34" s="379"/>
      <c r="B34" s="380">
        <v>7</v>
      </c>
      <c r="C34" s="381" t="s">
        <v>45</v>
      </c>
      <c r="D34" s="382" t="s">
        <v>45</v>
      </c>
      <c r="E34" s="383" t="s">
        <v>59</v>
      </c>
      <c r="F34" s="379"/>
      <c r="G34" s="379"/>
    </row>
    <row r="35" spans="1:7" ht="13.75" thickTop="1" thickBot="1">
      <c r="A35" s="392"/>
      <c r="B35" s="392"/>
      <c r="C35" s="378" t="s">
        <v>24</v>
      </c>
      <c r="D35" s="378" t="s">
        <v>25</v>
      </c>
      <c r="E35" s="378" t="s">
        <v>26</v>
      </c>
      <c r="F35" s="378" t="s">
        <v>27</v>
      </c>
      <c r="G35" s="378" t="s">
        <v>28</v>
      </c>
    </row>
    <row r="36" spans="1:7" ht="26.2">
      <c r="A36" s="390"/>
      <c r="B36" s="380">
        <v>1</v>
      </c>
      <c r="C36" s="381" t="s">
        <v>71</v>
      </c>
      <c r="D36" s="382" t="s">
        <v>45</v>
      </c>
      <c r="E36" s="383" t="s">
        <v>45</v>
      </c>
      <c r="F36" s="383" t="s">
        <v>45</v>
      </c>
      <c r="G36" s="383" t="s">
        <v>71</v>
      </c>
    </row>
    <row r="37" spans="1:7" ht="26.2">
      <c r="A37" s="379"/>
      <c r="B37" s="380">
        <v>2</v>
      </c>
      <c r="C37" s="381" t="s">
        <v>71</v>
      </c>
      <c r="D37" s="382" t="s">
        <v>45</v>
      </c>
      <c r="E37" s="383" t="s">
        <v>45</v>
      </c>
      <c r="F37" s="383" t="s">
        <v>45</v>
      </c>
      <c r="G37" s="383" t="s">
        <v>35</v>
      </c>
    </row>
    <row r="38" spans="1:7" ht="26.2">
      <c r="A38" s="413" t="s">
        <v>400</v>
      </c>
      <c r="B38" s="380">
        <v>3</v>
      </c>
      <c r="C38" s="381" t="s">
        <v>398</v>
      </c>
      <c r="D38" s="382" t="s">
        <v>45</v>
      </c>
      <c r="E38" s="383" t="s">
        <v>45</v>
      </c>
      <c r="F38" s="383" t="s">
        <v>45</v>
      </c>
      <c r="G38" s="383" t="s">
        <v>45</v>
      </c>
    </row>
    <row r="39" spans="1:7" ht="26.2">
      <c r="A39" s="413"/>
      <c r="B39" s="380">
        <v>4</v>
      </c>
      <c r="C39" s="381" t="s">
        <v>45</v>
      </c>
      <c r="D39" s="382" t="s">
        <v>45</v>
      </c>
      <c r="E39" s="383" t="s">
        <v>217</v>
      </c>
      <c r="F39" s="383" t="s">
        <v>45</v>
      </c>
      <c r="G39" s="383" t="s">
        <v>36</v>
      </c>
    </row>
    <row r="40" spans="1:7" ht="13.1">
      <c r="A40" s="413"/>
      <c r="B40" s="380">
        <v>5</v>
      </c>
      <c r="C40" s="381" t="s">
        <v>45</v>
      </c>
      <c r="D40" s="382" t="s">
        <v>35</v>
      </c>
      <c r="E40" s="383" t="s">
        <v>35</v>
      </c>
      <c r="F40" s="383" t="s">
        <v>398</v>
      </c>
      <c r="G40" s="383" t="s">
        <v>45</v>
      </c>
    </row>
    <row r="41" spans="1:7" ht="26.2">
      <c r="A41" s="379"/>
      <c r="B41" s="380">
        <v>6</v>
      </c>
      <c r="C41" s="381" t="s">
        <v>45</v>
      </c>
      <c r="D41" s="382" t="s">
        <v>36</v>
      </c>
      <c r="E41" s="383" t="s">
        <v>71</v>
      </c>
      <c r="F41" s="383" t="s">
        <v>41</v>
      </c>
      <c r="G41" s="383" t="s">
        <v>45</v>
      </c>
    </row>
    <row r="42" spans="1:7" ht="13.75" thickBot="1">
      <c r="A42" s="385"/>
      <c r="B42" s="386">
        <v>7</v>
      </c>
      <c r="C42" s="391" t="s">
        <v>45</v>
      </c>
      <c r="D42" s="393" t="s">
        <v>397</v>
      </c>
      <c r="E42" s="387" t="s">
        <v>59</v>
      </c>
      <c r="F42" s="385"/>
      <c r="G42" s="385"/>
    </row>
    <row r="43" spans="1:7" ht="13.75" thickTop="1" thickBot="1">
      <c r="A43" s="388"/>
      <c r="B43" s="388"/>
      <c r="C43" s="389" t="s">
        <v>24</v>
      </c>
      <c r="D43" s="389" t="s">
        <v>25</v>
      </c>
      <c r="E43" s="389" t="s">
        <v>26</v>
      </c>
      <c r="F43" s="389" t="s">
        <v>27</v>
      </c>
      <c r="G43" s="389" t="s">
        <v>28</v>
      </c>
    </row>
    <row r="44" spans="1:7" ht="26.2">
      <c r="A44" s="390"/>
      <c r="B44" s="380">
        <v>1</v>
      </c>
      <c r="C44" s="381" t="s">
        <v>35</v>
      </c>
      <c r="D44" s="382" t="s">
        <v>35</v>
      </c>
      <c r="E44" s="383" t="s">
        <v>71</v>
      </c>
      <c r="F44" s="383" t="s">
        <v>35</v>
      </c>
      <c r="G44" s="383" t="s">
        <v>45</v>
      </c>
    </row>
    <row r="45" spans="1:7" ht="26.2">
      <c r="A45" s="379"/>
      <c r="B45" s="380">
        <v>2</v>
      </c>
      <c r="C45" s="381" t="s">
        <v>397</v>
      </c>
      <c r="D45" s="382" t="s">
        <v>398</v>
      </c>
      <c r="E45" s="383" t="s">
        <v>45</v>
      </c>
      <c r="F45" s="383" t="s">
        <v>41</v>
      </c>
      <c r="G45" s="383" t="s">
        <v>45</v>
      </c>
    </row>
    <row r="46" spans="1:7" ht="26.2">
      <c r="A46" s="413" t="s">
        <v>401</v>
      </c>
      <c r="B46" s="380">
        <v>3</v>
      </c>
      <c r="C46" s="381" t="s">
        <v>71</v>
      </c>
      <c r="D46" s="382" t="s">
        <v>36</v>
      </c>
      <c r="E46" s="383" t="s">
        <v>45</v>
      </c>
      <c r="F46" s="383" t="s">
        <v>45</v>
      </c>
      <c r="G46" s="383" t="s">
        <v>45</v>
      </c>
    </row>
    <row r="47" spans="1:7" ht="26.2">
      <c r="A47" s="413"/>
      <c r="B47" s="380">
        <v>4</v>
      </c>
      <c r="C47" s="381" t="s">
        <v>71</v>
      </c>
      <c r="D47" s="382" t="s">
        <v>45</v>
      </c>
      <c r="E47" s="383" t="s">
        <v>45</v>
      </c>
      <c r="F47" s="383" t="s">
        <v>45</v>
      </c>
      <c r="G47" s="383" t="s">
        <v>45</v>
      </c>
    </row>
    <row r="48" spans="1:7" ht="26.2">
      <c r="A48" s="413"/>
      <c r="B48" s="380">
        <v>5</v>
      </c>
      <c r="C48" s="381" t="s">
        <v>45</v>
      </c>
      <c r="D48" s="382" t="s">
        <v>45</v>
      </c>
      <c r="E48" s="383" t="s">
        <v>217</v>
      </c>
      <c r="F48" s="383" t="s">
        <v>45</v>
      </c>
      <c r="G48" s="383" t="s">
        <v>36</v>
      </c>
    </row>
    <row r="49" spans="1:7" ht="26.2">
      <c r="A49" s="379"/>
      <c r="B49" s="380">
        <v>6</v>
      </c>
      <c r="C49" s="381" t="s">
        <v>45</v>
      </c>
      <c r="D49" s="382" t="s">
        <v>45</v>
      </c>
      <c r="E49" s="383" t="s">
        <v>398</v>
      </c>
      <c r="F49" s="383" t="s">
        <v>45</v>
      </c>
      <c r="G49" s="383" t="s">
        <v>71</v>
      </c>
    </row>
    <row r="50" spans="1:7" ht="13.75" thickBot="1">
      <c r="A50" s="385"/>
      <c r="B50" s="386">
        <v>7</v>
      </c>
      <c r="C50" s="391" t="s">
        <v>45</v>
      </c>
      <c r="D50" s="393" t="s">
        <v>45</v>
      </c>
      <c r="E50" s="387" t="s">
        <v>59</v>
      </c>
      <c r="F50" s="385"/>
      <c r="G50" s="385"/>
    </row>
    <row r="51" spans="1:7" ht="13.75" thickTop="1" thickBot="1">
      <c r="A51" s="388"/>
      <c r="B51" s="388"/>
      <c r="C51" s="389" t="s">
        <v>24</v>
      </c>
      <c r="D51" s="389" t="s">
        <v>25</v>
      </c>
      <c r="E51" s="389" t="s">
        <v>26</v>
      </c>
      <c r="F51" s="389" t="s">
        <v>27</v>
      </c>
      <c r="G51" s="389" t="s">
        <v>28</v>
      </c>
    </row>
    <row r="52" spans="1:7" ht="26.2">
      <c r="A52" s="390"/>
      <c r="B52" s="380">
        <v>1</v>
      </c>
      <c r="C52" s="381" t="s">
        <v>397</v>
      </c>
      <c r="D52" s="382" t="s">
        <v>398</v>
      </c>
      <c r="E52" s="383" t="s">
        <v>217</v>
      </c>
      <c r="F52" s="383" t="s">
        <v>41</v>
      </c>
      <c r="G52" s="383" t="s">
        <v>35</v>
      </c>
    </row>
    <row r="53" spans="1:7" ht="26.2">
      <c r="A53" s="379"/>
      <c r="B53" s="380">
        <v>2</v>
      </c>
      <c r="C53" s="381" t="s">
        <v>45</v>
      </c>
      <c r="D53" s="382" t="s">
        <v>36</v>
      </c>
      <c r="E53" s="383" t="s">
        <v>35</v>
      </c>
      <c r="F53" s="383" t="s">
        <v>45</v>
      </c>
      <c r="G53" s="383" t="s">
        <v>36</v>
      </c>
    </row>
    <row r="54" spans="1:7" ht="13.1">
      <c r="A54" s="413" t="s">
        <v>402</v>
      </c>
      <c r="B54" s="380">
        <v>3</v>
      </c>
      <c r="C54" s="381" t="s">
        <v>45</v>
      </c>
      <c r="D54" s="382" t="s">
        <v>45</v>
      </c>
      <c r="E54" s="383" t="s">
        <v>71</v>
      </c>
      <c r="F54" s="383" t="s">
        <v>398</v>
      </c>
      <c r="G54" s="383" t="s">
        <v>71</v>
      </c>
    </row>
    <row r="55" spans="1:7" ht="26.2">
      <c r="A55" s="413"/>
      <c r="B55" s="380">
        <v>4</v>
      </c>
      <c r="C55" s="381" t="s">
        <v>45</v>
      </c>
      <c r="D55" s="382" t="s">
        <v>45</v>
      </c>
      <c r="E55" s="383" t="s">
        <v>45</v>
      </c>
      <c r="F55" s="383" t="s">
        <v>45</v>
      </c>
      <c r="G55" s="383" t="s">
        <v>45</v>
      </c>
    </row>
    <row r="56" spans="1:7" ht="26.2">
      <c r="A56" s="413"/>
      <c r="B56" s="380">
        <v>5</v>
      </c>
      <c r="C56" s="381" t="s">
        <v>45</v>
      </c>
      <c r="D56" s="382" t="s">
        <v>45</v>
      </c>
      <c r="E56" s="383" t="s">
        <v>45</v>
      </c>
      <c r="F56" s="383" t="s">
        <v>45</v>
      </c>
      <c r="G56" s="383" t="s">
        <v>45</v>
      </c>
    </row>
    <row r="57" spans="1:7" ht="26.2">
      <c r="A57" s="379"/>
      <c r="B57" s="380">
        <v>6</v>
      </c>
      <c r="C57" s="381" t="s">
        <v>71</v>
      </c>
      <c r="D57" s="382" t="s">
        <v>35</v>
      </c>
      <c r="E57" s="383" t="s">
        <v>45</v>
      </c>
      <c r="F57" s="383" t="s">
        <v>45</v>
      </c>
      <c r="G57" s="383" t="s">
        <v>45</v>
      </c>
    </row>
    <row r="58" spans="1:7" ht="13.75" thickBot="1">
      <c r="A58" s="385"/>
      <c r="B58" s="386">
        <v>7</v>
      </c>
      <c r="C58" s="391" t="s">
        <v>71</v>
      </c>
      <c r="D58" s="393" t="s">
        <v>45</v>
      </c>
      <c r="E58" s="387" t="s">
        <v>59</v>
      </c>
      <c r="F58" s="385"/>
      <c r="G58" s="385"/>
    </row>
    <row r="59" spans="1:7" ht="13.75" thickTop="1" thickBot="1">
      <c r="A59" s="388"/>
      <c r="B59" s="388"/>
      <c r="C59" s="389" t="s">
        <v>24</v>
      </c>
      <c r="D59" s="389" t="s">
        <v>25</v>
      </c>
      <c r="E59" s="389" t="s">
        <v>26</v>
      </c>
      <c r="F59" s="389" t="s">
        <v>27</v>
      </c>
      <c r="G59" s="389" t="s">
        <v>28</v>
      </c>
    </row>
    <row r="60" spans="1:7" ht="26.2">
      <c r="A60" s="390"/>
      <c r="B60" s="380">
        <v>1</v>
      </c>
      <c r="C60" s="381" t="s">
        <v>45</v>
      </c>
      <c r="D60" s="382" t="s">
        <v>45</v>
      </c>
      <c r="E60" s="383" t="s">
        <v>35</v>
      </c>
      <c r="F60" s="383" t="s">
        <v>45</v>
      </c>
      <c r="G60" s="383" t="s">
        <v>36</v>
      </c>
    </row>
    <row r="61" spans="1:7" ht="26.2">
      <c r="A61" s="379"/>
      <c r="B61" s="380">
        <v>2</v>
      </c>
      <c r="C61" s="381" t="s">
        <v>45</v>
      </c>
      <c r="D61" s="382" t="s">
        <v>45</v>
      </c>
      <c r="E61" s="383" t="s">
        <v>71</v>
      </c>
      <c r="F61" s="383" t="s">
        <v>45</v>
      </c>
      <c r="G61" s="383" t="s">
        <v>71</v>
      </c>
    </row>
    <row r="62" spans="1:7" ht="26.2">
      <c r="A62" s="379"/>
      <c r="B62" s="380">
        <v>3</v>
      </c>
      <c r="C62" s="381" t="s">
        <v>45</v>
      </c>
      <c r="D62" s="382" t="s">
        <v>45</v>
      </c>
      <c r="E62" s="383" t="s">
        <v>217</v>
      </c>
      <c r="F62" s="383" t="s">
        <v>45</v>
      </c>
      <c r="G62" s="383" t="s">
        <v>45</v>
      </c>
    </row>
    <row r="63" spans="1:7" ht="26.2">
      <c r="A63" s="379"/>
      <c r="B63" s="380">
        <v>4</v>
      </c>
      <c r="C63" s="381" t="s">
        <v>45</v>
      </c>
      <c r="D63" s="382" t="s">
        <v>398</v>
      </c>
      <c r="E63" s="383" t="s">
        <v>45</v>
      </c>
      <c r="F63" s="383" t="s">
        <v>45</v>
      </c>
      <c r="G63" s="383" t="s">
        <v>45</v>
      </c>
    </row>
    <row r="64" spans="1:7" ht="26.2">
      <c r="A64" s="379"/>
      <c r="B64" s="380">
        <v>5</v>
      </c>
      <c r="C64" s="381" t="s">
        <v>35</v>
      </c>
      <c r="D64" s="382" t="s">
        <v>36</v>
      </c>
      <c r="E64" s="383" t="s">
        <v>45</v>
      </c>
      <c r="F64" s="383" t="s">
        <v>35</v>
      </c>
      <c r="G64" s="383" t="s">
        <v>45</v>
      </c>
    </row>
    <row r="65" spans="1:7" ht="26.2">
      <c r="A65" s="413" t="s">
        <v>403</v>
      </c>
      <c r="B65" s="380">
        <v>6</v>
      </c>
      <c r="C65" s="381" t="s">
        <v>41</v>
      </c>
      <c r="D65" s="382" t="s">
        <v>71</v>
      </c>
      <c r="E65" s="383" t="s">
        <v>45</v>
      </c>
      <c r="F65" s="383" t="s">
        <v>397</v>
      </c>
      <c r="G65" s="383" t="s">
        <v>45</v>
      </c>
    </row>
    <row r="66" spans="1:7" ht="13.75" thickBot="1">
      <c r="A66" s="413"/>
      <c r="B66" s="380">
        <v>7</v>
      </c>
      <c r="C66" s="381" t="s">
        <v>398</v>
      </c>
      <c r="D66" s="382" t="s">
        <v>71</v>
      </c>
      <c r="E66" s="383" t="s">
        <v>59</v>
      </c>
      <c r="F66" s="384"/>
      <c r="G66" s="384"/>
    </row>
    <row r="67" spans="1:7" ht="13.75" thickTop="1" thickBot="1">
      <c r="A67" s="392"/>
      <c r="B67" s="392"/>
      <c r="C67" s="378" t="s">
        <v>24</v>
      </c>
      <c r="D67" s="378" t="s">
        <v>25</v>
      </c>
      <c r="E67" s="378" t="s">
        <v>26</v>
      </c>
      <c r="F67" s="378" t="s">
        <v>27</v>
      </c>
      <c r="G67" s="378" t="s">
        <v>28</v>
      </c>
    </row>
    <row r="68" spans="1:7" ht="13.1">
      <c r="A68" s="390"/>
      <c r="B68" s="380">
        <v>1</v>
      </c>
      <c r="C68" s="381" t="s">
        <v>45</v>
      </c>
      <c r="D68" s="382" t="s">
        <v>424</v>
      </c>
      <c r="E68" s="383" t="s">
        <v>47</v>
      </c>
      <c r="F68" s="383" t="s">
        <v>47</v>
      </c>
      <c r="G68" s="383" t="s">
        <v>41</v>
      </c>
    </row>
    <row r="69" spans="1:7" ht="13.1">
      <c r="A69" s="379"/>
      <c r="B69" s="380">
        <v>2</v>
      </c>
      <c r="C69" s="381" t="s">
        <v>45</v>
      </c>
      <c r="D69" s="382" t="s">
        <v>424</v>
      </c>
      <c r="E69" s="383" t="s">
        <v>38</v>
      </c>
      <c r="F69" s="383" t="s">
        <v>42</v>
      </c>
      <c r="G69" s="383" t="s">
        <v>71</v>
      </c>
    </row>
    <row r="70" spans="1:7" ht="13.1">
      <c r="A70" s="413" t="s">
        <v>404</v>
      </c>
      <c r="B70" s="380">
        <v>3</v>
      </c>
      <c r="C70" s="381" t="s">
        <v>100</v>
      </c>
      <c r="D70" s="382" t="s">
        <v>71</v>
      </c>
      <c r="E70" s="383" t="s">
        <v>35</v>
      </c>
      <c r="F70" s="383" t="s">
        <v>398</v>
      </c>
      <c r="G70" s="383" t="s">
        <v>35</v>
      </c>
    </row>
    <row r="71" spans="1:7" ht="13.1">
      <c r="A71" s="413"/>
      <c r="B71" s="380">
        <v>4</v>
      </c>
      <c r="C71" s="381" t="s">
        <v>40</v>
      </c>
      <c r="D71" s="382" t="s">
        <v>71</v>
      </c>
      <c r="E71" s="383" t="s">
        <v>35</v>
      </c>
      <c r="F71" s="383" t="s">
        <v>40</v>
      </c>
      <c r="G71" s="383" t="s">
        <v>37</v>
      </c>
    </row>
    <row r="72" spans="1:7" ht="13.1">
      <c r="A72" s="413"/>
      <c r="B72" s="380">
        <v>5</v>
      </c>
      <c r="C72" s="381" t="s">
        <v>42</v>
      </c>
      <c r="D72" s="382" t="s">
        <v>40</v>
      </c>
      <c r="E72" s="383" t="s">
        <v>37</v>
      </c>
      <c r="F72" s="383" t="s">
        <v>100</v>
      </c>
      <c r="G72" s="383" t="s">
        <v>47</v>
      </c>
    </row>
    <row r="73" spans="1:7" ht="26.2">
      <c r="A73" s="379"/>
      <c r="B73" s="380">
        <v>6</v>
      </c>
      <c r="C73" s="381" t="s">
        <v>35</v>
      </c>
      <c r="D73" s="382" t="s">
        <v>47</v>
      </c>
      <c r="E73" s="383" t="s">
        <v>45</v>
      </c>
      <c r="F73" s="383" t="s">
        <v>45</v>
      </c>
      <c r="G73" s="383" t="s">
        <v>398</v>
      </c>
    </row>
    <row r="74" spans="1:7" ht="13.75" thickBot="1">
      <c r="A74" s="385"/>
      <c r="B74" s="386">
        <v>7</v>
      </c>
      <c r="C74" s="391" t="s">
        <v>71</v>
      </c>
      <c r="D74" s="393" t="s">
        <v>36</v>
      </c>
      <c r="E74" s="387" t="s">
        <v>59</v>
      </c>
      <c r="F74" s="385"/>
      <c r="G74" s="385"/>
    </row>
    <row r="75" spans="1:7" ht="13.75" thickTop="1" thickBot="1">
      <c r="A75" s="388"/>
      <c r="B75" s="388"/>
      <c r="C75" s="389" t="s">
        <v>24</v>
      </c>
      <c r="D75" s="389" t="s">
        <v>25</v>
      </c>
      <c r="E75" s="389" t="s">
        <v>26</v>
      </c>
      <c r="F75" s="389" t="s">
        <v>27</v>
      </c>
      <c r="G75" s="389" t="s">
        <v>28</v>
      </c>
    </row>
    <row r="76" spans="1:7" ht="13.1">
      <c r="A76" s="390"/>
      <c r="B76" s="380">
        <v>1</v>
      </c>
      <c r="C76" s="381" t="s">
        <v>40</v>
      </c>
      <c r="D76" s="382" t="s">
        <v>45</v>
      </c>
      <c r="E76" s="383" t="s">
        <v>36</v>
      </c>
      <c r="F76" s="383" t="s">
        <v>42</v>
      </c>
      <c r="G76" s="383" t="s">
        <v>45</v>
      </c>
    </row>
    <row r="77" spans="1:7" ht="13.1">
      <c r="A77" s="379"/>
      <c r="B77" s="380">
        <v>2</v>
      </c>
      <c r="C77" s="381" t="s">
        <v>42</v>
      </c>
      <c r="D77" s="382" t="s">
        <v>45</v>
      </c>
      <c r="E77" s="383" t="s">
        <v>35</v>
      </c>
      <c r="F77" s="383" t="s">
        <v>398</v>
      </c>
      <c r="G77" s="383" t="s">
        <v>36</v>
      </c>
    </row>
    <row r="78" spans="1:7" ht="26.2">
      <c r="A78" s="413" t="s">
        <v>405</v>
      </c>
      <c r="B78" s="380">
        <v>3</v>
      </c>
      <c r="C78" s="381" t="s">
        <v>35</v>
      </c>
      <c r="D78" s="382" t="s">
        <v>424</v>
      </c>
      <c r="E78" s="383" t="s">
        <v>45</v>
      </c>
      <c r="F78" s="383" t="s">
        <v>35</v>
      </c>
      <c r="G78" s="383" t="s">
        <v>71</v>
      </c>
    </row>
    <row r="79" spans="1:7" ht="13.1">
      <c r="A79" s="413"/>
      <c r="B79" s="380">
        <v>4</v>
      </c>
      <c r="C79" s="381" t="s">
        <v>71</v>
      </c>
      <c r="D79" s="382" t="s">
        <v>424</v>
      </c>
      <c r="E79" s="383" t="s">
        <v>71</v>
      </c>
      <c r="F79" s="383" t="s">
        <v>100</v>
      </c>
      <c r="G79" s="383" t="s">
        <v>38</v>
      </c>
    </row>
    <row r="80" spans="1:7" ht="26.2">
      <c r="A80" s="413"/>
      <c r="B80" s="380">
        <v>5</v>
      </c>
      <c r="C80" s="381" t="s">
        <v>71</v>
      </c>
      <c r="D80" s="382" t="s">
        <v>47</v>
      </c>
      <c r="E80" s="383" t="s">
        <v>40</v>
      </c>
      <c r="F80" s="383" t="s">
        <v>41</v>
      </c>
      <c r="G80" s="383" t="s">
        <v>37</v>
      </c>
    </row>
    <row r="81" spans="1:7" ht="13.1">
      <c r="A81" s="379"/>
      <c r="B81" s="380">
        <v>6</v>
      </c>
      <c r="C81" s="381" t="s">
        <v>398</v>
      </c>
      <c r="D81" s="382" t="s">
        <v>40</v>
      </c>
      <c r="E81" s="383" t="s">
        <v>47</v>
      </c>
      <c r="F81" s="383" t="s">
        <v>47</v>
      </c>
      <c r="G81" s="383" t="s">
        <v>47</v>
      </c>
    </row>
    <row r="82" spans="1:7" ht="13.75" thickBot="1">
      <c r="A82" s="385"/>
      <c r="B82" s="386">
        <v>7</v>
      </c>
      <c r="C82" s="391" t="s">
        <v>100</v>
      </c>
      <c r="D82" s="393" t="s">
        <v>37</v>
      </c>
      <c r="E82" s="387" t="s">
        <v>59</v>
      </c>
      <c r="F82" s="385"/>
      <c r="G82" s="385"/>
    </row>
    <row r="83" spans="1:7" ht="13.75" thickTop="1" thickBot="1">
      <c r="A83" s="388"/>
      <c r="B83" s="388"/>
      <c r="C83" s="389" t="s">
        <v>24</v>
      </c>
      <c r="D83" s="389" t="s">
        <v>25</v>
      </c>
      <c r="E83" s="389" t="s">
        <v>26</v>
      </c>
      <c r="F83" s="389" t="s">
        <v>27</v>
      </c>
      <c r="G83" s="389" t="s">
        <v>28</v>
      </c>
    </row>
    <row r="84" spans="1:7" ht="13.1">
      <c r="A84" s="390"/>
      <c r="B84" s="380">
        <v>1</v>
      </c>
      <c r="C84" s="381" t="s">
        <v>42</v>
      </c>
      <c r="D84" s="382" t="s">
        <v>424</v>
      </c>
      <c r="E84" s="383" t="s">
        <v>71</v>
      </c>
      <c r="F84" s="383" t="s">
        <v>47</v>
      </c>
      <c r="G84" s="383" t="s">
        <v>40</v>
      </c>
    </row>
    <row r="85" spans="1:7" ht="13.1">
      <c r="A85" s="379"/>
      <c r="B85" s="380">
        <v>2</v>
      </c>
      <c r="C85" s="381" t="s">
        <v>40</v>
      </c>
      <c r="D85" s="382" t="s">
        <v>424</v>
      </c>
      <c r="E85" s="383" t="s">
        <v>71</v>
      </c>
      <c r="F85" s="383" t="s">
        <v>42</v>
      </c>
      <c r="G85" s="383" t="s">
        <v>35</v>
      </c>
    </row>
    <row r="86" spans="1:7" ht="26.2">
      <c r="A86" s="413" t="s">
        <v>406</v>
      </c>
      <c r="B86" s="380">
        <v>3</v>
      </c>
      <c r="C86" s="381" t="s">
        <v>47</v>
      </c>
      <c r="D86" s="382" t="s">
        <v>37</v>
      </c>
      <c r="E86" s="383" t="s">
        <v>47</v>
      </c>
      <c r="F86" s="383" t="s">
        <v>35</v>
      </c>
      <c r="G86" s="383" t="s">
        <v>35</v>
      </c>
    </row>
    <row r="87" spans="1:7" ht="13.1">
      <c r="A87" s="413"/>
      <c r="B87" s="380">
        <v>4</v>
      </c>
      <c r="C87" s="381" t="s">
        <v>100</v>
      </c>
      <c r="D87" s="382" t="s">
        <v>45</v>
      </c>
      <c r="E87" s="383" t="s">
        <v>40</v>
      </c>
      <c r="F87" s="383" t="s">
        <v>76</v>
      </c>
      <c r="G87" s="383" t="s">
        <v>37</v>
      </c>
    </row>
    <row r="88" spans="1:7" ht="26.2">
      <c r="A88" s="413"/>
      <c r="B88" s="380">
        <v>5</v>
      </c>
      <c r="C88" s="381" t="s">
        <v>38</v>
      </c>
      <c r="D88" s="382" t="s">
        <v>45</v>
      </c>
      <c r="E88" s="383" t="s">
        <v>45</v>
      </c>
      <c r="F88" s="383" t="s">
        <v>45</v>
      </c>
      <c r="G88" s="383" t="s">
        <v>398</v>
      </c>
    </row>
    <row r="89" spans="1:7" ht="13.1">
      <c r="A89" s="379"/>
      <c r="B89" s="380">
        <v>6</v>
      </c>
      <c r="C89" s="381" t="s">
        <v>71</v>
      </c>
      <c r="D89" s="382" t="s">
        <v>47</v>
      </c>
      <c r="E89" s="383" t="s">
        <v>41</v>
      </c>
      <c r="F89" s="383" t="s">
        <v>100</v>
      </c>
      <c r="G89" s="383" t="s">
        <v>71</v>
      </c>
    </row>
    <row r="90" spans="1:7" ht="13.75" thickBot="1">
      <c r="A90" s="385"/>
      <c r="B90" s="386">
        <v>7</v>
      </c>
      <c r="C90" s="391" t="s">
        <v>35</v>
      </c>
      <c r="D90" s="393" t="s">
        <v>398</v>
      </c>
      <c r="E90" s="387" t="s">
        <v>59</v>
      </c>
      <c r="F90" s="385"/>
      <c r="G90" s="385"/>
    </row>
    <row r="91" spans="1:7" ht="13.75" thickTop="1" thickBot="1">
      <c r="A91" s="388"/>
      <c r="B91" s="388"/>
      <c r="C91" s="389" t="s">
        <v>24</v>
      </c>
      <c r="D91" s="389" t="s">
        <v>25</v>
      </c>
      <c r="E91" s="389" t="s">
        <v>26</v>
      </c>
      <c r="F91" s="389" t="s">
        <v>27</v>
      </c>
      <c r="G91" s="389" t="s">
        <v>28</v>
      </c>
    </row>
    <row r="92" spans="1:7" ht="13.1">
      <c r="A92" s="390"/>
      <c r="B92" s="380">
        <v>1</v>
      </c>
      <c r="C92" s="381" t="s">
        <v>398</v>
      </c>
      <c r="D92" s="382" t="s">
        <v>37</v>
      </c>
      <c r="E92" s="383" t="s">
        <v>35</v>
      </c>
      <c r="F92" s="383" t="s">
        <v>398</v>
      </c>
      <c r="G92" s="383" t="s">
        <v>36</v>
      </c>
    </row>
    <row r="93" spans="1:7" ht="13.1">
      <c r="A93" s="379"/>
      <c r="B93" s="380">
        <v>2</v>
      </c>
      <c r="C93" s="381" t="s">
        <v>42</v>
      </c>
      <c r="D93" s="382" t="s">
        <v>40</v>
      </c>
      <c r="E93" s="383" t="s">
        <v>36</v>
      </c>
      <c r="F93" s="383" t="s">
        <v>38</v>
      </c>
      <c r="G93" s="383" t="s">
        <v>37</v>
      </c>
    </row>
    <row r="94" spans="1:7" ht="13.1">
      <c r="A94" s="413" t="s">
        <v>407</v>
      </c>
      <c r="B94" s="380">
        <v>3</v>
      </c>
      <c r="C94" s="381" t="s">
        <v>45</v>
      </c>
      <c r="D94" s="382" t="s">
        <v>424</v>
      </c>
      <c r="E94" s="383" t="s">
        <v>40</v>
      </c>
      <c r="F94" s="383" t="s">
        <v>42</v>
      </c>
      <c r="G94" s="383" t="s">
        <v>100</v>
      </c>
    </row>
    <row r="95" spans="1:7" ht="26.2">
      <c r="A95" s="413"/>
      <c r="B95" s="380">
        <v>4</v>
      </c>
      <c r="C95" s="381" t="s">
        <v>45</v>
      </c>
      <c r="D95" s="382" t="s">
        <v>424</v>
      </c>
      <c r="E95" s="383" t="s">
        <v>45</v>
      </c>
      <c r="F95" s="383" t="s">
        <v>45</v>
      </c>
      <c r="G95" s="383" t="s">
        <v>71</v>
      </c>
    </row>
    <row r="96" spans="1:7" ht="13.1">
      <c r="A96" s="413"/>
      <c r="B96" s="380">
        <v>5</v>
      </c>
      <c r="C96" s="381" t="s">
        <v>71</v>
      </c>
      <c r="D96" s="382" t="s">
        <v>47</v>
      </c>
      <c r="E96" s="383" t="s">
        <v>41</v>
      </c>
      <c r="F96" s="383" t="s">
        <v>47</v>
      </c>
      <c r="G96" s="383" t="s">
        <v>40</v>
      </c>
    </row>
    <row r="97" spans="1:7" ht="26.2">
      <c r="A97" s="379"/>
      <c r="B97" s="380">
        <v>6</v>
      </c>
      <c r="C97" s="381" t="s">
        <v>100</v>
      </c>
      <c r="D97" s="382" t="s">
        <v>71</v>
      </c>
      <c r="E97" s="383" t="s">
        <v>47</v>
      </c>
      <c r="F97" s="383" t="s">
        <v>35</v>
      </c>
      <c r="G97" s="383" t="s">
        <v>47</v>
      </c>
    </row>
    <row r="98" spans="1:7" ht="25.55" customHeight="1" thickBot="1">
      <c r="A98" s="379"/>
      <c r="B98" s="380">
        <v>7</v>
      </c>
      <c r="C98" s="381" t="s">
        <v>35</v>
      </c>
      <c r="D98" s="382" t="s">
        <v>71</v>
      </c>
      <c r="E98" s="383" t="s">
        <v>59</v>
      </c>
      <c r="F98" s="379"/>
      <c r="G98" s="379"/>
    </row>
    <row r="99" spans="1:7" ht="13.75" thickTop="1" thickBot="1">
      <c r="A99" s="392"/>
      <c r="B99" s="392"/>
      <c r="C99" s="378" t="s">
        <v>24</v>
      </c>
      <c r="D99" s="378" t="s">
        <v>25</v>
      </c>
      <c r="E99" s="378" t="s">
        <v>26</v>
      </c>
      <c r="F99" s="378" t="s">
        <v>27</v>
      </c>
      <c r="G99" s="378" t="s">
        <v>28</v>
      </c>
    </row>
    <row r="100" spans="1:7" ht="13.1">
      <c r="A100" s="390"/>
      <c r="B100" s="380">
        <v>1</v>
      </c>
      <c r="C100" s="381" t="s">
        <v>100</v>
      </c>
      <c r="D100" s="382" t="s">
        <v>41</v>
      </c>
      <c r="E100" s="381" t="s">
        <v>45</v>
      </c>
      <c r="F100" s="381" t="s">
        <v>100</v>
      </c>
      <c r="G100" s="383" t="s">
        <v>71</v>
      </c>
    </row>
    <row r="101" spans="1:7" ht="13.1">
      <c r="A101" s="379"/>
      <c r="B101" s="380">
        <v>2</v>
      </c>
      <c r="C101" s="381" t="s">
        <v>47</v>
      </c>
      <c r="D101" s="382" t="s">
        <v>37</v>
      </c>
      <c r="E101" s="381" t="s">
        <v>42</v>
      </c>
      <c r="F101" s="381" t="s">
        <v>47</v>
      </c>
      <c r="G101" s="383" t="s">
        <v>45</v>
      </c>
    </row>
    <row r="102" spans="1:7" ht="13.1">
      <c r="A102" s="413" t="s">
        <v>408</v>
      </c>
      <c r="B102" s="380">
        <v>3</v>
      </c>
      <c r="C102" s="381" t="s">
        <v>71</v>
      </c>
      <c r="D102" s="382" t="s">
        <v>47</v>
      </c>
      <c r="E102" s="381" t="s">
        <v>37</v>
      </c>
      <c r="F102" s="381" t="s">
        <v>71</v>
      </c>
      <c r="G102" s="383" t="s">
        <v>37</v>
      </c>
    </row>
    <row r="103" spans="1:7" ht="13.1">
      <c r="A103" s="413"/>
      <c r="B103" s="380">
        <v>4</v>
      </c>
      <c r="C103" s="381" t="s">
        <v>398</v>
      </c>
      <c r="D103" s="382" t="s">
        <v>398</v>
      </c>
      <c r="E103" s="381" t="s">
        <v>47</v>
      </c>
      <c r="F103" s="381" t="s">
        <v>71</v>
      </c>
      <c r="G103" s="383" t="s">
        <v>40</v>
      </c>
    </row>
    <row r="104" spans="1:7" ht="13.1">
      <c r="A104" s="413"/>
      <c r="B104" s="380">
        <v>5</v>
      </c>
      <c r="C104" s="381" t="s">
        <v>35</v>
      </c>
      <c r="D104" s="382" t="s">
        <v>40</v>
      </c>
      <c r="E104" s="381" t="s">
        <v>40</v>
      </c>
      <c r="F104" s="381" t="s">
        <v>76</v>
      </c>
      <c r="G104" s="383" t="s">
        <v>38</v>
      </c>
    </row>
    <row r="105" spans="1:7" ht="13.1">
      <c r="A105" s="379"/>
      <c r="B105" s="380">
        <v>6</v>
      </c>
      <c r="C105" s="381" t="s">
        <v>424</v>
      </c>
      <c r="D105" s="382" t="s">
        <v>45</v>
      </c>
      <c r="E105" s="381" t="s">
        <v>35</v>
      </c>
      <c r="F105" s="381" t="s">
        <v>35</v>
      </c>
      <c r="G105" s="383" t="s">
        <v>42</v>
      </c>
    </row>
    <row r="106" spans="1:7" ht="13.75" thickBot="1">
      <c r="A106" s="385"/>
      <c r="B106" s="386">
        <v>7</v>
      </c>
      <c r="C106" s="391" t="s">
        <v>424</v>
      </c>
      <c r="D106" s="393" t="s">
        <v>45</v>
      </c>
      <c r="E106" s="391" t="s">
        <v>59</v>
      </c>
      <c r="F106" s="385"/>
      <c r="G106" s="385"/>
    </row>
    <row r="107" spans="1:7" ht="13.75" thickTop="1" thickBot="1">
      <c r="A107" s="388"/>
      <c r="B107" s="388"/>
      <c r="C107" s="389" t="s">
        <v>24</v>
      </c>
      <c r="D107" s="389" t="s">
        <v>25</v>
      </c>
      <c r="E107" s="389" t="s">
        <v>26</v>
      </c>
      <c r="F107" s="389" t="s">
        <v>27</v>
      </c>
      <c r="G107" s="389" t="s">
        <v>28</v>
      </c>
    </row>
    <row r="108" spans="1:7" ht="13.1">
      <c r="A108" s="390"/>
      <c r="B108" s="380">
        <v>1</v>
      </c>
      <c r="C108" s="381" t="s">
        <v>35</v>
      </c>
      <c r="D108" s="382" t="s">
        <v>42</v>
      </c>
      <c r="E108" s="381" t="s">
        <v>45</v>
      </c>
      <c r="F108" s="381" t="s">
        <v>35</v>
      </c>
      <c r="G108" s="383" t="s">
        <v>100</v>
      </c>
    </row>
    <row r="109" spans="1:7" ht="13.1">
      <c r="A109" s="379"/>
      <c r="B109" s="380">
        <v>2</v>
      </c>
      <c r="C109" s="381" t="s">
        <v>35</v>
      </c>
      <c r="D109" s="382" t="s">
        <v>35</v>
      </c>
      <c r="E109" s="381" t="s">
        <v>45</v>
      </c>
      <c r="F109" s="381" t="s">
        <v>41</v>
      </c>
      <c r="G109" s="383" t="s">
        <v>40</v>
      </c>
    </row>
    <row r="110" spans="1:7" ht="13.1">
      <c r="A110" s="413" t="s">
        <v>409</v>
      </c>
      <c r="B110" s="380">
        <v>3</v>
      </c>
      <c r="C110" s="381" t="s">
        <v>36</v>
      </c>
      <c r="D110" s="382" t="s">
        <v>40</v>
      </c>
      <c r="E110" s="381" t="s">
        <v>100</v>
      </c>
      <c r="F110" s="381" t="s">
        <v>47</v>
      </c>
      <c r="G110" s="383" t="s">
        <v>45</v>
      </c>
    </row>
    <row r="111" spans="1:7" ht="13.1">
      <c r="A111" s="413"/>
      <c r="B111" s="380">
        <v>4</v>
      </c>
      <c r="C111" s="381" t="s">
        <v>41</v>
      </c>
      <c r="D111" s="382" t="s">
        <v>100</v>
      </c>
      <c r="E111" s="381" t="s">
        <v>398</v>
      </c>
      <c r="F111" s="381" t="s">
        <v>217</v>
      </c>
      <c r="G111" s="383" t="s">
        <v>47</v>
      </c>
    </row>
    <row r="112" spans="1:7" ht="13.1">
      <c r="A112" s="413"/>
      <c r="B112" s="380">
        <v>5</v>
      </c>
      <c r="C112" s="381" t="s">
        <v>37</v>
      </c>
      <c r="D112" s="382" t="s">
        <v>38</v>
      </c>
      <c r="E112" s="381" t="s">
        <v>424</v>
      </c>
      <c r="F112" s="381" t="s">
        <v>71</v>
      </c>
      <c r="G112" s="383" t="s">
        <v>71</v>
      </c>
    </row>
    <row r="113" spans="1:7" ht="13.1">
      <c r="A113" s="379"/>
      <c r="B113" s="380">
        <v>6</v>
      </c>
      <c r="C113" s="381" t="s">
        <v>398</v>
      </c>
      <c r="D113" s="382" t="s">
        <v>71</v>
      </c>
      <c r="E113" s="381" t="s">
        <v>424</v>
      </c>
      <c r="F113" s="381" t="s">
        <v>37</v>
      </c>
      <c r="G113" s="383" t="s">
        <v>42</v>
      </c>
    </row>
    <row r="114" spans="1:7" ht="13.75" thickBot="1">
      <c r="A114" s="385"/>
      <c r="B114" s="386">
        <v>7</v>
      </c>
      <c r="C114" s="391" t="s">
        <v>47</v>
      </c>
      <c r="D114" s="393" t="s">
        <v>71</v>
      </c>
      <c r="E114" s="391" t="s">
        <v>59</v>
      </c>
      <c r="F114" s="385"/>
      <c r="G114" s="385"/>
    </row>
    <row r="115" spans="1:7" ht="13.75" thickTop="1" thickBot="1">
      <c r="A115" s="388"/>
      <c r="B115" s="388"/>
      <c r="C115" s="389" t="s">
        <v>24</v>
      </c>
      <c r="D115" s="389" t="s">
        <v>25</v>
      </c>
      <c r="E115" s="389" t="s">
        <v>26</v>
      </c>
      <c r="F115" s="389" t="s">
        <v>27</v>
      </c>
      <c r="G115" s="389" t="s">
        <v>28</v>
      </c>
    </row>
    <row r="116" spans="1:7" ht="13.1">
      <c r="A116" s="390"/>
      <c r="B116" s="380">
        <v>1</v>
      </c>
      <c r="C116" s="381" t="s">
        <v>35</v>
      </c>
      <c r="D116" s="382" t="s">
        <v>40</v>
      </c>
      <c r="E116" s="381" t="s">
        <v>37</v>
      </c>
      <c r="F116" s="381" t="s">
        <v>36</v>
      </c>
      <c r="G116" s="383" t="s">
        <v>47</v>
      </c>
    </row>
    <row r="117" spans="1:7" ht="13.1">
      <c r="A117" s="379"/>
      <c r="B117" s="380">
        <v>2</v>
      </c>
      <c r="C117" s="381" t="s">
        <v>35</v>
      </c>
      <c r="D117" s="382" t="s">
        <v>100</v>
      </c>
      <c r="E117" s="381" t="s">
        <v>41</v>
      </c>
      <c r="F117" s="381" t="s">
        <v>100</v>
      </c>
      <c r="G117" s="383" t="s">
        <v>38</v>
      </c>
    </row>
    <row r="118" spans="1:7" ht="13.1">
      <c r="A118" s="413" t="s">
        <v>410</v>
      </c>
      <c r="B118" s="380">
        <v>3</v>
      </c>
      <c r="C118" s="381" t="s">
        <v>41</v>
      </c>
      <c r="D118" s="382" t="s">
        <v>398</v>
      </c>
      <c r="E118" s="381" t="s">
        <v>424</v>
      </c>
      <c r="F118" s="381" t="s">
        <v>40</v>
      </c>
      <c r="G118" s="383" t="s">
        <v>35</v>
      </c>
    </row>
    <row r="119" spans="1:7" ht="13.1">
      <c r="A119" s="413"/>
      <c r="B119" s="380">
        <v>4</v>
      </c>
      <c r="C119" s="381" t="s">
        <v>37</v>
      </c>
      <c r="D119" s="382" t="s">
        <v>71</v>
      </c>
      <c r="E119" s="381" t="s">
        <v>424</v>
      </c>
      <c r="F119" s="381" t="s">
        <v>71</v>
      </c>
      <c r="G119" s="383" t="s">
        <v>42</v>
      </c>
    </row>
    <row r="120" spans="1:7" ht="13.1">
      <c r="A120" s="413"/>
      <c r="B120" s="380">
        <v>5</v>
      </c>
      <c r="C120" s="381" t="s">
        <v>47</v>
      </c>
      <c r="D120" s="382" t="s">
        <v>71</v>
      </c>
      <c r="E120" s="381" t="s">
        <v>45</v>
      </c>
      <c r="F120" s="381" t="s">
        <v>47</v>
      </c>
      <c r="G120" s="383" t="s">
        <v>45</v>
      </c>
    </row>
    <row r="121" spans="1:7" ht="13.1">
      <c r="A121" s="379"/>
      <c r="B121" s="380">
        <v>6</v>
      </c>
      <c r="C121" s="381" t="s">
        <v>217</v>
      </c>
      <c r="D121" s="382" t="s">
        <v>42</v>
      </c>
      <c r="E121" s="381" t="s">
        <v>45</v>
      </c>
      <c r="F121" s="381" t="s">
        <v>398</v>
      </c>
      <c r="G121" s="383" t="s">
        <v>100</v>
      </c>
    </row>
    <row r="122" spans="1:7" ht="13.75" thickBot="1">
      <c r="A122" s="385"/>
      <c r="B122" s="386">
        <v>7</v>
      </c>
      <c r="C122" s="391" t="s">
        <v>71</v>
      </c>
      <c r="D122" s="393" t="s">
        <v>35</v>
      </c>
      <c r="E122" s="391" t="s">
        <v>59</v>
      </c>
      <c r="F122" s="385"/>
      <c r="G122" s="385"/>
    </row>
    <row r="123" spans="1:7" ht="13.75" thickTop="1" thickBot="1">
      <c r="A123" s="388"/>
      <c r="B123" s="388"/>
      <c r="C123" s="389" t="s">
        <v>24</v>
      </c>
      <c r="D123" s="389" t="s">
        <v>25</v>
      </c>
      <c r="E123" s="389" t="s">
        <v>26</v>
      </c>
      <c r="F123" s="389" t="s">
        <v>27</v>
      </c>
      <c r="G123" s="389" t="s">
        <v>28</v>
      </c>
    </row>
    <row r="124" spans="1:7" ht="13.1">
      <c r="A124" s="390"/>
      <c r="B124" s="380">
        <v>1</v>
      </c>
      <c r="C124" s="381" t="s">
        <v>47</v>
      </c>
      <c r="D124" s="382" t="s">
        <v>71</v>
      </c>
      <c r="E124" s="381" t="s">
        <v>398</v>
      </c>
      <c r="F124" s="381" t="s">
        <v>71</v>
      </c>
      <c r="G124" s="383" t="s">
        <v>40</v>
      </c>
    </row>
    <row r="125" spans="1:7" ht="13.1">
      <c r="A125" s="379"/>
      <c r="B125" s="380">
        <v>2</v>
      </c>
      <c r="C125" s="381" t="s">
        <v>37</v>
      </c>
      <c r="D125" s="382" t="s">
        <v>71</v>
      </c>
      <c r="E125" s="381" t="s">
        <v>100</v>
      </c>
      <c r="F125" s="381" t="s">
        <v>36</v>
      </c>
      <c r="G125" s="383" t="s">
        <v>47</v>
      </c>
    </row>
    <row r="126" spans="1:7" ht="13.1">
      <c r="A126" s="413" t="s">
        <v>411</v>
      </c>
      <c r="B126" s="380">
        <v>3</v>
      </c>
      <c r="C126" s="381" t="s">
        <v>35</v>
      </c>
      <c r="D126" s="382" t="s">
        <v>42</v>
      </c>
      <c r="E126" s="394" t="s">
        <v>424</v>
      </c>
      <c r="F126" s="381" t="s">
        <v>38</v>
      </c>
      <c r="G126" s="383" t="s">
        <v>398</v>
      </c>
    </row>
    <row r="127" spans="1:7" ht="13.1">
      <c r="A127" s="413"/>
      <c r="B127" s="380">
        <v>4</v>
      </c>
      <c r="C127" s="381" t="s">
        <v>35</v>
      </c>
      <c r="D127" s="382" t="s">
        <v>40</v>
      </c>
      <c r="E127" s="394" t="s">
        <v>424</v>
      </c>
      <c r="F127" s="381" t="s">
        <v>41</v>
      </c>
      <c r="G127" s="383" t="s">
        <v>100</v>
      </c>
    </row>
    <row r="128" spans="1:7" ht="13.1">
      <c r="A128" s="413"/>
      <c r="B128" s="380">
        <v>5</v>
      </c>
      <c r="C128" s="381" t="s">
        <v>217</v>
      </c>
      <c r="D128" s="382" t="s">
        <v>45</v>
      </c>
      <c r="E128" s="381" t="s">
        <v>47</v>
      </c>
      <c r="F128" s="381" t="s">
        <v>37</v>
      </c>
      <c r="G128" s="383" t="s">
        <v>42</v>
      </c>
    </row>
    <row r="129" spans="1:7" ht="13.1">
      <c r="A129" s="379"/>
      <c r="B129" s="380">
        <v>6</v>
      </c>
      <c r="C129" s="381" t="s">
        <v>71</v>
      </c>
      <c r="D129" s="382" t="s">
        <v>45</v>
      </c>
      <c r="E129" s="381" t="s">
        <v>35</v>
      </c>
      <c r="F129" s="381" t="s">
        <v>35</v>
      </c>
      <c r="G129" s="383" t="s">
        <v>45</v>
      </c>
    </row>
    <row r="130" spans="1:7" ht="13.75" thickBot="1">
      <c r="A130" s="379"/>
      <c r="B130" s="380">
        <v>7</v>
      </c>
      <c r="C130" s="381" t="s">
        <v>41</v>
      </c>
      <c r="D130" s="382" t="s">
        <v>100</v>
      </c>
      <c r="E130" s="381" t="s">
        <v>59</v>
      </c>
      <c r="F130" s="379"/>
      <c r="G130" s="379"/>
    </row>
    <row r="131" spans="1:7" ht="13.75" thickTop="1" thickBot="1">
      <c r="A131" s="392"/>
      <c r="B131" s="392"/>
      <c r="C131" s="378" t="s">
        <v>24</v>
      </c>
      <c r="D131" s="378" t="s">
        <v>25</v>
      </c>
      <c r="E131" s="378" t="s">
        <v>26</v>
      </c>
      <c r="F131" s="378" t="s">
        <v>27</v>
      </c>
      <c r="G131" s="378" t="s">
        <v>28</v>
      </c>
    </row>
    <row r="132" spans="1:7" ht="13.1">
      <c r="A132" s="390"/>
      <c r="B132" s="380">
        <v>1</v>
      </c>
      <c r="C132" s="381" t="s">
        <v>41</v>
      </c>
      <c r="D132" s="382" t="s">
        <v>35</v>
      </c>
      <c r="E132" s="381" t="s">
        <v>100</v>
      </c>
      <c r="F132" s="381" t="s">
        <v>41</v>
      </c>
      <c r="G132" s="383" t="s">
        <v>42</v>
      </c>
    </row>
    <row r="133" spans="1:7" ht="13.1">
      <c r="A133" s="379"/>
      <c r="B133" s="380">
        <v>2</v>
      </c>
      <c r="C133" s="381" t="s">
        <v>36</v>
      </c>
      <c r="D133" s="382" t="s">
        <v>40</v>
      </c>
      <c r="E133" s="381" t="s">
        <v>398</v>
      </c>
      <c r="F133" s="381" t="s">
        <v>47</v>
      </c>
      <c r="G133" s="383" t="s">
        <v>100</v>
      </c>
    </row>
    <row r="134" spans="1:7" ht="13.1">
      <c r="A134" s="413" t="s">
        <v>412</v>
      </c>
      <c r="B134" s="380">
        <v>3</v>
      </c>
      <c r="C134" s="381" t="s">
        <v>37</v>
      </c>
      <c r="D134" s="382" t="s">
        <v>45</v>
      </c>
      <c r="E134" s="394" t="s">
        <v>424</v>
      </c>
      <c r="F134" s="381" t="s">
        <v>71</v>
      </c>
      <c r="G134" s="383" t="s">
        <v>40</v>
      </c>
    </row>
    <row r="135" spans="1:7" ht="13.1">
      <c r="A135" s="413"/>
      <c r="B135" s="380">
        <v>4</v>
      </c>
      <c r="C135" s="381" t="s">
        <v>47</v>
      </c>
      <c r="D135" s="382" t="s">
        <v>45</v>
      </c>
      <c r="E135" s="394" t="s">
        <v>424</v>
      </c>
      <c r="F135" s="381" t="s">
        <v>37</v>
      </c>
      <c r="G135" s="383" t="s">
        <v>45</v>
      </c>
    </row>
    <row r="136" spans="1:7" ht="13.1">
      <c r="A136" s="413"/>
      <c r="B136" s="380">
        <v>5</v>
      </c>
      <c r="C136" s="381" t="s">
        <v>35</v>
      </c>
      <c r="D136" s="382" t="s">
        <v>42</v>
      </c>
      <c r="E136" s="381" t="s">
        <v>71</v>
      </c>
      <c r="F136" s="381" t="s">
        <v>217</v>
      </c>
      <c r="G136" s="383" t="s">
        <v>47</v>
      </c>
    </row>
    <row r="137" spans="1:7" ht="13.1">
      <c r="A137" s="379"/>
      <c r="B137" s="380">
        <v>6</v>
      </c>
      <c r="C137" s="381" t="s">
        <v>35</v>
      </c>
      <c r="D137" s="382" t="s">
        <v>100</v>
      </c>
      <c r="E137" s="381" t="s">
        <v>71</v>
      </c>
      <c r="F137" s="381" t="s">
        <v>35</v>
      </c>
      <c r="G137" s="383" t="s">
        <v>71</v>
      </c>
    </row>
    <row r="138" spans="1:7" ht="13.75" thickBot="1">
      <c r="A138" s="385"/>
      <c r="B138" s="386">
        <v>7</v>
      </c>
      <c r="C138" s="391" t="s">
        <v>398</v>
      </c>
      <c r="D138" s="393" t="s">
        <v>38</v>
      </c>
      <c r="E138" s="391" t="s">
        <v>59</v>
      </c>
      <c r="F138" s="385"/>
      <c r="G138" s="385"/>
    </row>
    <row r="139" spans="1:7" ht="13.75" thickTop="1" thickBot="1">
      <c r="A139" s="388"/>
      <c r="B139" s="388"/>
      <c r="C139" s="389" t="s">
        <v>24</v>
      </c>
      <c r="D139" s="389" t="s">
        <v>25</v>
      </c>
      <c r="E139" s="389" t="s">
        <v>26</v>
      </c>
      <c r="F139" s="389" t="s">
        <v>27</v>
      </c>
      <c r="G139" s="389" t="s">
        <v>28</v>
      </c>
    </row>
    <row r="140" spans="1:7" ht="13.1">
      <c r="A140" s="390"/>
      <c r="B140" s="380">
        <v>1</v>
      </c>
      <c r="C140" s="381" t="s">
        <v>45</v>
      </c>
      <c r="D140" s="382" t="s">
        <v>47</v>
      </c>
      <c r="E140" s="381" t="s">
        <v>37</v>
      </c>
      <c r="F140" s="381" t="s">
        <v>47</v>
      </c>
      <c r="G140" s="383" t="s">
        <v>398</v>
      </c>
    </row>
    <row r="141" spans="1:7" ht="13.1">
      <c r="A141" s="379"/>
      <c r="B141" s="380">
        <v>2</v>
      </c>
      <c r="C141" s="381" t="s">
        <v>45</v>
      </c>
      <c r="D141" s="382" t="s">
        <v>42</v>
      </c>
      <c r="E141" s="381" t="s">
        <v>37</v>
      </c>
      <c r="F141" s="381" t="s">
        <v>45</v>
      </c>
      <c r="G141" s="383" t="s">
        <v>42</v>
      </c>
    </row>
    <row r="142" spans="1:7" ht="13.1">
      <c r="A142" s="413" t="s">
        <v>413</v>
      </c>
      <c r="B142" s="380">
        <v>3</v>
      </c>
      <c r="C142" s="381" t="s">
        <v>40</v>
      </c>
      <c r="D142" s="382" t="s">
        <v>35</v>
      </c>
      <c r="E142" s="381" t="s">
        <v>71</v>
      </c>
      <c r="F142" s="381" t="s">
        <v>100</v>
      </c>
      <c r="G142" s="383" t="s">
        <v>71</v>
      </c>
    </row>
    <row r="143" spans="1:7" ht="13.1">
      <c r="A143" s="413"/>
      <c r="B143" s="380">
        <v>4</v>
      </c>
      <c r="C143" s="381" t="s">
        <v>398</v>
      </c>
      <c r="D143" s="382" t="s">
        <v>40</v>
      </c>
      <c r="E143" s="381" t="s">
        <v>35</v>
      </c>
      <c r="F143" s="381" t="s">
        <v>41</v>
      </c>
      <c r="G143" s="383" t="s">
        <v>71</v>
      </c>
    </row>
    <row r="144" spans="1:7" ht="13.1">
      <c r="A144" s="413"/>
      <c r="B144" s="380">
        <v>5</v>
      </c>
      <c r="C144" s="381" t="s">
        <v>41</v>
      </c>
      <c r="D144" s="382" t="s">
        <v>100</v>
      </c>
      <c r="E144" s="381" t="s">
        <v>424</v>
      </c>
      <c r="F144" s="381" t="s">
        <v>40</v>
      </c>
      <c r="G144" s="383" t="s">
        <v>100</v>
      </c>
    </row>
    <row r="145" spans="1:7" ht="13.1">
      <c r="A145" s="379"/>
      <c r="B145" s="380">
        <v>6</v>
      </c>
      <c r="C145" s="381" t="s">
        <v>47</v>
      </c>
      <c r="D145" s="382" t="s">
        <v>38</v>
      </c>
      <c r="E145" s="381" t="s">
        <v>424</v>
      </c>
      <c r="F145" s="381" t="s">
        <v>71</v>
      </c>
      <c r="G145" s="383" t="s">
        <v>35</v>
      </c>
    </row>
    <row r="146" spans="1:7" ht="13.75" thickBot="1">
      <c r="A146" s="385"/>
      <c r="B146" s="386">
        <v>7</v>
      </c>
      <c r="C146" s="391" t="s">
        <v>217</v>
      </c>
      <c r="D146" s="393" t="s">
        <v>37</v>
      </c>
      <c r="E146" s="391" t="s">
        <v>59</v>
      </c>
      <c r="F146" s="385"/>
      <c r="G146" s="385"/>
    </row>
    <row r="147" spans="1:7" ht="13.75" thickTop="1" thickBot="1">
      <c r="A147" s="388"/>
      <c r="B147" s="388"/>
      <c r="C147" s="389" t="s">
        <v>24</v>
      </c>
      <c r="D147" s="389" t="s">
        <v>25</v>
      </c>
      <c r="E147" s="389" t="s">
        <v>26</v>
      </c>
      <c r="F147" s="389" t="s">
        <v>27</v>
      </c>
      <c r="G147" s="389" t="s">
        <v>28</v>
      </c>
    </row>
    <row r="148" spans="1:7" ht="13.1">
      <c r="A148" s="390"/>
      <c r="B148" s="380">
        <v>1</v>
      </c>
      <c r="C148" s="381" t="s">
        <v>37</v>
      </c>
      <c r="D148" s="382" t="s">
        <v>47</v>
      </c>
      <c r="E148" s="381" t="s">
        <v>45</v>
      </c>
      <c r="F148" s="381" t="s">
        <v>36</v>
      </c>
      <c r="G148" s="383" t="s">
        <v>71</v>
      </c>
    </row>
    <row r="149" spans="1:7" ht="13.1">
      <c r="A149" s="379"/>
      <c r="B149" s="380">
        <v>2</v>
      </c>
      <c r="C149" s="381" t="s">
        <v>100</v>
      </c>
      <c r="D149" s="382" t="s">
        <v>71</v>
      </c>
      <c r="E149" s="381" t="s">
        <v>45</v>
      </c>
      <c r="F149" s="381" t="s">
        <v>40</v>
      </c>
      <c r="G149" s="383" t="s">
        <v>71</v>
      </c>
    </row>
    <row r="150" spans="1:7" ht="13.1">
      <c r="A150" s="413" t="s">
        <v>414</v>
      </c>
      <c r="B150" s="380">
        <v>3</v>
      </c>
      <c r="C150" s="381" t="s">
        <v>45</v>
      </c>
      <c r="D150" s="382" t="s">
        <v>40</v>
      </c>
      <c r="E150" s="381" t="s">
        <v>398</v>
      </c>
      <c r="F150" s="381" t="s">
        <v>41</v>
      </c>
      <c r="G150" s="383" t="s">
        <v>45</v>
      </c>
    </row>
    <row r="151" spans="1:7" ht="13.1">
      <c r="A151" s="413"/>
      <c r="B151" s="380">
        <v>4</v>
      </c>
      <c r="C151" s="381" t="s">
        <v>45</v>
      </c>
      <c r="D151" s="382" t="s">
        <v>36</v>
      </c>
      <c r="E151" s="381" t="s">
        <v>37</v>
      </c>
      <c r="F151" s="381" t="s">
        <v>35</v>
      </c>
      <c r="G151" s="383" t="s">
        <v>35</v>
      </c>
    </row>
    <row r="152" spans="1:7" ht="26.2">
      <c r="A152" s="413"/>
      <c r="B152" s="380">
        <v>5</v>
      </c>
      <c r="C152" s="381" t="s">
        <v>42</v>
      </c>
      <c r="D152" s="382" t="s">
        <v>35</v>
      </c>
      <c r="E152" s="381" t="s">
        <v>36</v>
      </c>
      <c r="F152" s="381" t="s">
        <v>424</v>
      </c>
      <c r="G152" s="383" t="s">
        <v>35</v>
      </c>
    </row>
    <row r="153" spans="1:7" ht="26.2">
      <c r="A153" s="379"/>
      <c r="B153" s="380">
        <v>6</v>
      </c>
      <c r="C153" s="381" t="s">
        <v>35</v>
      </c>
      <c r="D153" s="382" t="s">
        <v>398</v>
      </c>
      <c r="E153" s="381" t="s">
        <v>42</v>
      </c>
      <c r="F153" s="381" t="s">
        <v>424</v>
      </c>
      <c r="G153" s="383" t="s">
        <v>47</v>
      </c>
    </row>
    <row r="154" spans="1:7" ht="13.75" thickBot="1">
      <c r="A154" s="385"/>
      <c r="B154" s="386">
        <v>7</v>
      </c>
      <c r="C154" s="391" t="s">
        <v>35</v>
      </c>
      <c r="D154" s="393" t="s">
        <v>41</v>
      </c>
      <c r="E154" s="391" t="s">
        <v>59</v>
      </c>
      <c r="F154" s="385"/>
      <c r="G154" s="385"/>
    </row>
    <row r="155" spans="1:7" ht="13.75" thickTop="1" thickBot="1">
      <c r="A155" s="388"/>
      <c r="B155" s="388"/>
      <c r="C155" s="389" t="s">
        <v>24</v>
      </c>
      <c r="D155" s="389" t="s">
        <v>25</v>
      </c>
      <c r="E155" s="389" t="s">
        <v>26</v>
      </c>
      <c r="F155" s="389" t="s">
        <v>27</v>
      </c>
      <c r="G155" s="389" t="s">
        <v>28</v>
      </c>
    </row>
    <row r="156" spans="1:7" ht="26.2">
      <c r="A156" s="390"/>
      <c r="B156" s="380">
        <v>1</v>
      </c>
      <c r="C156" s="381" t="s">
        <v>36</v>
      </c>
      <c r="D156" s="382" t="s">
        <v>35</v>
      </c>
      <c r="E156" s="381" t="s">
        <v>47</v>
      </c>
      <c r="F156" s="381" t="s">
        <v>424</v>
      </c>
      <c r="G156" s="383" t="s">
        <v>45</v>
      </c>
    </row>
    <row r="157" spans="1:7" ht="26.2">
      <c r="A157" s="379"/>
      <c r="B157" s="380">
        <v>2</v>
      </c>
      <c r="C157" s="381" t="s">
        <v>398</v>
      </c>
      <c r="D157" s="382" t="s">
        <v>40</v>
      </c>
      <c r="E157" s="381" t="s">
        <v>398</v>
      </c>
      <c r="F157" s="381" t="s">
        <v>424</v>
      </c>
      <c r="G157" s="383" t="s">
        <v>45</v>
      </c>
    </row>
    <row r="158" spans="1:7" ht="13.1">
      <c r="A158" s="413" t="s">
        <v>415</v>
      </c>
      <c r="B158" s="380">
        <v>3</v>
      </c>
      <c r="C158" s="381" t="s">
        <v>35</v>
      </c>
      <c r="D158" s="382" t="s">
        <v>36</v>
      </c>
      <c r="E158" s="381" t="s">
        <v>37</v>
      </c>
      <c r="F158" s="381" t="s">
        <v>40</v>
      </c>
      <c r="G158" s="383" t="s">
        <v>47</v>
      </c>
    </row>
    <row r="159" spans="1:7" ht="13.1">
      <c r="A159" s="413"/>
      <c r="B159" s="380">
        <v>4</v>
      </c>
      <c r="C159" s="381" t="s">
        <v>35</v>
      </c>
      <c r="D159" s="382" t="s">
        <v>71</v>
      </c>
      <c r="E159" s="381" t="s">
        <v>45</v>
      </c>
      <c r="F159" s="381" t="s">
        <v>36</v>
      </c>
      <c r="G159" s="383" t="s">
        <v>35</v>
      </c>
    </row>
    <row r="160" spans="1:7" ht="13.1">
      <c r="A160" s="413"/>
      <c r="B160" s="380">
        <v>5</v>
      </c>
      <c r="C160" s="381" t="s">
        <v>100</v>
      </c>
      <c r="D160" s="382" t="s">
        <v>41</v>
      </c>
      <c r="E160" s="381" t="s">
        <v>42</v>
      </c>
      <c r="F160" s="381" t="s">
        <v>71</v>
      </c>
      <c r="G160" s="383" t="s">
        <v>35</v>
      </c>
    </row>
    <row r="161" spans="1:7" ht="13.1">
      <c r="A161" s="379"/>
      <c r="B161" s="380">
        <v>6</v>
      </c>
      <c r="C161" s="381" t="s">
        <v>37</v>
      </c>
      <c r="D161" s="382" t="s">
        <v>45</v>
      </c>
      <c r="E161" s="381" t="s">
        <v>36</v>
      </c>
      <c r="F161" s="381" t="s">
        <v>71</v>
      </c>
      <c r="G161" s="383" t="s">
        <v>41</v>
      </c>
    </row>
    <row r="162" spans="1:7" ht="13.75" thickBot="1">
      <c r="A162" s="379"/>
      <c r="B162" s="380">
        <v>7</v>
      </c>
      <c r="C162" s="381" t="s">
        <v>42</v>
      </c>
      <c r="D162" s="382" t="s">
        <v>45</v>
      </c>
      <c r="E162" s="381" t="s">
        <v>59</v>
      </c>
      <c r="F162" s="379"/>
      <c r="G162" s="379"/>
    </row>
    <row r="163" spans="1:7" ht="13.75" thickTop="1" thickBot="1">
      <c r="A163" s="392"/>
      <c r="B163" s="392"/>
      <c r="C163" s="378" t="s">
        <v>24</v>
      </c>
      <c r="D163" s="378" t="s">
        <v>25</v>
      </c>
      <c r="E163" s="378" t="s">
        <v>26</v>
      </c>
      <c r="F163" s="378" t="s">
        <v>27</v>
      </c>
      <c r="G163" s="378" t="s">
        <v>28</v>
      </c>
    </row>
    <row r="164" spans="1:7" ht="26.2">
      <c r="A164" s="390"/>
      <c r="B164" s="380">
        <v>1</v>
      </c>
      <c r="C164" s="381" t="s">
        <v>71</v>
      </c>
      <c r="D164" s="382" t="s">
        <v>36</v>
      </c>
      <c r="E164" s="383" t="s">
        <v>71</v>
      </c>
      <c r="F164" s="383" t="s">
        <v>424</v>
      </c>
      <c r="G164" s="383" t="s">
        <v>43</v>
      </c>
    </row>
    <row r="165" spans="1:7" ht="26.2">
      <c r="A165" s="379"/>
      <c r="B165" s="380">
        <v>2</v>
      </c>
      <c r="C165" s="381" t="s">
        <v>36</v>
      </c>
      <c r="D165" s="382" t="s">
        <v>35</v>
      </c>
      <c r="E165" s="383" t="s">
        <v>71</v>
      </c>
      <c r="F165" s="383" t="s">
        <v>424</v>
      </c>
      <c r="G165" s="383" t="s">
        <v>47</v>
      </c>
    </row>
    <row r="166" spans="1:7" ht="26.2">
      <c r="A166" s="413" t="s">
        <v>416</v>
      </c>
      <c r="B166" s="380">
        <v>3</v>
      </c>
      <c r="C166" s="381" t="s">
        <v>42</v>
      </c>
      <c r="D166" s="382" t="s">
        <v>40</v>
      </c>
      <c r="E166" s="383" t="s">
        <v>36</v>
      </c>
      <c r="F166" s="383" t="s">
        <v>36</v>
      </c>
      <c r="G166" s="383" t="s">
        <v>37</v>
      </c>
    </row>
    <row r="167" spans="1:7" ht="13.1">
      <c r="A167" s="413"/>
      <c r="B167" s="380">
        <v>4</v>
      </c>
      <c r="C167" s="381" t="s">
        <v>100</v>
      </c>
      <c r="D167" s="382" t="s">
        <v>41</v>
      </c>
      <c r="E167" s="383" t="s">
        <v>45</v>
      </c>
      <c r="F167" s="383" t="s">
        <v>40</v>
      </c>
      <c r="G167" s="383" t="s">
        <v>41</v>
      </c>
    </row>
    <row r="168" spans="1:7" ht="13.1">
      <c r="A168" s="413"/>
      <c r="B168" s="380">
        <v>5</v>
      </c>
      <c r="C168" s="381" t="s">
        <v>35</v>
      </c>
      <c r="D168" s="382" t="s">
        <v>47</v>
      </c>
      <c r="E168" s="383" t="s">
        <v>35</v>
      </c>
      <c r="F168" s="383" t="s">
        <v>37</v>
      </c>
      <c r="G168" s="383" t="s">
        <v>45</v>
      </c>
    </row>
    <row r="169" spans="1:7" ht="26.2">
      <c r="A169" s="379"/>
      <c r="B169" s="380">
        <v>6</v>
      </c>
      <c r="C169" s="381" t="s">
        <v>35</v>
      </c>
      <c r="D169" s="382" t="s">
        <v>45</v>
      </c>
      <c r="E169" s="383" t="s">
        <v>42</v>
      </c>
      <c r="F169" s="383" t="s">
        <v>35</v>
      </c>
      <c r="G169" s="383" t="s">
        <v>45</v>
      </c>
    </row>
    <row r="170" spans="1:7" ht="13.75" thickBot="1">
      <c r="A170" s="385"/>
      <c r="B170" s="386">
        <v>7</v>
      </c>
      <c r="C170" s="391" t="s">
        <v>43</v>
      </c>
      <c r="D170" s="393" t="s">
        <v>45</v>
      </c>
      <c r="E170" s="387" t="s">
        <v>59</v>
      </c>
      <c r="F170" s="385"/>
      <c r="G170" s="385"/>
    </row>
    <row r="171" spans="1:7" ht="13.75" thickTop="1" thickBot="1">
      <c r="A171" s="388"/>
      <c r="B171" s="388"/>
      <c r="C171" s="389" t="s">
        <v>24</v>
      </c>
      <c r="D171" s="389" t="s">
        <v>25</v>
      </c>
      <c r="E171" s="389" t="s">
        <v>26</v>
      </c>
      <c r="F171" s="389" t="s">
        <v>27</v>
      </c>
      <c r="G171" s="389" t="s">
        <v>28</v>
      </c>
    </row>
    <row r="172" spans="1:7" ht="26.2">
      <c r="A172" s="390"/>
      <c r="B172" s="380">
        <v>1</v>
      </c>
      <c r="C172" s="381" t="s">
        <v>44</v>
      </c>
      <c r="D172" s="382" t="s">
        <v>71</v>
      </c>
      <c r="E172" s="383" t="s">
        <v>42</v>
      </c>
      <c r="F172" s="383" t="s">
        <v>43</v>
      </c>
      <c r="G172" s="383" t="s">
        <v>45</v>
      </c>
    </row>
    <row r="173" spans="1:7" ht="26.2">
      <c r="A173" s="379"/>
      <c r="B173" s="380">
        <v>2</v>
      </c>
      <c r="C173" s="381" t="s">
        <v>44</v>
      </c>
      <c r="D173" s="382" t="s">
        <v>36</v>
      </c>
      <c r="E173" s="383" t="s">
        <v>40</v>
      </c>
      <c r="F173" s="383" t="s">
        <v>36</v>
      </c>
      <c r="G173" s="383" t="s">
        <v>41</v>
      </c>
    </row>
    <row r="174" spans="1:7" ht="13.1">
      <c r="A174" s="413" t="s">
        <v>417</v>
      </c>
      <c r="B174" s="380">
        <v>3</v>
      </c>
      <c r="C174" s="381" t="s">
        <v>37</v>
      </c>
      <c r="D174" s="382" t="s">
        <v>44</v>
      </c>
      <c r="E174" s="383" t="s">
        <v>43</v>
      </c>
      <c r="F174" s="383" t="s">
        <v>71</v>
      </c>
      <c r="G174" s="383" t="s">
        <v>40</v>
      </c>
    </row>
    <row r="175" spans="1:7" ht="13.1">
      <c r="A175" s="413"/>
      <c r="B175" s="380">
        <v>4</v>
      </c>
      <c r="C175" s="381" t="s">
        <v>35</v>
      </c>
      <c r="D175" s="382" t="s">
        <v>45</v>
      </c>
      <c r="E175" s="383" t="s">
        <v>36</v>
      </c>
      <c r="F175" s="383" t="s">
        <v>71</v>
      </c>
      <c r="G175" s="383" t="s">
        <v>44</v>
      </c>
    </row>
    <row r="176" spans="1:7" ht="26.2">
      <c r="A176" s="413"/>
      <c r="B176" s="380">
        <v>5</v>
      </c>
      <c r="C176" s="381" t="s">
        <v>35</v>
      </c>
      <c r="D176" s="382" t="s">
        <v>45</v>
      </c>
      <c r="E176" s="383" t="s">
        <v>35</v>
      </c>
      <c r="F176" s="383" t="s">
        <v>45</v>
      </c>
      <c r="G176" s="383" t="s">
        <v>47</v>
      </c>
    </row>
    <row r="177" spans="1:7" ht="13.1">
      <c r="A177" s="379"/>
      <c r="B177" s="380">
        <v>6</v>
      </c>
      <c r="C177" s="381" t="s">
        <v>100</v>
      </c>
      <c r="D177" s="382" t="s">
        <v>41</v>
      </c>
      <c r="E177" s="383" t="s">
        <v>45</v>
      </c>
      <c r="F177" s="383" t="s">
        <v>37</v>
      </c>
      <c r="G177" s="383" t="s">
        <v>35</v>
      </c>
    </row>
    <row r="178" spans="1:7" ht="13.75" thickBot="1">
      <c r="A178" s="385"/>
      <c r="B178" s="386">
        <v>7</v>
      </c>
      <c r="C178" s="391" t="s">
        <v>42</v>
      </c>
      <c r="D178" s="393" t="s">
        <v>47</v>
      </c>
      <c r="E178" s="387" t="s">
        <v>59</v>
      </c>
      <c r="F178" s="385"/>
      <c r="G178" s="385"/>
    </row>
    <row r="179" spans="1:7" ht="13.75" thickTop="1" thickBot="1">
      <c r="A179" s="388"/>
      <c r="B179" s="388"/>
      <c r="C179" s="389" t="s">
        <v>24</v>
      </c>
      <c r="D179" s="389" t="s">
        <v>25</v>
      </c>
      <c r="E179" s="389" t="s">
        <v>26</v>
      </c>
      <c r="F179" s="389" t="s">
        <v>27</v>
      </c>
      <c r="G179" s="389" t="s">
        <v>28</v>
      </c>
    </row>
    <row r="180" spans="1:7" ht="13.1">
      <c r="A180" s="390"/>
      <c r="B180" s="380">
        <v>1</v>
      </c>
      <c r="C180" s="381" t="s">
        <v>40</v>
      </c>
      <c r="D180" s="382" t="s">
        <v>43</v>
      </c>
      <c r="E180" s="383" t="s">
        <v>37</v>
      </c>
      <c r="F180" s="383" t="s">
        <v>40</v>
      </c>
      <c r="G180" s="383" t="s">
        <v>47</v>
      </c>
    </row>
    <row r="181" spans="1:7" ht="13.1">
      <c r="A181" s="379"/>
      <c r="B181" s="380">
        <v>2</v>
      </c>
      <c r="C181" s="381" t="s">
        <v>71</v>
      </c>
      <c r="D181" s="382" t="s">
        <v>47</v>
      </c>
      <c r="E181" s="383" t="s">
        <v>37</v>
      </c>
      <c r="F181" s="383" t="s">
        <v>40</v>
      </c>
      <c r="G181" s="383" t="s">
        <v>37</v>
      </c>
    </row>
    <row r="182" spans="1:7" ht="26.2">
      <c r="A182" s="413" t="s">
        <v>418</v>
      </c>
      <c r="B182" s="380">
        <v>3</v>
      </c>
      <c r="C182" s="381" t="s">
        <v>100</v>
      </c>
      <c r="D182" s="382" t="s">
        <v>41</v>
      </c>
      <c r="E182" s="383" t="s">
        <v>45</v>
      </c>
      <c r="F182" s="383" t="s">
        <v>424</v>
      </c>
      <c r="G182" s="383" t="s">
        <v>35</v>
      </c>
    </row>
    <row r="183" spans="1:7" ht="26.2">
      <c r="A183" s="413"/>
      <c r="B183" s="380">
        <v>4</v>
      </c>
      <c r="C183" s="381" t="s">
        <v>42</v>
      </c>
      <c r="D183" s="382" t="s">
        <v>37</v>
      </c>
      <c r="E183" s="383" t="s">
        <v>42</v>
      </c>
      <c r="F183" s="383" t="s">
        <v>424</v>
      </c>
      <c r="G183" s="383" t="s">
        <v>45</v>
      </c>
    </row>
    <row r="184" spans="1:7" ht="26.2">
      <c r="A184" s="413"/>
      <c r="B184" s="380">
        <v>5</v>
      </c>
      <c r="C184" s="381" t="s">
        <v>37</v>
      </c>
      <c r="D184" s="382" t="s">
        <v>37</v>
      </c>
      <c r="E184" s="383" t="s">
        <v>71</v>
      </c>
      <c r="F184" s="383" t="s">
        <v>43</v>
      </c>
      <c r="G184" s="383" t="s">
        <v>41</v>
      </c>
    </row>
    <row r="185" spans="1:7" ht="26.2">
      <c r="A185" s="379"/>
      <c r="B185" s="380">
        <v>6</v>
      </c>
      <c r="C185" s="381" t="s">
        <v>45</v>
      </c>
      <c r="D185" s="382" t="s">
        <v>40</v>
      </c>
      <c r="E185" s="383" t="s">
        <v>71</v>
      </c>
      <c r="F185" s="383" t="s">
        <v>45</v>
      </c>
      <c r="G185" s="383" t="s">
        <v>40</v>
      </c>
    </row>
    <row r="186" spans="1:7" ht="13.75" thickBot="1">
      <c r="A186" s="385"/>
      <c r="B186" s="386">
        <v>7</v>
      </c>
      <c r="C186" s="391" t="s">
        <v>45</v>
      </c>
      <c r="D186" s="393" t="s">
        <v>35</v>
      </c>
      <c r="E186" s="387" t="s">
        <v>37</v>
      </c>
      <c r="F186" s="385"/>
      <c r="G186" s="385"/>
    </row>
    <row r="187" spans="1:7" ht="13.75" thickTop="1" thickBot="1">
      <c r="A187" s="395"/>
      <c r="B187" s="395"/>
      <c r="C187" s="389" t="s">
        <v>24</v>
      </c>
      <c r="D187" s="389" t="s">
        <v>25</v>
      </c>
      <c r="E187" s="389" t="s">
        <v>26</v>
      </c>
      <c r="F187" s="389" t="s">
        <v>27</v>
      </c>
      <c r="G187" s="389" t="s">
        <v>28</v>
      </c>
    </row>
    <row r="188" spans="1:7" ht="13.1">
      <c r="A188" s="396"/>
      <c r="B188" s="380">
        <v>1</v>
      </c>
      <c r="C188" s="381" t="s">
        <v>71</v>
      </c>
      <c r="D188" s="382" t="s">
        <v>36</v>
      </c>
      <c r="E188" s="383" t="s">
        <v>35</v>
      </c>
      <c r="F188" s="383" t="s">
        <v>71</v>
      </c>
      <c r="G188" s="383" t="s">
        <v>35</v>
      </c>
    </row>
    <row r="189" spans="1:7" ht="26.2">
      <c r="A189" s="379"/>
      <c r="B189" s="380">
        <v>2</v>
      </c>
      <c r="C189" s="381" t="s">
        <v>71</v>
      </c>
      <c r="D189" s="382" t="s">
        <v>35</v>
      </c>
      <c r="E189" s="383" t="s">
        <v>35</v>
      </c>
      <c r="F189" s="383" t="s">
        <v>36</v>
      </c>
      <c r="G189" s="383" t="s">
        <v>398</v>
      </c>
    </row>
    <row r="190" spans="1:7" ht="26.2">
      <c r="A190" s="413" t="s">
        <v>419</v>
      </c>
      <c r="B190" s="380">
        <v>3</v>
      </c>
      <c r="C190" s="381" t="s">
        <v>45</v>
      </c>
      <c r="D190" s="382" t="s">
        <v>35</v>
      </c>
      <c r="E190" s="383" t="s">
        <v>41</v>
      </c>
      <c r="F190" s="383" t="s">
        <v>35</v>
      </c>
      <c r="G190" s="383" t="s">
        <v>424</v>
      </c>
    </row>
    <row r="191" spans="1:7" ht="26.2">
      <c r="A191" s="413"/>
      <c r="B191" s="380">
        <v>4</v>
      </c>
      <c r="C191" s="381" t="s">
        <v>36</v>
      </c>
      <c r="D191" s="382" t="s">
        <v>42</v>
      </c>
      <c r="E191" s="383" t="s">
        <v>71</v>
      </c>
      <c r="F191" s="383" t="s">
        <v>35</v>
      </c>
      <c r="G191" s="383" t="s">
        <v>424</v>
      </c>
    </row>
    <row r="192" spans="1:7" ht="26.2">
      <c r="A192" s="413"/>
      <c r="B192" s="380">
        <v>5</v>
      </c>
      <c r="C192" s="381" t="s">
        <v>47</v>
      </c>
      <c r="D192" s="382" t="s">
        <v>398</v>
      </c>
      <c r="E192" s="383" t="s">
        <v>47</v>
      </c>
      <c r="F192" s="383" t="s">
        <v>45</v>
      </c>
      <c r="G192" s="383" t="s">
        <v>45</v>
      </c>
    </row>
    <row r="193" spans="1:7" ht="26.2">
      <c r="A193" s="379"/>
      <c r="B193" s="380">
        <v>6</v>
      </c>
      <c r="C193" s="381" t="s">
        <v>41</v>
      </c>
      <c r="D193" s="382" t="s">
        <v>45</v>
      </c>
      <c r="E193" s="383" t="s">
        <v>36</v>
      </c>
      <c r="F193" s="383" t="s">
        <v>45</v>
      </c>
      <c r="G193" s="383" t="s">
        <v>36</v>
      </c>
    </row>
    <row r="194" spans="1:7" ht="13.75" thickBot="1">
      <c r="A194" s="379"/>
      <c r="B194" s="380">
        <v>7</v>
      </c>
      <c r="C194" s="381" t="s">
        <v>35</v>
      </c>
      <c r="D194" s="382" t="s">
        <v>100</v>
      </c>
      <c r="E194" s="383" t="s">
        <v>59</v>
      </c>
      <c r="F194" s="379"/>
      <c r="G194" s="379"/>
    </row>
    <row r="195" spans="1:7" ht="13.75" thickTop="1" thickBot="1">
      <c r="A195" s="377"/>
      <c r="B195" s="377"/>
      <c r="C195" s="378" t="s">
        <v>24</v>
      </c>
      <c r="D195" s="378" t="s">
        <v>25</v>
      </c>
      <c r="E195" s="378" t="s">
        <v>26</v>
      </c>
      <c r="F195" s="378" t="s">
        <v>27</v>
      </c>
      <c r="G195" s="378" t="s">
        <v>28</v>
      </c>
    </row>
    <row r="196" spans="1:7" ht="26.2">
      <c r="A196" s="379"/>
      <c r="B196" s="380">
        <v>1</v>
      </c>
      <c r="C196" s="381" t="s">
        <v>35</v>
      </c>
      <c r="D196" s="382" t="s">
        <v>398</v>
      </c>
      <c r="E196" s="383" t="s">
        <v>71</v>
      </c>
      <c r="F196" s="383" t="s">
        <v>36</v>
      </c>
      <c r="G196" s="383" t="s">
        <v>35</v>
      </c>
    </row>
    <row r="197" spans="1:7" ht="26.2">
      <c r="A197" s="384"/>
      <c r="B197" s="380">
        <v>2</v>
      </c>
      <c r="C197" s="381" t="s">
        <v>41</v>
      </c>
      <c r="D197" s="382" t="s">
        <v>36</v>
      </c>
      <c r="E197" s="383" t="s">
        <v>47</v>
      </c>
      <c r="F197" s="383" t="s">
        <v>45</v>
      </c>
      <c r="G197" s="383" t="s">
        <v>35</v>
      </c>
    </row>
    <row r="198" spans="1:7" ht="26.2">
      <c r="A198" s="413" t="s">
        <v>420</v>
      </c>
      <c r="B198" s="380">
        <v>3</v>
      </c>
      <c r="C198" s="381" t="s">
        <v>71</v>
      </c>
      <c r="D198" s="382" t="s">
        <v>100</v>
      </c>
      <c r="E198" s="383" t="s">
        <v>36</v>
      </c>
      <c r="F198" s="383" t="s">
        <v>45</v>
      </c>
      <c r="G198" s="383" t="s">
        <v>36</v>
      </c>
    </row>
    <row r="199" spans="1:7" ht="26.2">
      <c r="A199" s="413"/>
      <c r="B199" s="380">
        <v>4</v>
      </c>
      <c r="C199" s="381" t="s">
        <v>71</v>
      </c>
      <c r="D199" s="382" t="s">
        <v>35</v>
      </c>
      <c r="E199" s="383" t="s">
        <v>41</v>
      </c>
      <c r="F199" s="383" t="s">
        <v>35</v>
      </c>
      <c r="G199" s="383" t="s">
        <v>45</v>
      </c>
    </row>
    <row r="200" spans="1:7" ht="13.1">
      <c r="A200" s="413"/>
      <c r="B200" s="380">
        <v>5</v>
      </c>
      <c r="C200" s="381" t="s">
        <v>45</v>
      </c>
      <c r="D200" s="382" t="s">
        <v>35</v>
      </c>
      <c r="E200" s="383" t="s">
        <v>35</v>
      </c>
      <c r="F200" s="383" t="s">
        <v>398</v>
      </c>
      <c r="G200" s="383" t="s">
        <v>424</v>
      </c>
    </row>
    <row r="201" spans="1:7" ht="13.1">
      <c r="A201" s="379"/>
      <c r="B201" s="380">
        <v>6</v>
      </c>
      <c r="C201" s="381" t="s">
        <v>36</v>
      </c>
      <c r="D201" s="382" t="s">
        <v>42</v>
      </c>
      <c r="E201" s="383" t="s">
        <v>35</v>
      </c>
      <c r="F201" s="383" t="s">
        <v>71</v>
      </c>
      <c r="G201" s="383" t="s">
        <v>424</v>
      </c>
    </row>
    <row r="202" spans="1:7" ht="13.75" thickBot="1">
      <c r="A202" s="385"/>
      <c r="B202" s="386">
        <v>7</v>
      </c>
      <c r="C202" s="391" t="s">
        <v>47</v>
      </c>
      <c r="D202" s="393" t="s">
        <v>45</v>
      </c>
      <c r="E202" s="387" t="s">
        <v>59</v>
      </c>
      <c r="F202" s="385"/>
      <c r="G202" s="385"/>
    </row>
    <row r="203" spans="1:7" ht="13.75" thickTop="1" thickBot="1">
      <c r="A203" s="397"/>
      <c r="B203" s="397"/>
      <c r="C203" s="389" t="s">
        <v>24</v>
      </c>
      <c r="D203" s="389" t="s">
        <v>25</v>
      </c>
      <c r="E203" s="389" t="s">
        <v>26</v>
      </c>
      <c r="F203" s="389" t="s">
        <v>27</v>
      </c>
      <c r="G203" s="389" t="s">
        <v>28</v>
      </c>
    </row>
    <row r="204" spans="1:7" ht="26.2">
      <c r="A204" s="379"/>
      <c r="B204" s="380">
        <v>1</v>
      </c>
      <c r="C204" s="381" t="s">
        <v>47</v>
      </c>
      <c r="D204" s="382" t="s">
        <v>42</v>
      </c>
      <c r="E204" s="383" t="s">
        <v>45</v>
      </c>
      <c r="F204" s="383" t="s">
        <v>35</v>
      </c>
      <c r="G204" s="383" t="s">
        <v>71</v>
      </c>
    </row>
    <row r="205" spans="1:7" ht="26.2">
      <c r="A205" s="379"/>
      <c r="B205" s="380">
        <v>2</v>
      </c>
      <c r="C205" s="381" t="s">
        <v>35</v>
      </c>
      <c r="D205" s="382" t="s">
        <v>100</v>
      </c>
      <c r="E205" s="383" t="s">
        <v>45</v>
      </c>
      <c r="F205" s="383" t="s">
        <v>35</v>
      </c>
      <c r="G205" s="383" t="s">
        <v>45</v>
      </c>
    </row>
    <row r="206" spans="1:7" ht="26.2">
      <c r="A206" s="413" t="s">
        <v>421</v>
      </c>
      <c r="B206" s="380">
        <v>3</v>
      </c>
      <c r="C206" s="381" t="s">
        <v>41</v>
      </c>
      <c r="D206" s="382" t="s">
        <v>398</v>
      </c>
      <c r="E206" s="383" t="s">
        <v>35</v>
      </c>
      <c r="F206" s="383" t="s">
        <v>36</v>
      </c>
      <c r="G206" s="383" t="s">
        <v>424</v>
      </c>
    </row>
    <row r="207" spans="1:7" ht="13.1">
      <c r="A207" s="413"/>
      <c r="B207" s="380">
        <v>4</v>
      </c>
      <c r="C207" s="381" t="s">
        <v>45</v>
      </c>
      <c r="D207" s="382" t="s">
        <v>36</v>
      </c>
      <c r="E207" s="383" t="s">
        <v>36</v>
      </c>
      <c r="F207" s="383" t="s">
        <v>398</v>
      </c>
      <c r="G207" s="383" t="s">
        <v>424</v>
      </c>
    </row>
    <row r="208" spans="1:7" ht="13.1">
      <c r="A208" s="413"/>
      <c r="B208" s="380">
        <v>5</v>
      </c>
      <c r="C208" s="381" t="s">
        <v>36</v>
      </c>
      <c r="D208" s="382" t="s">
        <v>45</v>
      </c>
      <c r="E208" s="383" t="s">
        <v>36</v>
      </c>
      <c r="F208" s="383" t="s">
        <v>71</v>
      </c>
      <c r="G208" s="383" t="s">
        <v>35</v>
      </c>
    </row>
    <row r="209" spans="1:7" ht="13.1">
      <c r="A209" s="379"/>
      <c r="B209" s="380">
        <v>6</v>
      </c>
      <c r="C209" s="381" t="s">
        <v>71</v>
      </c>
      <c r="D209" s="382" t="s">
        <v>35</v>
      </c>
      <c r="E209" s="383" t="s">
        <v>41</v>
      </c>
      <c r="F209" s="383" t="s">
        <v>47</v>
      </c>
      <c r="G209" s="383" t="s">
        <v>35</v>
      </c>
    </row>
    <row r="210" spans="1:7" ht="13.75" thickBot="1">
      <c r="A210" s="385"/>
      <c r="B210" s="386">
        <v>7</v>
      </c>
      <c r="C210" s="391" t="s">
        <v>71</v>
      </c>
      <c r="D210" s="393" t="s">
        <v>35</v>
      </c>
      <c r="E210" s="387" t="s">
        <v>59</v>
      </c>
      <c r="F210" s="385"/>
      <c r="G210" s="385"/>
    </row>
    <row r="211" spans="1:7" ht="13.75" thickTop="1" thickBot="1">
      <c r="A211" s="397"/>
      <c r="B211" s="397"/>
      <c r="C211" s="389" t="s">
        <v>24</v>
      </c>
      <c r="D211" s="389" t="s">
        <v>25</v>
      </c>
      <c r="E211" s="389" t="s">
        <v>26</v>
      </c>
      <c r="F211" s="389" t="s">
        <v>27</v>
      </c>
      <c r="G211" s="389" t="s">
        <v>28</v>
      </c>
    </row>
    <row r="212" spans="1:7" ht="26.2">
      <c r="A212" s="379"/>
      <c r="B212" s="380">
        <v>1</v>
      </c>
      <c r="C212" s="381" t="s">
        <v>41</v>
      </c>
      <c r="D212" s="382" t="s">
        <v>35</v>
      </c>
      <c r="E212" s="383" t="s">
        <v>36</v>
      </c>
      <c r="F212" s="383" t="s">
        <v>35</v>
      </c>
      <c r="G212" s="383" t="s">
        <v>44</v>
      </c>
    </row>
    <row r="213" spans="1:7" ht="26.2">
      <c r="A213" s="384"/>
      <c r="B213" s="380">
        <v>2</v>
      </c>
      <c r="C213" s="381" t="s">
        <v>45</v>
      </c>
      <c r="D213" s="382" t="s">
        <v>398</v>
      </c>
      <c r="E213" s="383" t="s">
        <v>41</v>
      </c>
      <c r="F213" s="383" t="s">
        <v>35</v>
      </c>
      <c r="G213" s="383" t="s">
        <v>44</v>
      </c>
    </row>
    <row r="214" spans="1:7" ht="13.1">
      <c r="A214" s="413" t="s">
        <v>422</v>
      </c>
      <c r="B214" s="380">
        <v>3</v>
      </c>
      <c r="C214" s="381" t="s">
        <v>35</v>
      </c>
      <c r="D214" s="382" t="s">
        <v>36</v>
      </c>
      <c r="E214" s="383" t="s">
        <v>45</v>
      </c>
      <c r="F214" s="383" t="s">
        <v>100</v>
      </c>
      <c r="G214" s="383" t="s">
        <v>71</v>
      </c>
    </row>
    <row r="215" spans="1:7" ht="13.1">
      <c r="A215" s="413"/>
      <c r="B215" s="380">
        <v>4</v>
      </c>
      <c r="C215" s="381" t="s">
        <v>35</v>
      </c>
      <c r="D215" s="382" t="s">
        <v>45</v>
      </c>
      <c r="E215" s="383" t="s">
        <v>45</v>
      </c>
      <c r="F215" s="383" t="s">
        <v>71</v>
      </c>
      <c r="G215" s="383" t="s">
        <v>35</v>
      </c>
    </row>
    <row r="216" spans="1:7" ht="13.1">
      <c r="A216" s="413"/>
      <c r="B216" s="380">
        <v>5</v>
      </c>
      <c r="C216" s="381" t="s">
        <v>44</v>
      </c>
      <c r="D216" s="382" t="s">
        <v>42</v>
      </c>
      <c r="E216" s="383" t="s">
        <v>44</v>
      </c>
      <c r="F216" s="383" t="s">
        <v>47</v>
      </c>
      <c r="G216" s="383" t="s">
        <v>36</v>
      </c>
    </row>
    <row r="217" spans="1:7" ht="13.1">
      <c r="A217" s="384"/>
      <c r="B217" s="380">
        <v>6</v>
      </c>
      <c r="C217" s="381" t="s">
        <v>47</v>
      </c>
      <c r="D217" s="382" t="s">
        <v>71</v>
      </c>
      <c r="E217" s="383" t="s">
        <v>44</v>
      </c>
      <c r="F217" s="383" t="s">
        <v>398</v>
      </c>
      <c r="G217" s="383" t="s">
        <v>45</v>
      </c>
    </row>
    <row r="218" spans="1:7" ht="13.75" thickBot="1">
      <c r="A218" s="385"/>
      <c r="B218" s="386">
        <v>7</v>
      </c>
      <c r="C218" s="391" t="s">
        <v>36</v>
      </c>
      <c r="D218" s="393" t="s">
        <v>71</v>
      </c>
      <c r="E218" s="387" t="s">
        <v>59</v>
      </c>
      <c r="F218" s="385"/>
      <c r="G218" s="385"/>
    </row>
    <row r="219" spans="1:7" ht="13.75" thickTop="1" thickBot="1">
      <c r="A219" s="397"/>
      <c r="B219" s="397"/>
      <c r="C219" s="389" t="s">
        <v>24</v>
      </c>
      <c r="D219" s="389" t="s">
        <v>25</v>
      </c>
      <c r="E219" s="389" t="s">
        <v>26</v>
      </c>
      <c r="F219" s="389" t="s">
        <v>27</v>
      </c>
      <c r="G219" s="389" t="s">
        <v>28</v>
      </c>
    </row>
    <row r="220" spans="1:7" ht="13.1">
      <c r="A220" s="379"/>
      <c r="B220" s="380">
        <v>1</v>
      </c>
      <c r="C220" s="381" t="s">
        <v>45</v>
      </c>
      <c r="D220" s="382" t="s">
        <v>45</v>
      </c>
      <c r="E220" s="383" t="s">
        <v>41</v>
      </c>
      <c r="F220" s="383" t="s">
        <v>37</v>
      </c>
      <c r="G220" s="383" t="s">
        <v>37</v>
      </c>
    </row>
    <row r="221" spans="1:7" ht="13.1">
      <c r="A221" s="384"/>
      <c r="B221" s="380">
        <v>2</v>
      </c>
      <c r="C221" s="381" t="s">
        <v>41</v>
      </c>
      <c r="D221" s="382" t="s">
        <v>45</v>
      </c>
      <c r="E221" s="383" t="s">
        <v>37</v>
      </c>
      <c r="F221" s="383" t="s">
        <v>37</v>
      </c>
      <c r="G221" s="383" t="s">
        <v>71</v>
      </c>
    </row>
    <row r="222" spans="1:7" ht="13.1">
      <c r="A222" s="413" t="s">
        <v>423</v>
      </c>
      <c r="B222" s="380">
        <v>3</v>
      </c>
      <c r="C222" s="381" t="s">
        <v>40</v>
      </c>
      <c r="D222" s="382" t="s">
        <v>35</v>
      </c>
      <c r="E222" s="383" t="s">
        <v>40</v>
      </c>
      <c r="F222" s="383" t="s">
        <v>71</v>
      </c>
      <c r="G222" s="383" t="s">
        <v>45</v>
      </c>
    </row>
    <row r="223" spans="1:7" ht="13.1">
      <c r="A223" s="413"/>
      <c r="B223" s="380">
        <v>4</v>
      </c>
      <c r="C223" s="381" t="s">
        <v>47</v>
      </c>
      <c r="D223" s="382" t="s">
        <v>71</v>
      </c>
      <c r="E223" s="383" t="s">
        <v>40</v>
      </c>
      <c r="F223" s="383" t="s">
        <v>47</v>
      </c>
      <c r="G223" s="383" t="s">
        <v>35</v>
      </c>
    </row>
    <row r="224" spans="1:7" ht="13.1">
      <c r="A224" s="413"/>
      <c r="B224" s="380">
        <v>5</v>
      </c>
      <c r="C224" s="381" t="s">
        <v>398</v>
      </c>
      <c r="D224" s="382" t="s">
        <v>71</v>
      </c>
      <c r="E224" s="383" t="s">
        <v>100</v>
      </c>
      <c r="F224" s="383" t="s">
        <v>40</v>
      </c>
      <c r="G224" s="383" t="s">
        <v>424</v>
      </c>
    </row>
    <row r="225" spans="1:7" ht="13.1">
      <c r="A225" s="379"/>
      <c r="B225" s="380">
        <v>6</v>
      </c>
      <c r="C225" s="381" t="s">
        <v>37</v>
      </c>
      <c r="D225" s="382" t="s">
        <v>398</v>
      </c>
      <c r="E225" s="383" t="s">
        <v>45</v>
      </c>
      <c r="F225" s="383" t="s">
        <v>40</v>
      </c>
      <c r="G225" s="383" t="s">
        <v>424</v>
      </c>
    </row>
    <row r="226" spans="1:7" ht="13.1">
      <c r="A226" s="379"/>
      <c r="B226" s="380">
        <v>7</v>
      </c>
      <c r="C226" s="381" t="s">
        <v>37</v>
      </c>
      <c r="D226" s="382" t="s">
        <v>42</v>
      </c>
      <c r="E226" s="383" t="s">
        <v>59</v>
      </c>
      <c r="F226" s="379"/>
      <c r="G226" s="379"/>
    </row>
    <row r="227" spans="1:7" ht="14.4">
      <c r="A227" s="375"/>
    </row>
  </sheetData>
  <mergeCells count="28">
    <mergeCell ref="A46:A48"/>
    <mergeCell ref="A7:A8"/>
    <mergeCell ref="A14:A16"/>
    <mergeCell ref="A22:A24"/>
    <mergeCell ref="A30:A32"/>
    <mergeCell ref="A38:A40"/>
    <mergeCell ref="A142:A144"/>
    <mergeCell ref="A54:A56"/>
    <mergeCell ref="A65:A66"/>
    <mergeCell ref="A70:A72"/>
    <mergeCell ref="A78:A80"/>
    <mergeCell ref="A86:A88"/>
    <mergeCell ref="A94:A96"/>
    <mergeCell ref="A102:A104"/>
    <mergeCell ref="A110:A112"/>
    <mergeCell ref="A118:A120"/>
    <mergeCell ref="A126:A128"/>
    <mergeCell ref="A134:A136"/>
    <mergeCell ref="A198:A200"/>
    <mergeCell ref="A206:A208"/>
    <mergeCell ref="A214:A216"/>
    <mergeCell ref="A222:A224"/>
    <mergeCell ref="A150:A152"/>
    <mergeCell ref="A158:A160"/>
    <mergeCell ref="A166:A168"/>
    <mergeCell ref="A174:A176"/>
    <mergeCell ref="A182:A184"/>
    <mergeCell ref="A190:A19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F81"/>
  <sheetViews>
    <sheetView topLeftCell="A31" workbookViewId="0">
      <selection activeCell="F41" sqref="F41"/>
    </sheetView>
  </sheetViews>
  <sheetFormatPr defaultColWidth="9.125" defaultRowHeight="17.2" customHeight="1"/>
  <cols>
    <col min="1" max="1" width="16" style="228" bestFit="1" customWidth="1"/>
    <col min="2" max="6" width="15.375" style="228" customWidth="1"/>
    <col min="7" max="16384" width="9.125" style="228"/>
  </cols>
  <sheetData>
    <row r="1" spans="1:6" ht="17.2" customHeight="1" thickBot="1">
      <c r="A1" s="419" t="s">
        <v>321</v>
      </c>
      <c r="B1" s="419"/>
      <c r="C1" s="419"/>
      <c r="D1" s="419"/>
      <c r="E1" s="419"/>
      <c r="F1" s="419"/>
    </row>
    <row r="2" spans="1:6" ht="16.55" customHeight="1" thickBot="1">
      <c r="A2" s="227"/>
      <c r="B2" s="244" t="s">
        <v>19</v>
      </c>
      <c r="C2" s="244" t="s">
        <v>20</v>
      </c>
      <c r="D2" s="244" t="s">
        <v>23</v>
      </c>
      <c r="E2" s="244" t="s">
        <v>22</v>
      </c>
      <c r="F2" s="245" t="s">
        <v>21</v>
      </c>
    </row>
    <row r="3" spans="1:6" ht="16.55" customHeight="1">
      <c r="A3" s="420" t="s">
        <v>374</v>
      </c>
      <c r="B3" s="232">
        <v>204</v>
      </c>
      <c r="C3" s="229">
        <v>203</v>
      </c>
      <c r="D3" s="229">
        <v>204</v>
      </c>
      <c r="E3" s="229">
        <v>201</v>
      </c>
      <c r="F3" s="230">
        <v>204</v>
      </c>
    </row>
    <row r="4" spans="1:6" ht="16.55" customHeight="1">
      <c r="A4" s="415"/>
      <c r="B4" s="232">
        <v>204</v>
      </c>
      <c r="C4" s="231">
        <v>203</v>
      </c>
      <c r="D4" s="231">
        <v>204</v>
      </c>
      <c r="E4" s="232">
        <v>201</v>
      </c>
      <c r="F4" s="233">
        <v>204</v>
      </c>
    </row>
    <row r="5" spans="1:6" ht="16.55" customHeight="1">
      <c r="A5" s="415"/>
      <c r="B5" s="232">
        <v>204</v>
      </c>
      <c r="C5" s="231">
        <v>203</v>
      </c>
      <c r="D5" s="231">
        <v>201</v>
      </c>
      <c r="E5" s="232">
        <v>203</v>
      </c>
      <c r="F5" s="233"/>
    </row>
    <row r="6" spans="1:6" ht="16.55" customHeight="1">
      <c r="A6" s="415"/>
      <c r="B6" s="232"/>
      <c r="C6" s="231">
        <v>203</v>
      </c>
      <c r="D6" s="231"/>
      <c r="E6" s="232">
        <v>203</v>
      </c>
      <c r="F6" s="233">
        <v>201</v>
      </c>
    </row>
    <row r="7" spans="1:6" ht="16.55" customHeight="1">
      <c r="A7" s="415"/>
      <c r="B7" s="232">
        <v>204</v>
      </c>
      <c r="C7" s="231"/>
      <c r="D7" s="231"/>
      <c r="E7" s="232"/>
      <c r="F7" s="233">
        <v>201</v>
      </c>
    </row>
    <row r="8" spans="1:6" ht="16.55" customHeight="1">
      <c r="A8" s="415"/>
      <c r="B8" s="231">
        <v>201</v>
      </c>
      <c r="C8" s="231">
        <v>201</v>
      </c>
      <c r="D8" s="231"/>
      <c r="E8" s="232">
        <v>203</v>
      </c>
      <c r="F8" s="233">
        <v>201</v>
      </c>
    </row>
    <row r="9" spans="1:6" ht="16.55" customHeight="1" thickBot="1">
      <c r="A9" s="416"/>
      <c r="B9" s="234">
        <v>201</v>
      </c>
      <c r="C9" s="234">
        <v>201</v>
      </c>
      <c r="D9" s="234"/>
      <c r="E9" s="367"/>
      <c r="F9" s="235"/>
    </row>
    <row r="10" spans="1:6" ht="1.5" customHeight="1" thickBot="1">
      <c r="A10" s="421"/>
      <c r="B10" s="424"/>
      <c r="C10" s="424"/>
      <c r="D10" s="424"/>
      <c r="E10" s="424"/>
      <c r="F10" s="425"/>
    </row>
    <row r="11" spans="1:6" ht="16.55" customHeight="1">
      <c r="A11" s="420" t="s">
        <v>169</v>
      </c>
      <c r="B11" s="231"/>
      <c r="C11" s="231"/>
      <c r="D11" s="231"/>
      <c r="E11" s="231">
        <v>104</v>
      </c>
      <c r="F11" s="231">
        <v>102</v>
      </c>
    </row>
    <row r="12" spans="1:6" ht="16.55" customHeight="1">
      <c r="A12" s="415"/>
      <c r="B12" s="231"/>
      <c r="C12" s="231"/>
      <c r="D12" s="231"/>
      <c r="E12" s="231">
        <v>104</v>
      </c>
      <c r="F12" s="231">
        <v>102</v>
      </c>
    </row>
    <row r="13" spans="1:6" ht="16.55" customHeight="1">
      <c r="A13" s="415"/>
      <c r="B13" s="231">
        <v>106</v>
      </c>
      <c r="C13" s="231"/>
      <c r="D13" s="231"/>
      <c r="E13" s="231">
        <v>104</v>
      </c>
      <c r="F13" s="231">
        <v>104</v>
      </c>
    </row>
    <row r="14" spans="1:6" ht="16.55" customHeight="1">
      <c r="A14" s="415"/>
      <c r="B14" s="231">
        <v>106</v>
      </c>
      <c r="C14" s="231">
        <v>103</v>
      </c>
      <c r="D14" s="231">
        <v>205</v>
      </c>
      <c r="E14" s="231"/>
      <c r="F14" s="231">
        <v>104</v>
      </c>
    </row>
    <row r="15" spans="1:6" ht="16.55" customHeight="1">
      <c r="A15" s="415"/>
      <c r="B15" s="231"/>
      <c r="C15" s="231">
        <v>103</v>
      </c>
      <c r="D15" s="231">
        <v>206</v>
      </c>
      <c r="E15" s="231"/>
      <c r="F15" s="231"/>
    </row>
    <row r="16" spans="1:6" ht="16.55" customHeight="1">
      <c r="A16" s="415"/>
      <c r="B16" s="231">
        <v>104</v>
      </c>
      <c r="C16" s="231">
        <v>103</v>
      </c>
      <c r="D16" s="231">
        <v>206</v>
      </c>
      <c r="E16" s="231"/>
      <c r="F16" s="231"/>
    </row>
    <row r="17" spans="1:6" ht="16.55" customHeight="1" thickBot="1">
      <c r="A17" s="416"/>
      <c r="B17" s="234">
        <v>104</v>
      </c>
      <c r="C17" s="234">
        <v>103</v>
      </c>
      <c r="D17" s="234">
        <v>206</v>
      </c>
      <c r="E17" s="234"/>
      <c r="F17" s="234"/>
    </row>
    <row r="18" spans="1:6" ht="1.5" customHeight="1" thickBot="1">
      <c r="A18" s="421"/>
      <c r="B18" s="422"/>
      <c r="C18" s="422"/>
      <c r="D18" s="422"/>
      <c r="E18" s="422"/>
      <c r="F18" s="423"/>
    </row>
    <row r="19" spans="1:6" ht="16.55" customHeight="1">
      <c r="A19" s="414" t="s">
        <v>57</v>
      </c>
      <c r="B19" s="236">
        <v>108</v>
      </c>
      <c r="C19" s="236">
        <v>108</v>
      </c>
      <c r="D19" s="236"/>
      <c r="E19" s="236">
        <v>107</v>
      </c>
      <c r="F19" s="237"/>
    </row>
    <row r="20" spans="1:6" ht="16.55" customHeight="1">
      <c r="A20" s="415"/>
      <c r="B20" s="231">
        <v>108</v>
      </c>
      <c r="C20" s="231">
        <v>108</v>
      </c>
      <c r="D20" s="231"/>
      <c r="E20" s="231">
        <v>107</v>
      </c>
      <c r="F20" s="233"/>
    </row>
    <row r="21" spans="1:6" ht="16.55" customHeight="1">
      <c r="A21" s="415"/>
      <c r="B21" s="231"/>
      <c r="C21" s="231">
        <v>101</v>
      </c>
      <c r="D21" s="231">
        <v>107</v>
      </c>
      <c r="E21" s="231">
        <v>107</v>
      </c>
      <c r="F21" s="233"/>
    </row>
    <row r="22" spans="1:6" ht="16.55" customHeight="1">
      <c r="A22" s="415"/>
      <c r="B22" s="238"/>
      <c r="C22" s="238"/>
      <c r="D22" s="231">
        <v>107</v>
      </c>
      <c r="E22" s="231">
        <v>107</v>
      </c>
      <c r="F22" s="233">
        <v>206</v>
      </c>
    </row>
    <row r="23" spans="1:6" ht="16.55" customHeight="1">
      <c r="A23" s="415"/>
      <c r="B23" s="238"/>
      <c r="C23" s="231"/>
      <c r="D23" s="231">
        <v>202</v>
      </c>
      <c r="E23" s="231">
        <v>107</v>
      </c>
      <c r="F23" s="233">
        <v>107</v>
      </c>
    </row>
    <row r="24" spans="1:6" ht="16.55" customHeight="1">
      <c r="A24" s="415"/>
      <c r="B24" s="231"/>
      <c r="C24" s="231"/>
      <c r="D24" s="231">
        <v>202</v>
      </c>
      <c r="E24" s="231">
        <v>107</v>
      </c>
      <c r="F24" s="233">
        <v>107</v>
      </c>
    </row>
    <row r="25" spans="1:6" ht="16.2" customHeight="1" thickBot="1">
      <c r="A25" s="416"/>
      <c r="B25" s="234"/>
      <c r="C25" s="234"/>
      <c r="D25" s="234"/>
      <c r="E25" s="234"/>
      <c r="F25" s="235"/>
    </row>
    <row r="26" spans="1:6" ht="1.1499999999999999" customHeight="1" thickBot="1">
      <c r="A26" s="362"/>
      <c r="B26" s="368"/>
      <c r="C26" s="368"/>
      <c r="D26" s="368"/>
      <c r="E26" s="368"/>
      <c r="F26" s="369"/>
    </row>
    <row r="27" spans="1:6" ht="16.55" customHeight="1">
      <c r="A27" s="414" t="s">
        <v>170</v>
      </c>
      <c r="B27" s="236"/>
      <c r="C27" s="236"/>
      <c r="D27" s="236">
        <v>108</v>
      </c>
      <c r="E27" s="236">
        <v>108</v>
      </c>
      <c r="F27" s="237">
        <v>108</v>
      </c>
    </row>
    <row r="28" spans="1:6" ht="16.55" customHeight="1">
      <c r="A28" s="415"/>
      <c r="B28" s="231"/>
      <c r="C28" s="231"/>
      <c r="D28" s="231"/>
      <c r="E28" s="231">
        <v>108</v>
      </c>
      <c r="F28" s="233">
        <v>108</v>
      </c>
    </row>
    <row r="29" spans="1:6" ht="16.55" customHeight="1">
      <c r="A29" s="415"/>
      <c r="B29" s="231">
        <v>108</v>
      </c>
      <c r="C29" s="231">
        <v>108</v>
      </c>
      <c r="D29" s="231">
        <v>108</v>
      </c>
      <c r="E29" s="231">
        <v>108</v>
      </c>
      <c r="F29" s="233">
        <v>107</v>
      </c>
    </row>
    <row r="30" spans="1:6" ht="16.55" customHeight="1">
      <c r="A30" s="415"/>
      <c r="B30" s="238"/>
      <c r="C30" s="238">
        <v>108</v>
      </c>
      <c r="D30" s="231">
        <v>108</v>
      </c>
      <c r="E30" s="231"/>
      <c r="F30" s="233">
        <v>107</v>
      </c>
    </row>
    <row r="31" spans="1:6" ht="16.55" customHeight="1">
      <c r="A31" s="415"/>
      <c r="B31" s="238">
        <v>108</v>
      </c>
      <c r="C31" s="231"/>
      <c r="D31" s="231">
        <v>108</v>
      </c>
      <c r="E31" s="231"/>
      <c r="F31" s="233">
        <v>108</v>
      </c>
    </row>
    <row r="32" spans="1:6" ht="16.55" customHeight="1">
      <c r="A32" s="415"/>
      <c r="B32" s="231">
        <v>108</v>
      </c>
      <c r="C32" s="231"/>
      <c r="D32" s="231">
        <v>108</v>
      </c>
      <c r="E32" s="231"/>
      <c r="F32" s="233">
        <v>108</v>
      </c>
    </row>
    <row r="33" spans="1:6" ht="16.55" customHeight="1" thickBot="1">
      <c r="A33" s="416"/>
      <c r="B33" s="234">
        <v>108</v>
      </c>
      <c r="C33" s="234"/>
      <c r="D33" s="234">
        <v>108</v>
      </c>
      <c r="E33" s="234"/>
      <c r="F33" s="235"/>
    </row>
    <row r="34" spans="1:6" ht="1.1499999999999999" customHeight="1" thickBot="1">
      <c r="A34" s="362"/>
      <c r="B34" s="368"/>
      <c r="C34" s="368"/>
      <c r="D34" s="368"/>
      <c r="E34" s="368"/>
      <c r="F34" s="369"/>
    </row>
    <row r="35" spans="1:6" ht="16.55" customHeight="1">
      <c r="A35" s="414" t="s">
        <v>177</v>
      </c>
      <c r="B35" s="236"/>
      <c r="C35" s="236">
        <v>305</v>
      </c>
      <c r="D35" s="236"/>
      <c r="E35" s="236">
        <v>101</v>
      </c>
      <c r="F35" s="237"/>
    </row>
    <row r="36" spans="1:6" ht="16.55" customHeight="1">
      <c r="A36" s="415"/>
      <c r="B36" s="231"/>
      <c r="C36" s="231">
        <v>305</v>
      </c>
      <c r="D36" s="231"/>
      <c r="E36" s="231">
        <v>101</v>
      </c>
      <c r="F36" s="233"/>
    </row>
    <row r="37" spans="1:6" ht="16.55" customHeight="1">
      <c r="A37" s="415"/>
      <c r="B37" s="231"/>
      <c r="C37" s="231">
        <v>305</v>
      </c>
      <c r="D37" s="231">
        <v>305</v>
      </c>
      <c r="E37" s="231">
        <v>101</v>
      </c>
      <c r="F37" s="233">
        <v>108</v>
      </c>
    </row>
    <row r="38" spans="1:6" ht="16.55" customHeight="1">
      <c r="A38" s="415"/>
      <c r="B38" s="238"/>
      <c r="C38" s="238">
        <v>305</v>
      </c>
      <c r="D38" s="231">
        <v>305</v>
      </c>
      <c r="E38" s="231">
        <v>101</v>
      </c>
      <c r="F38" s="233">
        <v>108</v>
      </c>
    </row>
    <row r="39" spans="1:6" ht="16.55" customHeight="1">
      <c r="A39" s="415"/>
      <c r="B39" s="238"/>
      <c r="C39" s="231"/>
      <c r="D39" s="231">
        <v>106</v>
      </c>
      <c r="E39" s="231">
        <v>103</v>
      </c>
      <c r="F39" s="233">
        <v>106</v>
      </c>
    </row>
    <row r="40" spans="1:6" ht="16.55" customHeight="1">
      <c r="A40" s="415"/>
      <c r="B40" s="231">
        <v>102</v>
      </c>
      <c r="C40" s="231"/>
      <c r="D40" s="231">
        <v>106</v>
      </c>
      <c r="E40" s="231">
        <v>103</v>
      </c>
      <c r="F40" s="233">
        <v>106</v>
      </c>
    </row>
    <row r="41" spans="1:6" ht="16.55" customHeight="1" thickBot="1">
      <c r="A41" s="416"/>
      <c r="B41" s="234">
        <v>102</v>
      </c>
      <c r="C41" s="234"/>
      <c r="D41" s="234">
        <v>107</v>
      </c>
      <c r="E41" s="234"/>
      <c r="F41" s="235"/>
    </row>
    <row r="42" spans="1:6" ht="1.5" customHeight="1" thickBot="1">
      <c r="A42" s="239"/>
      <c r="B42" s="240"/>
      <c r="C42" s="240"/>
      <c r="D42" s="242"/>
      <c r="E42" s="240"/>
      <c r="F42" s="241"/>
    </row>
    <row r="43" spans="1:6" ht="16.55" customHeight="1">
      <c r="A43" s="420" t="s">
        <v>259</v>
      </c>
      <c r="B43" s="236">
        <v>206</v>
      </c>
      <c r="C43" s="236"/>
      <c r="D43" s="236">
        <v>103</v>
      </c>
      <c r="E43" s="236">
        <v>106</v>
      </c>
      <c r="F43" s="237"/>
    </row>
    <row r="44" spans="1:6" ht="16.55" customHeight="1">
      <c r="A44" s="415"/>
      <c r="B44" s="231">
        <v>206</v>
      </c>
      <c r="C44" s="231"/>
      <c r="D44" s="231">
        <v>103</v>
      </c>
      <c r="E44" s="231">
        <v>106</v>
      </c>
      <c r="F44" s="233"/>
    </row>
    <row r="45" spans="1:6" ht="16.55" customHeight="1">
      <c r="A45" s="415"/>
      <c r="B45" s="231">
        <v>206</v>
      </c>
      <c r="C45" s="231"/>
      <c r="D45" s="231">
        <v>111</v>
      </c>
      <c r="E45" s="231"/>
      <c r="F45" s="233"/>
    </row>
    <row r="46" spans="1:6" ht="16.55" customHeight="1">
      <c r="A46" s="415"/>
      <c r="B46" s="231"/>
      <c r="C46" s="231"/>
      <c r="D46" s="231">
        <v>111</v>
      </c>
      <c r="E46" s="231">
        <v>108</v>
      </c>
      <c r="F46" s="233"/>
    </row>
    <row r="47" spans="1:6" ht="16.55" customHeight="1">
      <c r="A47" s="415"/>
      <c r="B47" s="231">
        <v>103</v>
      </c>
      <c r="C47" s="231"/>
      <c r="D47" s="231"/>
      <c r="E47" s="231">
        <v>108</v>
      </c>
      <c r="F47" s="233"/>
    </row>
    <row r="48" spans="1:6" ht="16.55" customHeight="1">
      <c r="A48" s="415"/>
      <c r="B48" s="231">
        <v>103</v>
      </c>
      <c r="C48" s="231"/>
      <c r="D48" s="231">
        <v>114</v>
      </c>
      <c r="E48" s="231">
        <v>108</v>
      </c>
      <c r="F48" s="233"/>
    </row>
    <row r="49" spans="1:6" ht="15.55" customHeight="1" thickBot="1">
      <c r="A49" s="416"/>
      <c r="B49" s="234"/>
      <c r="C49" s="234"/>
      <c r="D49" s="234"/>
      <c r="E49" s="234"/>
      <c r="F49" s="235"/>
    </row>
    <row r="50" spans="1:6" ht="1.5" customHeight="1" thickBot="1">
      <c r="A50" s="426"/>
      <c r="B50" s="427"/>
      <c r="C50" s="427"/>
      <c r="D50" s="427"/>
      <c r="E50" s="427"/>
      <c r="F50" s="428"/>
    </row>
    <row r="51" spans="1:6" ht="16.55" customHeight="1">
      <c r="A51" s="414" t="s">
        <v>378</v>
      </c>
      <c r="B51" s="236">
        <v>302</v>
      </c>
      <c r="C51" s="236">
        <v>301</v>
      </c>
      <c r="D51" s="236">
        <v>301</v>
      </c>
      <c r="E51" s="236">
        <v>302</v>
      </c>
      <c r="F51" s="237"/>
    </row>
    <row r="52" spans="1:6" ht="16.55" customHeight="1">
      <c r="A52" s="417"/>
      <c r="B52" s="231"/>
      <c r="C52" s="231"/>
      <c r="D52" s="231"/>
      <c r="E52" s="231"/>
      <c r="F52" s="233"/>
    </row>
    <row r="53" spans="1:6" ht="16.55" customHeight="1">
      <c r="A53" s="417"/>
      <c r="B53" s="231"/>
      <c r="C53" s="231"/>
      <c r="D53" s="231"/>
      <c r="E53" s="231"/>
      <c r="F53" s="233"/>
    </row>
    <row r="54" spans="1:6" ht="16.55" customHeight="1">
      <c r="A54" s="417"/>
      <c r="B54" s="231"/>
      <c r="C54" s="231"/>
      <c r="D54" s="231"/>
      <c r="E54" s="231"/>
      <c r="F54" s="233"/>
    </row>
    <row r="55" spans="1:6" ht="16.55" customHeight="1">
      <c r="A55" s="417"/>
      <c r="B55" s="231"/>
      <c r="C55" s="231"/>
      <c r="D55" s="231"/>
      <c r="E55" s="231" t="s">
        <v>340</v>
      </c>
      <c r="F55" s="233"/>
    </row>
    <row r="56" spans="1:6" ht="16.55" customHeight="1">
      <c r="A56" s="417"/>
      <c r="B56" s="231"/>
      <c r="C56" s="231"/>
      <c r="D56" s="231"/>
      <c r="E56" s="231" t="s">
        <v>340</v>
      </c>
      <c r="F56" s="233"/>
    </row>
    <row r="57" spans="1:6" ht="16.55" customHeight="1" thickBot="1">
      <c r="A57" s="418"/>
      <c r="B57" s="234">
        <v>301</v>
      </c>
      <c r="C57" s="234"/>
      <c r="D57" s="234"/>
      <c r="E57" s="234">
        <v>301</v>
      </c>
      <c r="F57" s="235"/>
    </row>
    <row r="58" spans="1:6" ht="16.55" customHeight="1">
      <c r="A58" s="414" t="s">
        <v>211</v>
      </c>
      <c r="B58" s="236">
        <v>101</v>
      </c>
      <c r="C58" s="236"/>
      <c r="D58" s="236">
        <v>111</v>
      </c>
      <c r="E58" s="236">
        <v>102</v>
      </c>
      <c r="F58" s="237"/>
    </row>
    <row r="59" spans="1:6" ht="16.55" customHeight="1">
      <c r="A59" s="417"/>
      <c r="B59" s="231">
        <v>110</v>
      </c>
      <c r="C59" s="231">
        <v>109</v>
      </c>
      <c r="D59" s="231">
        <v>111</v>
      </c>
      <c r="E59" s="231"/>
      <c r="F59" s="233"/>
    </row>
    <row r="60" spans="1:6" ht="16.55" customHeight="1">
      <c r="A60" s="417"/>
      <c r="B60" s="231">
        <v>111</v>
      </c>
      <c r="C60" s="231">
        <v>110</v>
      </c>
      <c r="D60" s="231"/>
      <c r="E60" s="231">
        <v>205</v>
      </c>
      <c r="F60" s="233"/>
    </row>
    <row r="61" spans="1:6" ht="16.55" customHeight="1">
      <c r="A61" s="417"/>
      <c r="B61" s="231">
        <v>205</v>
      </c>
      <c r="C61" s="231"/>
      <c r="D61" s="231">
        <v>110</v>
      </c>
      <c r="E61" s="231">
        <v>205</v>
      </c>
      <c r="F61" s="233">
        <v>306</v>
      </c>
    </row>
    <row r="62" spans="1:6" ht="16.55" customHeight="1">
      <c r="A62" s="417"/>
      <c r="B62" s="231">
        <v>205</v>
      </c>
      <c r="C62" s="231">
        <v>306</v>
      </c>
      <c r="D62" s="231">
        <v>110</v>
      </c>
      <c r="E62" s="231">
        <v>205</v>
      </c>
      <c r="F62" s="233">
        <v>306</v>
      </c>
    </row>
    <row r="63" spans="1:6" ht="16.55" customHeight="1">
      <c r="A63" s="417"/>
      <c r="B63" s="231">
        <v>205</v>
      </c>
      <c r="C63" s="231">
        <v>306</v>
      </c>
      <c r="D63" s="231">
        <v>110</v>
      </c>
      <c r="E63" s="231">
        <v>205</v>
      </c>
      <c r="F63" s="233">
        <v>306</v>
      </c>
    </row>
    <row r="64" spans="1:6" ht="16.55" customHeight="1" thickBot="1">
      <c r="A64" s="418"/>
      <c r="B64" s="234"/>
      <c r="C64" s="234">
        <v>306</v>
      </c>
      <c r="D64" s="234">
        <v>110</v>
      </c>
      <c r="E64" s="234"/>
      <c r="F64" s="235"/>
    </row>
    <row r="65" spans="1:6" ht="1.5" customHeight="1" thickBot="1">
      <c r="A65" s="426"/>
      <c r="B65" s="427"/>
      <c r="C65" s="427"/>
      <c r="D65" s="427"/>
      <c r="E65" s="427"/>
      <c r="F65" s="428"/>
    </row>
    <row r="66" spans="1:6" ht="16.55" customHeight="1">
      <c r="A66" s="414" t="s">
        <v>221</v>
      </c>
      <c r="B66" s="236">
        <v>112</v>
      </c>
      <c r="C66" s="236"/>
      <c r="D66" s="236">
        <v>102</v>
      </c>
      <c r="E66" s="236"/>
      <c r="F66" s="237">
        <v>107</v>
      </c>
    </row>
    <row r="67" spans="1:6" ht="16.55" customHeight="1">
      <c r="A67" s="415"/>
      <c r="B67" s="231">
        <v>112</v>
      </c>
      <c r="C67" s="231"/>
      <c r="D67" s="231">
        <v>102</v>
      </c>
      <c r="E67" s="231"/>
      <c r="F67" s="233">
        <v>107</v>
      </c>
    </row>
    <row r="68" spans="1:6" ht="16.55" customHeight="1">
      <c r="A68" s="415"/>
      <c r="B68" s="231"/>
      <c r="C68" s="231">
        <v>112</v>
      </c>
      <c r="D68" s="231"/>
      <c r="E68" s="231">
        <v>305</v>
      </c>
      <c r="F68" s="233">
        <v>112</v>
      </c>
    </row>
    <row r="69" spans="1:6" ht="16.55" customHeight="1">
      <c r="A69" s="415"/>
      <c r="B69" s="231"/>
      <c r="C69" s="231">
        <v>303</v>
      </c>
      <c r="D69" s="231">
        <v>112</v>
      </c>
      <c r="E69" s="231"/>
      <c r="F69" s="233">
        <v>304</v>
      </c>
    </row>
    <row r="70" spans="1:6" ht="16.55" customHeight="1">
      <c r="A70" s="415"/>
      <c r="B70" s="231"/>
      <c r="C70" s="231">
        <v>303</v>
      </c>
      <c r="D70" s="231">
        <v>112</v>
      </c>
      <c r="E70" s="231">
        <v>112</v>
      </c>
      <c r="F70" s="233"/>
    </row>
    <row r="71" spans="1:6" ht="16.55" customHeight="1">
      <c r="A71" s="415"/>
      <c r="B71" s="231"/>
      <c r="C71" s="231">
        <v>303</v>
      </c>
      <c r="D71" s="231">
        <v>112</v>
      </c>
      <c r="E71" s="231">
        <v>109</v>
      </c>
      <c r="F71" s="233">
        <v>304</v>
      </c>
    </row>
    <row r="72" spans="1:6" ht="16.55" customHeight="1" thickBot="1">
      <c r="A72" s="415"/>
      <c r="B72" s="246"/>
      <c r="C72" s="246">
        <v>303</v>
      </c>
      <c r="D72" s="246">
        <v>112</v>
      </c>
      <c r="E72" s="246"/>
      <c r="F72" s="247"/>
    </row>
    <row r="73" spans="1:6" ht="1.5" customHeight="1" thickBot="1">
      <c r="A73" s="426"/>
      <c r="B73" s="427"/>
      <c r="C73" s="427"/>
      <c r="D73" s="427"/>
      <c r="E73" s="427"/>
      <c r="F73" s="428"/>
    </row>
    <row r="74" spans="1:6" ht="16.55" customHeight="1">
      <c r="A74" s="414" t="s">
        <v>322</v>
      </c>
      <c r="B74" s="236"/>
      <c r="C74" s="236">
        <v>106</v>
      </c>
      <c r="D74" s="236"/>
      <c r="E74" s="236"/>
      <c r="F74" s="237"/>
    </row>
    <row r="75" spans="1:6" ht="16.55" customHeight="1">
      <c r="A75" s="415"/>
      <c r="B75" s="231">
        <v>106</v>
      </c>
      <c r="C75" s="231" t="s">
        <v>377</v>
      </c>
      <c r="D75" s="231">
        <v>104</v>
      </c>
      <c r="E75" s="231">
        <v>204</v>
      </c>
      <c r="F75" s="233"/>
    </row>
    <row r="76" spans="1:6" ht="16.55" customHeight="1">
      <c r="A76" s="415"/>
      <c r="B76" s="231">
        <v>201</v>
      </c>
      <c r="C76" s="231">
        <v>106</v>
      </c>
      <c r="D76" s="231"/>
      <c r="E76" s="231"/>
      <c r="F76" s="233">
        <v>102</v>
      </c>
    </row>
    <row r="77" spans="1:6" ht="16.55" customHeight="1">
      <c r="A77" s="415"/>
      <c r="B77" s="231"/>
      <c r="C77" s="231"/>
      <c r="D77" s="231"/>
      <c r="E77" s="231"/>
      <c r="F77" s="233"/>
    </row>
    <row r="78" spans="1:6" ht="16.55" customHeight="1">
      <c r="A78" s="415"/>
      <c r="B78" s="231"/>
      <c r="C78" s="231">
        <v>201</v>
      </c>
      <c r="D78" s="231">
        <v>202</v>
      </c>
      <c r="E78" s="231"/>
      <c r="F78" s="233"/>
    </row>
    <row r="79" spans="1:6" ht="16.55" customHeight="1">
      <c r="A79" s="415"/>
      <c r="B79" s="231"/>
      <c r="C79" s="231"/>
      <c r="D79" s="231"/>
      <c r="E79" s="231"/>
      <c r="F79" s="233"/>
    </row>
    <row r="80" spans="1:6" ht="16.55" customHeight="1" thickBot="1">
      <c r="A80" s="415"/>
      <c r="B80" s="231"/>
      <c r="C80" s="231"/>
      <c r="D80" s="231"/>
      <c r="E80" s="231"/>
      <c r="F80" s="233"/>
    </row>
    <row r="81" spans="1:6" ht="1.5" customHeight="1" thickBot="1">
      <c r="A81" s="426"/>
      <c r="B81" s="427"/>
      <c r="C81" s="427"/>
      <c r="D81" s="427"/>
      <c r="E81" s="427"/>
      <c r="F81" s="428"/>
    </row>
  </sheetData>
  <mergeCells count="17">
    <mergeCell ref="A81:F81"/>
    <mergeCell ref="A66:A72"/>
    <mergeCell ref="A74:A80"/>
    <mergeCell ref="A58:A64"/>
    <mergeCell ref="A43:A49"/>
    <mergeCell ref="A73:F73"/>
    <mergeCell ref="A65:F65"/>
    <mergeCell ref="A50:F50"/>
    <mergeCell ref="A19:A25"/>
    <mergeCell ref="A27:A33"/>
    <mergeCell ref="A51:A57"/>
    <mergeCell ref="A1:F1"/>
    <mergeCell ref="A3:A9"/>
    <mergeCell ref="A18:F18"/>
    <mergeCell ref="A10:F10"/>
    <mergeCell ref="A35:A41"/>
    <mergeCell ref="A11:A17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273"/>
  <sheetViews>
    <sheetView topLeftCell="B13" zoomScale="145" zoomScaleNormal="145" workbookViewId="0">
      <selection activeCell="H26" sqref="H26"/>
    </sheetView>
  </sheetViews>
  <sheetFormatPr defaultColWidth="23.75" defaultRowHeight="13.1"/>
  <cols>
    <col min="1" max="1" width="3.125" style="13" customWidth="1"/>
    <col min="2" max="2" width="19.625" style="12" customWidth="1"/>
    <col min="3" max="3" width="12.625" style="126" customWidth="1"/>
    <col min="4" max="4" width="21.25" style="12" customWidth="1"/>
    <col min="5" max="5" width="12.875" style="126" customWidth="1"/>
    <col min="6" max="6" width="19.25" style="12" customWidth="1"/>
    <col min="7" max="7" width="12.75" style="126" customWidth="1"/>
    <col min="8" max="8" width="17.875" style="12" customWidth="1"/>
    <col min="9" max="9" width="12.625" style="126" customWidth="1"/>
    <col min="10" max="10" width="17.375" style="12" customWidth="1"/>
    <col min="11" max="11" width="12.625" style="126" customWidth="1"/>
    <col min="12" max="16384" width="23.75" style="12"/>
  </cols>
  <sheetData>
    <row r="1" spans="1:11" ht="26.2" customHeight="1">
      <c r="A1" s="429" t="s">
        <v>24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</row>
    <row r="2" spans="1:11" s="13" customFormat="1" ht="13.6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1.95" customHeight="1">
      <c r="A3" s="137">
        <v>1</v>
      </c>
      <c r="B3" s="128" t="str">
        <f>VLOOKUP('Програма-кодове'!C2,Списък!$A$1:$B$209,2,FALSE)</f>
        <v>Клисарова</v>
      </c>
      <c r="C3" s="160">
        <f>IFERROR(VLOOKUP(B3,Списък!$B$3:$I$77,7,0),"")</f>
        <v>305</v>
      </c>
      <c r="D3" s="128" t="str">
        <f>VLOOKUP('Програма-кодове'!D2,Списък!$A$1:$B$209,2,FALSE)</f>
        <v>Киров</v>
      </c>
      <c r="E3" s="165" t="str">
        <f>IFERROR(VLOOKUP(D3,Списък!$B$3:$I$77,7,0),"")</f>
        <v>109/110/111/114/102/302</v>
      </c>
      <c r="F3" s="128" t="str">
        <f>VLOOKUP('Програма-кодове'!E2,Списък!$A$1:$B$209,2,FALSE)</f>
        <v>Гинева</v>
      </c>
      <c r="G3" s="165">
        <f>IFERROR(VLOOKUP(F3,Списък!$B$3:$I$77,7,0),"")</f>
        <v>102</v>
      </c>
      <c r="H3" s="128"/>
      <c r="I3" s="165"/>
      <c r="J3" s="128"/>
      <c r="K3" s="160"/>
    </row>
    <row r="4" spans="1:11" ht="11.95" customHeight="1">
      <c r="A4" s="137">
        <v>2</v>
      </c>
      <c r="B4" s="128" t="str">
        <f>VLOOKUP('Програма-кодове'!C3,Списък!$A$1:$B$209,2,FALSE)</f>
        <v>Клисарова</v>
      </c>
      <c r="C4" s="160">
        <f>IFERROR(VLOOKUP(B4,Списък!$B$3:$I$77,7,0),"")</f>
        <v>305</v>
      </c>
      <c r="D4" s="128" t="str">
        <f>VLOOKUP('Програма-кодове'!D3,Списък!$A$1:$B$209,2,FALSE)</f>
        <v>Никова</v>
      </c>
      <c r="E4" s="165">
        <f>IFERROR(VLOOKUP(D4,Списък!$B$3:$I$77,7,0),"")</f>
        <v>111</v>
      </c>
      <c r="F4" s="128" t="str">
        <f>VLOOKUP('Програма-кодове'!E3,Списък!$A$1:$B$209,2,FALSE)</f>
        <v>Костова</v>
      </c>
      <c r="G4" s="165" t="str">
        <f>IFERROR(VLOOKUP(F4,Списък!$B$3:$I$77,7,0),"")</f>
        <v>212/214/215/217</v>
      </c>
      <c r="H4" s="128"/>
      <c r="I4" s="165"/>
      <c r="J4" s="128"/>
      <c r="K4" s="160"/>
    </row>
    <row r="5" spans="1:11" ht="11.95" customHeight="1">
      <c r="A5" s="137">
        <v>3</v>
      </c>
      <c r="B5" s="128" t="str">
        <f>VLOOKUP('Програма-кодове'!C4,Списък!$A$1:$B$209,2,FALSE)</f>
        <v>Даскалова</v>
      </c>
      <c r="C5" s="160">
        <f>IFERROR(VLOOKUP(B5,Списък!$B$3:$I$77,7,0),"")</f>
        <v>108</v>
      </c>
      <c r="D5" s="128" t="str">
        <f>VLOOKUP('Програма-кодове'!D4,Списък!$A$1:$B$209,2,FALSE)</f>
        <v>Иванова</v>
      </c>
      <c r="E5" s="165">
        <f>IFERROR(VLOOKUP(D5,Списък!$B$3:$I$77,7,0),"")</f>
        <v>205</v>
      </c>
      <c r="F5" s="128" t="str">
        <f>VLOOKUP('Програма-кодове'!E4,Списък!$A$1:$B$209,2,FALSE)</f>
        <v>Трандев</v>
      </c>
      <c r="G5" s="165" t="str">
        <f>IFERROR(VLOOKUP(F5,Списък!$B$3:$I$77,7,0),"")</f>
        <v>ФС</v>
      </c>
      <c r="H5" s="128"/>
      <c r="I5" s="165"/>
      <c r="J5" s="128"/>
      <c r="K5" s="160"/>
    </row>
    <row r="6" spans="1:11" ht="11.95" customHeight="1">
      <c r="A6" s="137">
        <v>4</v>
      </c>
      <c r="B6" s="128" t="str">
        <f>VLOOKUP('Програма-кодове'!C5,Списък!$A$1:$B$209,2,FALSE)</f>
        <v>Петров</v>
      </c>
      <c r="C6" s="160">
        <f>IFERROR(VLOOKUP(B6,Списък!$B$3:$I$77,7,0),"")</f>
        <v>112</v>
      </c>
      <c r="D6" s="128" t="str">
        <f>VLOOKUP('Програма-кодове'!D5,Списък!$A$1:$B$209,2,FALSE)</f>
        <v>Краева</v>
      </c>
      <c r="E6" s="165">
        <f>IFERROR(VLOOKUP(D6,Списък!$B$3:$I$77,7,0),"")</f>
        <v>306</v>
      </c>
      <c r="F6" s="128" t="str">
        <f>VLOOKUP('Програма-кодове'!E5,Списък!$A$1:$B$209,2,FALSE)</f>
        <v>Коларова</v>
      </c>
      <c r="G6" s="165" t="str">
        <f>IFERROR(VLOOKUP(F6,Списък!$B$3:$I$77,7,0),"")</f>
        <v>212/214/215/217</v>
      </c>
      <c r="H6" s="128"/>
      <c r="I6" s="165"/>
      <c r="J6" s="128"/>
      <c r="K6" s="160"/>
    </row>
    <row r="7" spans="1:11" ht="11.95" customHeight="1">
      <c r="A7" s="137">
        <v>5</v>
      </c>
      <c r="B7" s="128" t="str">
        <f>VLOOKUP('Програма-кодове'!C6,Списък!$A$1:$B$209,2,FALSE)</f>
        <v>Латева</v>
      </c>
      <c r="C7" s="160">
        <f>IFERROR(VLOOKUP(B7,Списък!$B$3:$I$77,7,0),"")</f>
        <v>110</v>
      </c>
      <c r="D7" s="128" t="str">
        <f>VLOOKUP('Програма-кодове'!D6,Списък!$A$1:$B$209,2,FALSE)</f>
        <v>Н. Николова</v>
      </c>
      <c r="E7" s="165">
        <f>IFERROR(VLOOKUP(D7,Списък!$B$3:$I$77,7,0),"")</f>
        <v>202</v>
      </c>
      <c r="F7" s="128" t="str">
        <f>VLOOKUP('Програма-кодове'!E6,Списък!$A$1:$B$209,2,FALSE)</f>
        <v>Трифонова</v>
      </c>
      <c r="G7" s="165">
        <f>IFERROR(VLOOKUP(F7,Списък!$B$3:$I$77,7,0),"")</f>
        <v>203</v>
      </c>
      <c r="H7" s="128"/>
      <c r="I7" s="165"/>
      <c r="J7" s="128"/>
      <c r="K7" s="160"/>
    </row>
    <row r="8" spans="1:11" ht="11.95" customHeight="1">
      <c r="A8" s="137">
        <v>6</v>
      </c>
      <c r="B8" s="128" t="str">
        <f>VLOOKUP('Програма-кодове'!C7,Списък!$A$1:$B$209,2,FALSE)</f>
        <v>Попова</v>
      </c>
      <c r="C8" s="160" t="str">
        <f>IFERROR(VLOOKUP(B8,Списък!$B$3:$I$77,7,0),"")</f>
        <v>212/214/215/217</v>
      </c>
      <c r="D8" s="128" t="str">
        <f>VLOOKUP('Програма-кодове'!D7,Списък!$A$1:$B$209,2,FALSE)</f>
        <v>Петров</v>
      </c>
      <c r="E8" s="165">
        <f>IFERROR(VLOOKUP(D8,Списък!$B$3:$I$77,7,0),"")</f>
        <v>112</v>
      </c>
      <c r="F8" s="128" t="str">
        <f>VLOOKUP('Програма-кодове'!E7,Списък!$A$1:$B$209,2,FALSE)</f>
        <v>Влашинска</v>
      </c>
      <c r="G8" s="165" t="str">
        <f>IFERROR(VLOOKUP(F8,Списък!$B$3:$I$77,7,0),"")</f>
        <v>212/214/215/217</v>
      </c>
      <c r="H8" s="128"/>
      <c r="I8" s="165"/>
      <c r="J8" s="128"/>
      <c r="K8" s="160"/>
    </row>
    <row r="9" spans="1:11" ht="11.95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Кръстева</v>
      </c>
      <c r="G9" s="165">
        <f>IFERROR(VLOOKUP(F9,Списък!$B$3:$I$77,7,0),"")</f>
        <v>302</v>
      </c>
      <c r="H9" s="128"/>
      <c r="I9" s="165"/>
      <c r="J9" s="128"/>
      <c r="K9" s="160"/>
    </row>
    <row r="10" spans="1:11" ht="3.8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.0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1.95" customHeight="1">
      <c r="A12" s="137">
        <v>1</v>
      </c>
      <c r="B12" s="128" t="str">
        <f>VLOOKUP('Програма-кодове'!F2,Списък!$A$1:$B$209,2,FALSE)</f>
        <v>Стефанова</v>
      </c>
      <c r="C12" s="160" t="str">
        <f>IFERROR(VLOOKUP(B12,Списък!$B$3:$I$77,7,0),"")</f>
        <v>201/202/203/205/206</v>
      </c>
      <c r="D12" s="128" t="str">
        <f>VLOOKUP('Програма-кодове'!G2,Списък!$A$1:$B$209,2,FALSE)</f>
        <v>Трифонова</v>
      </c>
      <c r="E12" s="165">
        <f>IFERROR(VLOOKUP(D12,Списък!$B$3:$I$77,7,0),"")</f>
        <v>203</v>
      </c>
      <c r="F12" s="128" t="str">
        <f>VLOOKUP('Програма-кодове'!H2,Списък!$A$1:$B$209,2,FALSE)</f>
        <v>Д. Иванова</v>
      </c>
      <c r="G12" s="165" t="str">
        <f>IFERROR(VLOOKUP(F12,Списък!$B$3:$I$77,7,0),"")</f>
        <v>КК6</v>
      </c>
      <c r="H12" s="128" t="str">
        <f>VLOOKUP('Програма-кодове'!I2,Списък!$A$1:$B$209,2,FALSE)</f>
        <v>Пецова</v>
      </c>
      <c r="I12" s="165" t="str">
        <f>IFERROR(VLOOKUP(H12,Списък!$B$3:$I$77,7,0),"")</f>
        <v>102/105/111/112</v>
      </c>
      <c r="J12" s="128" t="str">
        <f>VLOOKUP('Програма-кодове'!J2,Списък!$A$1:$B$209,2,FALSE)</f>
        <v>Маркова</v>
      </c>
      <c r="K12" s="160">
        <f>IFERROR(VLOOKUP(J12,Списък!$B$3:$I$77,7,0),"")</f>
        <v>103</v>
      </c>
    </row>
    <row r="13" spans="1:11" ht="11.95" customHeight="1">
      <c r="A13" s="137">
        <v>2</v>
      </c>
      <c r="B13" s="128" t="str">
        <f>VLOOKUP('Програма-кодове'!F3,Списък!$A$1:$B$209,2,FALSE)</f>
        <v>Стефанова</v>
      </c>
      <c r="C13" s="160" t="str">
        <f>IFERROR(VLOOKUP(B13,Списък!$B$3:$I$77,7,0),"")</f>
        <v>201/202/203/205/206</v>
      </c>
      <c r="D13" s="128" t="str">
        <f>VLOOKUP('Програма-кодове'!G3,Списък!$A$1:$B$209,2,FALSE)</f>
        <v>Трифонова</v>
      </c>
      <c r="E13" s="165">
        <f>IFERROR(VLOOKUP(D13,Списък!$B$3:$I$77,7,0),"")</f>
        <v>203</v>
      </c>
      <c r="F13" s="128" t="str">
        <f>VLOOKUP('Програма-кодове'!H3,Списък!$A$1:$B$209,2,FALSE)</f>
        <v>Пецова</v>
      </c>
      <c r="G13" s="165" t="str">
        <f>IFERROR(VLOOKUP(F13,Списък!$B$3:$I$77,7,0),"")</f>
        <v>102/105/111/112</v>
      </c>
      <c r="H13" s="128" t="str">
        <f>VLOOKUP('Програма-кодове'!I3,Списък!$A$1:$B$209,2,FALSE)</f>
        <v>Гинева</v>
      </c>
      <c r="I13" s="165">
        <f>IFERROR(VLOOKUP(H13,Списък!$B$3:$I$77,7,0),"")</f>
        <v>102</v>
      </c>
      <c r="J13" s="128" t="str">
        <f>VLOOKUP('Програма-кодове'!J3,Списък!$A$1:$B$209,2,FALSE)</f>
        <v>Маркова</v>
      </c>
      <c r="K13" s="160">
        <f>IFERROR(VLOOKUP(J13,Списък!$B$3:$I$77,7,0),"")</f>
        <v>103</v>
      </c>
    </row>
    <row r="14" spans="1:11" ht="11.95" customHeight="1">
      <c r="A14" s="137">
        <v>3</v>
      </c>
      <c r="B14" s="128" t="str">
        <f>VLOOKUP('Програма-кодове'!F4,Списък!$A$1:$B$209,2,FALSE)</f>
        <v>Спасова</v>
      </c>
      <c r="C14" s="160" t="str">
        <f>IFERROR(VLOOKUP(B14,Списък!$B$3:$I$77,7,0),"")</f>
        <v>106, 103, 104, 205, 206</v>
      </c>
      <c r="D14" s="128" t="str">
        <f>VLOOKUP('Програма-кодове'!G4,Списък!$A$1:$B$209,2,FALSE)</f>
        <v>Тонева</v>
      </c>
      <c r="E14" s="165" t="str">
        <f>IFERROR(VLOOKUP(D14,Списък!$B$3:$I$77,7,0),"")</f>
        <v>ФС</v>
      </c>
      <c r="F14" s="128" t="str">
        <f>VLOOKUP('Програма-кодове'!H4,Списък!$A$1:$B$209,2,FALSE)</f>
        <v>Трифонова</v>
      </c>
      <c r="G14" s="165">
        <f>IFERROR(VLOOKUP(F14,Списък!$B$3:$I$77,7,0),"")</f>
        <v>203</v>
      </c>
      <c r="H14" s="128" t="str">
        <f>VLOOKUP('Програма-кодове'!I4,Списък!$A$1:$B$209,2,FALSE)</f>
        <v>Гинева</v>
      </c>
      <c r="I14" s="165">
        <f>IFERROR(VLOOKUP(H14,Списък!$B$3:$I$77,7,0),"")</f>
        <v>102</v>
      </c>
      <c r="J14" s="128" t="str">
        <f>VLOOKUP('Програма-кодове'!J4,Списък!$A$1:$B$209,2,FALSE)</f>
        <v>Маркова</v>
      </c>
      <c r="K14" s="160">
        <f>IFERROR(VLOOKUP(J14,Списък!$B$3:$I$77,7,0),"")</f>
        <v>103</v>
      </c>
    </row>
    <row r="15" spans="1:11" ht="11.95" customHeight="1">
      <c r="A15" s="137">
        <v>4</v>
      </c>
      <c r="B15" s="128" t="str">
        <f>VLOOKUP('Програма-кодове'!F5,Списък!$A$1:$B$209,2,FALSE)</f>
        <v>Спасова</v>
      </c>
      <c r="C15" s="160" t="str">
        <f>IFERROR(VLOOKUP(B15,Списък!$B$3:$I$77,7,0),"")</f>
        <v>106, 103, 104, 205, 206</v>
      </c>
      <c r="D15" s="128" t="str">
        <f>VLOOKUP('Програма-кодове'!G5,Списък!$A$1:$B$209,2,FALSE)</f>
        <v>Габарова</v>
      </c>
      <c r="E15" s="165">
        <f>IFERROR(VLOOKUP(D15,Списък!$B$3:$I$77,7,0),"")</f>
        <v>206</v>
      </c>
      <c r="F15" s="128" t="str">
        <f>VLOOKUP('Програма-кодове'!H5,Списък!$A$1:$B$209,2,FALSE)</f>
        <v>Трифонова</v>
      </c>
      <c r="G15" s="165">
        <f>IFERROR(VLOOKUP(F15,Списък!$B$3:$I$77,7,0),"")</f>
        <v>203</v>
      </c>
      <c r="H15" s="128" t="str">
        <f>VLOOKUP('Програма-кодове'!I5,Списък!$A$1:$B$209,2,FALSE)</f>
        <v>Гинева</v>
      </c>
      <c r="I15" s="165">
        <f>IFERROR(VLOOKUP(H15,Списък!$B$3:$I$77,7,0),"")</f>
        <v>102</v>
      </c>
      <c r="J15" s="128" t="str">
        <f>VLOOKUP('Програма-кодове'!J5,Списък!$A$1:$B$209,2,FALSE)</f>
        <v>Маркова</v>
      </c>
      <c r="K15" s="160">
        <f>IFERROR(VLOOKUP(J15,Списък!$B$3:$I$77,7,0),"")</f>
        <v>103</v>
      </c>
    </row>
    <row r="16" spans="1:11" ht="11.95" customHeight="1">
      <c r="A16" s="137">
        <v>5</v>
      </c>
      <c r="B16" s="128" t="str">
        <f>VLOOKUP('Програма-кодове'!F6,Списък!$A$1:$B$209,2,FALSE)</f>
        <v>Тонева</v>
      </c>
      <c r="C16" s="160" t="str">
        <f>IFERROR(VLOOKUP(B16,Списък!$B$3:$I$77,7,0),"")</f>
        <v>ФС</v>
      </c>
      <c r="D16" s="128" t="str">
        <f>VLOOKUP('Програма-кодове'!G6,Списък!$A$1:$B$209,2,FALSE)</f>
        <v>Габарова</v>
      </c>
      <c r="E16" s="165">
        <f>IFERROR(VLOOKUP(D16,Списък!$B$3:$I$77,7,0),"")</f>
        <v>206</v>
      </c>
      <c r="F16" s="128" t="str">
        <f>VLOOKUP('Програма-кодове'!H6,Списък!$A$1:$B$209,2,FALSE)</f>
        <v>Д. Николова</v>
      </c>
      <c r="G16" s="165">
        <f>IFERROR(VLOOKUP(F16,Списък!$B$3:$I$77,7,0),"")</f>
        <v>106</v>
      </c>
      <c r="H16" s="128" t="str">
        <f>VLOOKUP('Програма-кодове'!I6,Списък!$A$1:$B$209,2,FALSE)</f>
        <v>Гинева</v>
      </c>
      <c r="I16" s="165">
        <f>IFERROR(VLOOKUP(H16,Списък!$B$3:$I$77,7,0),"")</f>
        <v>102</v>
      </c>
      <c r="J16" s="128" t="str">
        <f>VLOOKUP('Програма-кодове'!J6,Списък!$A$1:$B$209,2,FALSE)</f>
        <v>Мерджанова</v>
      </c>
      <c r="K16" s="160">
        <f>IFERROR(VLOOKUP(J16,Списък!$B$3:$I$77,7,0),"")</f>
        <v>304</v>
      </c>
    </row>
    <row r="17" spans="1:11" ht="11.95" customHeight="1">
      <c r="A17" s="137">
        <v>6</v>
      </c>
      <c r="B17" s="128" t="str">
        <f>VLOOKUP('Програма-кодове'!F7,Списък!$A$1:$B$209,2,FALSE)</f>
        <v>Спасова</v>
      </c>
      <c r="C17" s="160" t="str">
        <f>IFERROR(VLOOKUP(B17,Списък!$B$3:$I$77,7,0),"")</f>
        <v>106, 103, 104, 205, 206</v>
      </c>
      <c r="D17" s="128" t="str">
        <f>VLOOKUP('Програма-кодове'!G7,Списък!$A$1:$B$209,2,FALSE)</f>
        <v>Габарова</v>
      </c>
      <c r="E17" s="165">
        <f>IFERROR(VLOOKUP(D17,Списък!$B$3:$I$77,7,0),"")</f>
        <v>206</v>
      </c>
      <c r="F17" s="128" t="str">
        <f>VLOOKUP('Програма-кодове'!H7,Списък!$A$1:$B$209,2,FALSE)</f>
        <v>Д. Николова</v>
      </c>
      <c r="G17" s="165">
        <f>IFERROR(VLOOKUP(F17,Списък!$B$3:$I$77,7,0),"")</f>
        <v>106</v>
      </c>
      <c r="H17" s="128" t="str">
        <f>VLOOKUP('Програма-кодове'!I7,Списък!$A$1:$B$209,2,FALSE)</f>
        <v>Трифонова</v>
      </c>
      <c r="I17" s="165">
        <f>IFERROR(VLOOKUP(H17,Списък!$B$3:$I$77,7,0),"")</f>
        <v>203</v>
      </c>
      <c r="J17" s="128" t="str">
        <f>VLOOKUP('Програма-кодове'!J7,Списък!$A$1:$B$209,2,FALSE)</f>
        <v>Филипова</v>
      </c>
      <c r="K17" s="160" t="str">
        <f>IFERROR(VLOOKUP(J17,Списък!$B$3:$I$77,7,0),"")</f>
        <v>109/110/301/302/306</v>
      </c>
    </row>
    <row r="18" spans="1:11" ht="11.95" customHeight="1">
      <c r="A18" s="137">
        <v>7</v>
      </c>
      <c r="B18" s="128" t="str">
        <f>VLOOKUP('Програма-кодове'!F8,Списък!$A$1:$B$209,2,FALSE)</f>
        <v>Спасова</v>
      </c>
      <c r="C18" s="160" t="str">
        <f>IFERROR(VLOOKUP(B18,Списък!$B$3:$I$77,7,0),"")</f>
        <v>106, 103, 104, 205, 206</v>
      </c>
      <c r="D18" s="128" t="str">
        <f>VLOOKUP('Програма-кодове'!G8,Списък!$A$1:$B$209,2,FALSE)</f>
        <v>Габарова</v>
      </c>
      <c r="E18" s="165">
        <f>IFERROR(VLOOKUP(D18,Списък!$B$3:$I$77,7,0),"")</f>
        <v>206</v>
      </c>
      <c r="F18" s="128" t="str">
        <f>VLOOKUP('Програма-кодове'!H8,Списък!$A$1:$B$209,2,FALSE)</f>
        <v>Д. Николова</v>
      </c>
      <c r="G18" s="165">
        <f>IFERROR(VLOOKUP(F18,Списък!$B$3:$I$77,7,0),"")</f>
        <v>106</v>
      </c>
      <c r="H18" s="128" t="str">
        <f>VLOOKUP('Програма-кодове'!I8,Списък!$A$1:$B$209,2,FALSE)</f>
        <v>Трифонова</v>
      </c>
      <c r="I18" s="165">
        <f>IFERROR(VLOOKUP(H18,Списък!$B$3:$I$77,7,0),"")</f>
        <v>203</v>
      </c>
      <c r="J18" s="128" t="str">
        <f>VLOOKUP('Програма-кодове'!J8,Списък!$A$1:$B$209,2,FALSE)</f>
        <v>Тонева</v>
      </c>
      <c r="K18" s="160" t="str">
        <f>IFERROR(VLOOKUP(J18,Списък!$B$3:$I$77,7,0),"")</f>
        <v>ФС</v>
      </c>
    </row>
    <row r="19" spans="1:11" ht="6.05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6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1.95" customHeight="1">
      <c r="A21" s="137">
        <v>1</v>
      </c>
      <c r="B21" s="128" t="str">
        <f>VLOOKUP('Програма-кодове'!K2,Списък!$A$1:$B$209,2,FALSE)</f>
        <v>Сапунджиева</v>
      </c>
      <c r="C21" s="160">
        <f>IFERROR(VLOOKUP(B21,Списък!$B$3:$I$77,7,0),"")</f>
        <v>104</v>
      </c>
      <c r="D21" s="128" t="str">
        <f>VLOOKUP('Програма-кодове'!L2,Списък!$A$1:$B$209,2,FALSE)</f>
        <v>Козалиева</v>
      </c>
      <c r="E21" s="165" t="str">
        <f>IFERROR(VLOOKUP(D21,Списък!$B$3:$I$77,7,0),"")</f>
        <v>212/214/215/217</v>
      </c>
      <c r="F21" s="128" t="str">
        <f>VLOOKUP('Програма-кодове'!M2,Списък!$A$1:$B$209,2,FALSE)</f>
        <v>Попова</v>
      </c>
      <c r="G21" s="165" t="str">
        <f>IFERROR(VLOOKUP(F21,Списък!$B$3:$I$77,7,0),"")</f>
        <v>212/214/215/217</v>
      </c>
      <c r="H21" s="128" t="str">
        <f>VLOOKUP('Програма-кодове'!N2,Списък!$A$1:$B$209,2,FALSE)</f>
        <v>Трандев</v>
      </c>
      <c r="I21" s="165" t="str">
        <f>IFERROR(VLOOKUP(H21,Списък!$B$3:$I$77,7,0),"")</f>
        <v>ФС</v>
      </c>
      <c r="J21" s="128" t="str">
        <f>VLOOKUP('Програма-кодове'!O2,Списък!$A$1:$B$209,2,FALSE)</f>
        <v>Латева</v>
      </c>
      <c r="K21" s="160">
        <f>IFERROR(VLOOKUP(J21,Списък!$B$3:$I$77,7,0),"")</f>
        <v>110</v>
      </c>
    </row>
    <row r="22" spans="1:11" ht="11.95" customHeight="1">
      <c r="A22" s="137">
        <v>2</v>
      </c>
      <c r="B22" s="128" t="str">
        <f>VLOOKUP('Програма-кодове'!K3,Списък!$A$1:$B$209,2,FALSE)</f>
        <v>Сапунджиева</v>
      </c>
      <c r="C22" s="160">
        <f>IFERROR(VLOOKUP(B22,Списък!$B$3:$I$77,7,0),"")</f>
        <v>104</v>
      </c>
      <c r="D22" s="128" t="str">
        <f>VLOOKUP('Програма-кодове'!L3,Списък!$A$1:$B$209,2,FALSE)</f>
        <v>Влашинска</v>
      </c>
      <c r="E22" s="165" t="str">
        <f>IFERROR(VLOOKUP(D22,Списък!$B$3:$I$77,7,0),"")</f>
        <v>212/214/215/217</v>
      </c>
      <c r="F22" s="128" t="str">
        <f>VLOOKUP('Програма-кодове'!M3,Списък!$A$1:$B$209,2,FALSE)</f>
        <v>Коларова</v>
      </c>
      <c r="G22" s="165" t="str">
        <f>IFERROR(VLOOKUP(F22,Списък!$B$3:$I$77,7,0),"")</f>
        <v>212/214/215/217</v>
      </c>
      <c r="H22" s="128" t="str">
        <f>VLOOKUP('Програма-кодове'!N3,Списък!$A$1:$B$209,2,FALSE)</f>
        <v>Попова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Славова</v>
      </c>
      <c r="K22" s="160">
        <f>IFERROR(VLOOKUP(J22,Списък!$B$3:$I$77,7,0),"")</f>
        <v>114</v>
      </c>
    </row>
    <row r="23" spans="1:11" ht="11.95" customHeight="1">
      <c r="A23" s="137">
        <v>3</v>
      </c>
      <c r="B23" s="128" t="str">
        <f>VLOOKUP('Програма-кодове'!K4,Списък!$A$1:$B$209,2,FALSE)</f>
        <v>Латева</v>
      </c>
      <c r="C23" s="160">
        <f>IFERROR(VLOOKUP(B23,Списък!$B$3:$I$77,7,0),"")</f>
        <v>110</v>
      </c>
      <c r="D23" s="128" t="str">
        <f>VLOOKUP('Програма-кодове'!L4,Списък!$A$1:$B$209,2,FALSE)</f>
        <v>Гочева</v>
      </c>
      <c r="E23" s="165">
        <f>IFERROR(VLOOKUP(D23,Списък!$B$3:$I$77,7,0),"")</f>
        <v>301</v>
      </c>
      <c r="F23" s="128" t="str">
        <f>VLOOKUP('Програма-кодове'!M4,Списък!$A$1:$B$209,2,FALSE)</f>
        <v>Славова</v>
      </c>
      <c r="G23" s="165">
        <f>IFERROR(VLOOKUP(F23,Списък!$B$3:$I$77,7,0),"")</f>
        <v>114</v>
      </c>
      <c r="H23" s="128" t="str">
        <f>VLOOKUP('Програма-кодове'!N4,Списък!$A$1:$B$209,2,FALSE)</f>
        <v>Сапунджиева</v>
      </c>
      <c r="I23" s="165">
        <f>IFERROR(VLOOKUP(H23,Списък!$B$3:$I$77,7,0),"")</f>
        <v>104</v>
      </c>
      <c r="J23" s="128" t="str">
        <f>VLOOKUP('Програма-кодове'!O4,Списък!$A$1:$B$209,2,FALSE)</f>
        <v>Стефанова</v>
      </c>
      <c r="K23" s="160" t="str">
        <f>IFERROR(VLOOKUP(J23,Списък!$B$3:$I$77,7,0),"")</f>
        <v>201/202/203/205/206</v>
      </c>
    </row>
    <row r="24" spans="1:11" ht="11.95" customHeight="1">
      <c r="A24" s="137">
        <v>4</v>
      </c>
      <c r="B24" s="128" t="str">
        <f>VLOOKUP('Програма-кодове'!K5,Списък!$A$1:$B$209,2,FALSE)</f>
        <v>Козалиева</v>
      </c>
      <c r="C24" s="160" t="str">
        <f>IFERROR(VLOOKUP(B24,Списък!$B$3:$I$77,7,0),"")</f>
        <v>212/214/215/217</v>
      </c>
      <c r="D24" s="128" t="str">
        <f>VLOOKUP('Програма-кодове'!L5,Списък!$A$1:$B$209,2,FALSE)</f>
        <v>Вълчева</v>
      </c>
      <c r="E24" s="165">
        <f>IFERROR(VLOOKUP(D24,Списък!$B$3:$I$77,7,0),"")</f>
        <v>201</v>
      </c>
      <c r="F24" s="128" t="str">
        <f>VLOOKUP('Програма-кодове'!M5,Списък!$A$1:$B$209,2,FALSE)</f>
        <v>Латева</v>
      </c>
      <c r="G24" s="165">
        <f>IFERROR(VLOOKUP(F24,Списък!$B$3:$I$77,7,0),"")</f>
        <v>110</v>
      </c>
      <c r="H24" s="128" t="str">
        <f>VLOOKUP('Програма-кодове'!N5,Списък!$A$1:$B$209,2,FALSE)</f>
        <v>Сапунджиева</v>
      </c>
      <c r="I24" s="165">
        <f>IFERROR(VLOOKUP(H24,Списък!$B$3:$I$77,7,0),"")</f>
        <v>104</v>
      </c>
      <c r="J24" s="128" t="str">
        <f>VLOOKUP('Програма-кодове'!O5,Списък!$A$1:$B$209,2,FALSE)</f>
        <v>Трандев</v>
      </c>
      <c r="K24" s="160" t="str">
        <f>IFERROR(VLOOKUP(J24,Списък!$B$3:$I$77,7,0),"")</f>
        <v>ФС</v>
      </c>
    </row>
    <row r="25" spans="1:11" ht="11.95" customHeight="1">
      <c r="A25" s="137">
        <v>5</v>
      </c>
      <c r="B25" s="128" t="str">
        <f>VLOOKUP('Програма-кодове'!K6,Списък!$A$1:$B$209,2,FALSE)</f>
        <v>Влашинска</v>
      </c>
      <c r="C25" s="160" t="str">
        <f>IFERROR(VLOOKUP(B25,Списък!$B$3:$I$77,7,0),"")</f>
        <v>212/214/215/217</v>
      </c>
      <c r="D25" s="128" t="str">
        <f>VLOOKUP('Програма-кодове'!L6,Списък!$A$1:$B$209,2,FALSE)</f>
        <v>Вълчева</v>
      </c>
      <c r="E25" s="165">
        <f>IFERROR(VLOOKUP(D25,Списък!$B$3:$I$77,7,0),"")</f>
        <v>201</v>
      </c>
      <c r="F25" s="128" t="str">
        <f>VLOOKUP('Програма-кодове'!M6,Списък!$A$1:$B$209,2,FALSE)</f>
        <v>Петров</v>
      </c>
      <c r="G25" s="165">
        <f>IFERROR(VLOOKUP(F25,Списък!$B$3:$I$77,7,0),"")</f>
        <v>112</v>
      </c>
      <c r="H25" s="128" t="str">
        <f>VLOOKUP('Програма-кодове'!N6,Списък!$A$1:$B$209,2,FALSE)</f>
        <v>Стефанова</v>
      </c>
      <c r="I25" s="165" t="str">
        <f>IFERROR(VLOOKUP(H25,Списък!$B$3:$I$77,7,0),"")</f>
        <v>201/202/203/205/206</v>
      </c>
      <c r="J25" s="128" t="str">
        <f>VLOOKUP('Програма-кодове'!O6,Списък!$A$1:$B$209,2,FALSE)</f>
        <v>Батимов</v>
      </c>
      <c r="K25" s="160">
        <f>IFERROR(VLOOKUP(J25,Списък!$B$3:$I$77,7,0),"")</f>
        <v>303</v>
      </c>
    </row>
    <row r="26" spans="1:11" ht="11.95" customHeight="1">
      <c r="A26" s="137">
        <v>6</v>
      </c>
      <c r="B26" s="128" t="str">
        <f>VLOOKUP('Програма-кодове'!K7,Списък!$A$1:$B$209,2,FALSE)</f>
        <v>Батимов</v>
      </c>
      <c r="C26" s="160">
        <f>IFERROR(VLOOKUP(B26,Списък!$B$3:$I$77,7,0),"")</f>
        <v>303</v>
      </c>
      <c r="D26" s="128" t="str">
        <f>VLOOKUP('Програма-кодове'!L7,Списък!$A$1:$B$209,2,FALSE)</f>
        <v>Трандев</v>
      </c>
      <c r="E26" s="165" t="str">
        <f>IFERROR(VLOOKUP(D26,Списък!$B$3:$I$77,7,0),"")</f>
        <v>ФС</v>
      </c>
      <c r="F26" s="128" t="str">
        <f>VLOOKUP('Програма-кодове'!M7,Списък!$A$1:$B$209,2,FALSE)</f>
        <v>Стефанова</v>
      </c>
      <c r="G26" s="165" t="str">
        <f>IFERROR(VLOOKUP(F26,Списък!$B$3:$I$77,7,0),"")</f>
        <v>201/202/203/205/206</v>
      </c>
      <c r="H26" s="128" t="str">
        <f>VLOOKUP('Програма-кодове'!N7,Списък!$A$1:$B$209,2,FALSE)</f>
        <v>Латева</v>
      </c>
      <c r="I26" s="165">
        <f>IFERROR(VLOOKUP(H26,Списък!$B$3:$I$77,7,0),"")</f>
        <v>110</v>
      </c>
      <c r="J26" s="128" t="str">
        <f>VLOOKUP('Програма-кодове'!O7,Списък!$A$1:$B$209,2,FALSE)</f>
        <v>Даскалова/Тодорова</v>
      </c>
      <c r="K26" s="160" t="str">
        <f>IFERROR(VLOOKUP(J26,Списък!$B$3:$I$77,7,0),"")</f>
        <v>107-108/101-105</v>
      </c>
    </row>
    <row r="27" spans="1:11" ht="11.3" customHeight="1">
      <c r="A27" s="137">
        <v>7</v>
      </c>
      <c r="B27" s="128" t="str">
        <f>VLOOKUP('Програма-кодове'!K8,Списък!$A$1:$B$209,2,FALSE)</f>
        <v>Стефанова</v>
      </c>
      <c r="C27" s="160" t="str">
        <f>IFERROR(VLOOKUP(B27,Списък!$B$3:$I$77,7,0),"")</f>
        <v>201/202/203/205/206</v>
      </c>
      <c r="D27" s="128" t="str">
        <f>VLOOKUP('Програма-кодове'!L8,Списък!$A$1:$B$209,2,FALSE)</f>
        <v>Латева</v>
      </c>
      <c r="E27" s="165">
        <f>IFERROR(VLOOKUP(D27,Списък!$B$3:$I$77,7,0),"")</f>
        <v>110</v>
      </c>
      <c r="F27" s="128" t="str">
        <f>VLOOKUP('Програма-кодове'!M8,Списък!$A$1:$B$209,2,FALSE)</f>
        <v>Краева</v>
      </c>
      <c r="G27" s="165">
        <f>IFERROR(VLOOKUP(F27,Списък!$B$3:$I$77,7,0),"")</f>
        <v>306</v>
      </c>
      <c r="H27" s="128" t="str">
        <f>VLOOKUP('Програма-кодове'!N8,Списък!$A$1:$B$209,2,FALSE)</f>
        <v>Д. Иванова</v>
      </c>
      <c r="I27" s="165" t="str">
        <f>IFERROR(VLOOKUP(H27,Списък!$B$3:$I$77,7,0),"")</f>
        <v>КК6</v>
      </c>
      <c r="J27" s="128" t="str">
        <f>VLOOKUP('Програма-кодове'!O8,Списък!$A$1:$B$209,2,FALSE)</f>
        <v>Даскалова/Тодорова</v>
      </c>
      <c r="K27" s="160" t="str">
        <f>IFERROR(VLOOKUP(J27,Списък!$B$3:$I$77,7,0),"")</f>
        <v>107-108/101-105</v>
      </c>
    </row>
    <row r="28" spans="1:11" ht="6.05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6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1.95" customHeight="1">
      <c r="A30" s="137">
        <v>1</v>
      </c>
      <c r="B30" s="128" t="str">
        <f>VLOOKUP('Програма-кодове'!P2,Списък!$A$1:$B$209,2,FALSE)</f>
        <v>Краева</v>
      </c>
      <c r="C30" s="160">
        <f>IFERROR(VLOOKUP(B30,Списък!$B$3:$I$77,7,0),"")</f>
        <v>306</v>
      </c>
      <c r="D30" s="128" t="str">
        <f>VLOOKUP('Програма-кодове'!Q2,Списък!$A$1:$B$209,2,FALSE)</f>
        <v>Мерджанова</v>
      </c>
      <c r="E30" s="165">
        <f>IFERROR(VLOOKUP(D30,Списък!$B$3:$I$77,7,0),"")</f>
        <v>304</v>
      </c>
      <c r="F30" s="128" t="str">
        <f>VLOOKUP('Програма-кодове'!R2,Списък!$A$1:$B$209,2,FALSE)</f>
        <v>Никова</v>
      </c>
      <c r="G30" s="165">
        <f>IFERROR(VLOOKUP(F30,Списък!$B$3:$I$77,7,0),"")</f>
        <v>111</v>
      </c>
      <c r="H30" s="128" t="str">
        <f>VLOOKUP('Програма-кодове'!S2,Списък!$A$1:$B$209,2,FALSE)</f>
        <v>В. Иванова</v>
      </c>
      <c r="I30" s="165">
        <f>IFERROR(VLOOKUP(H30,Списък!$B$3:$I$77,7,0),"")</f>
        <v>109</v>
      </c>
      <c r="J30" s="128" t="str">
        <f>VLOOKUP('Програма-кодове'!T2,Списък!$A$1:$B$209,2,FALSE)</f>
        <v>Иванова</v>
      </c>
      <c r="K30" s="160">
        <f>IFERROR(VLOOKUP(J30,Списък!$B$3:$I$77,7,0),"")</f>
        <v>205</v>
      </c>
    </row>
    <row r="31" spans="1:11" ht="11.95" customHeight="1">
      <c r="A31" s="137">
        <v>2</v>
      </c>
      <c r="B31" s="128" t="str">
        <f>VLOOKUP('Програма-кодове'!P3,Списък!$A$1:$B$209,2,FALSE)</f>
        <v>Краева</v>
      </c>
      <c r="C31" s="160">
        <f>IFERROR(VLOOKUP(B31,Списък!$B$3:$I$77,7,0),"")</f>
        <v>306</v>
      </c>
      <c r="D31" s="128" t="str">
        <f>VLOOKUP('Програма-кодове'!Q3,Списък!$A$1:$B$209,2,FALSE)</f>
        <v>Мерджанова</v>
      </c>
      <c r="E31" s="165">
        <f>IFERROR(VLOOKUP(D31,Списък!$B$3:$I$77,7,0),"")</f>
        <v>304</v>
      </c>
      <c r="F31" s="128" t="str">
        <f>VLOOKUP('Програма-кодове'!R3,Списък!$A$1:$B$209,2,FALSE)</f>
        <v>Минчева</v>
      </c>
      <c r="G31" s="165" t="str">
        <f>IFERROR(VLOOKUP(F31,Списък!$B$3:$I$77,7,0),"")</f>
        <v>212/214/215/217</v>
      </c>
      <c r="H31" s="128" t="str">
        <f>VLOOKUP('Програма-кодове'!S3,Списък!$A$1:$B$209,2,FALSE)</f>
        <v>Петкова/Димитрова</v>
      </c>
      <c r="I31" s="165" t="str">
        <f>IFERROR(VLOOKUP(H31,Списък!$B$3:$I$77,7,0),"")</f>
        <v>КК3/КК8</v>
      </c>
      <c r="J31" s="128" t="str">
        <f>VLOOKUP('Програма-кодове'!T3,Списък!$A$1:$B$209,2,FALSE)</f>
        <v>Иванова</v>
      </c>
      <c r="K31" s="160">
        <f>IFERROR(VLOOKUP(J31,Списък!$B$3:$I$77,7,0),"")</f>
        <v>205</v>
      </c>
    </row>
    <row r="32" spans="1:11" ht="11.95" customHeight="1">
      <c r="A32" s="137">
        <v>3</v>
      </c>
      <c r="B32" s="128" t="str">
        <f>VLOOKUP('Програма-кодове'!P4,Списък!$A$1:$B$209,2,FALSE)</f>
        <v>Петкова/Димитрова</v>
      </c>
      <c r="C32" s="160" t="str">
        <f>IFERROR(VLOOKUP(B32,Списък!$B$3:$I$77,7,0),"")</f>
        <v>КК3/КК8</v>
      </c>
      <c r="D32" s="128" t="str">
        <f>VLOOKUP('Програма-кодове'!Q4,Списък!$A$1:$B$209,2,FALSE)</f>
        <v>В. Иванова</v>
      </c>
      <c r="E32" s="165">
        <f>IFERROR(VLOOKUP(D32,Списък!$B$3:$I$77,7,0),"")</f>
        <v>109</v>
      </c>
      <c r="F32" s="128" t="str">
        <f>VLOOKUP('Програма-кодове'!R4,Списък!$A$1:$B$209,2,FALSE)</f>
        <v>Мерджанова</v>
      </c>
      <c r="G32" s="165">
        <f>IFERROR(VLOOKUP(F32,Списък!$B$3:$I$77,7,0),"")</f>
        <v>304</v>
      </c>
      <c r="H32" s="128" t="str">
        <f>VLOOKUP('Програма-кодове'!S4,Списък!$A$1:$B$209,2,FALSE)</f>
        <v>Минчева</v>
      </c>
      <c r="I32" s="165" t="str">
        <f>IFERROR(VLOOKUP(H32,Списък!$B$3:$I$77,7,0),"")</f>
        <v>212/214/215/217</v>
      </c>
      <c r="J32" s="128" t="str">
        <f>VLOOKUP('Програма-кодове'!T4,Списък!$A$1:$B$209,2,FALSE)</f>
        <v>Коларова</v>
      </c>
      <c r="K32" s="160" t="str">
        <f>IFERROR(VLOOKUP(J32,Списък!$B$3:$I$77,7,0),"")</f>
        <v>212/214/215/217</v>
      </c>
    </row>
    <row r="33" spans="1:11" ht="11.95" customHeight="1">
      <c r="A33" s="137">
        <v>4</v>
      </c>
      <c r="B33" s="128" t="str">
        <f>VLOOKUP('Програма-кодове'!P5,Списък!$A$1:$B$209,2,FALSE)</f>
        <v>В. Иванова</v>
      </c>
      <c r="C33" s="160">
        <f>IFERROR(VLOOKUP(B33,Списък!$B$3:$I$77,7,0),"")</f>
        <v>109</v>
      </c>
      <c r="D33" s="128" t="str">
        <f>VLOOKUP('Програма-кодове'!Q5,Списък!$A$1:$B$209,2,FALSE)</f>
        <v>Минчева</v>
      </c>
      <c r="E33" s="165" t="str">
        <f>IFERROR(VLOOKUP(D33,Списък!$B$3:$I$77,7,0),"")</f>
        <v>212/214/215/217</v>
      </c>
      <c r="F33" s="128" t="str">
        <f>VLOOKUP('Програма-кодове'!R5,Списък!$A$1:$B$209,2,FALSE)</f>
        <v>Мерджанова</v>
      </c>
      <c r="G33" s="165">
        <f>IFERROR(VLOOKUP(F33,Списък!$B$3:$I$77,7,0),"")</f>
        <v>304</v>
      </c>
      <c r="H33" s="128" t="str">
        <f>VLOOKUP('Програма-кодове'!S5,Списък!$A$1:$B$209,2,FALSE)</f>
        <v>Никова</v>
      </c>
      <c r="I33" s="165">
        <f>IFERROR(VLOOKUP(H33,Списък!$B$3:$I$77,7,0),"")</f>
        <v>111</v>
      </c>
      <c r="J33" s="128" t="str">
        <f>VLOOKUP('Програма-кодове'!T5,Списък!$A$1:$B$209,2,FALSE)</f>
        <v>Конгалов</v>
      </c>
      <c r="K33" s="160" t="str">
        <f>IFERROR(VLOOKUP(J33,Списък!$B$3:$I$77,7,0),"")</f>
        <v>ФС</v>
      </c>
    </row>
    <row r="34" spans="1:11" ht="11.95" customHeight="1">
      <c r="A34" s="137">
        <v>5</v>
      </c>
      <c r="B34" s="128" t="str">
        <f>VLOOKUP('Програма-кодове'!P6,Списък!$A$1:$B$209,2,FALSE)</f>
        <v>Минчева</v>
      </c>
      <c r="C34" s="160" t="str">
        <f>IFERROR(VLOOKUP(B34,Списък!$B$3:$I$77,7,0),"")</f>
        <v>212/214/215/217</v>
      </c>
      <c r="D34" s="128" t="str">
        <f>VLOOKUP('Програма-кодове'!Q6,Списък!$A$1:$B$209,2,FALSE)</f>
        <v>Никова</v>
      </c>
      <c r="E34" s="165">
        <f>IFERROR(VLOOKUP(D34,Списък!$B$3:$I$77,7,0),"")</f>
        <v>111</v>
      </c>
      <c r="F34" s="128" t="str">
        <f>VLOOKUP('Програма-кодове'!R6,Списък!$A$1:$B$209,2,FALSE)</f>
        <v>Димитрова/Янева</v>
      </c>
      <c r="G34" s="165" t="str">
        <f>IFERROR(VLOOKUP(F34,Списък!$B$3:$I$77,7,0),"")</f>
        <v>КК4/102/109</v>
      </c>
      <c r="H34" s="128" t="str">
        <f>VLOOKUP('Програма-кодове'!S6,Списък!$A$1:$B$209,2,FALSE)</f>
        <v>Краева</v>
      </c>
      <c r="I34" s="165">
        <f>IFERROR(VLOOKUP(H34,Списък!$B$3:$I$77,7,0),"")</f>
        <v>306</v>
      </c>
      <c r="J34" s="128" t="str">
        <f>VLOOKUP('Програма-кодове'!T6,Списък!$A$1:$B$209,2,FALSE)</f>
        <v>Филипова</v>
      </c>
      <c r="K34" s="160" t="str">
        <f>IFERROR(VLOOKUP(J34,Списък!$B$3:$I$77,7,0),"")</f>
        <v>109/110/301/302/306</v>
      </c>
    </row>
    <row r="35" spans="1:11" ht="11.95" customHeight="1">
      <c r="A35" s="137">
        <v>6</v>
      </c>
      <c r="B35" s="128" t="str">
        <f>VLOOKUP('Програма-кодове'!P7,Списък!$A$1:$B$209,2,FALSE)</f>
        <v>Тонева</v>
      </c>
      <c r="C35" s="160" t="str">
        <f>IFERROR(VLOOKUP(B35,Списък!$B$3:$I$77,7,0),"")</f>
        <v>ФС</v>
      </c>
      <c r="D35" s="128" t="str">
        <f>VLOOKUP('Програма-кодове'!Q7,Списък!$A$1:$B$209,2,FALSE)</f>
        <v>Димитрова/Янева</v>
      </c>
      <c r="E35" s="165" t="str">
        <f>IFERROR(VLOOKUP(D35,Списък!$B$3:$I$77,7,0),"")</f>
        <v>КК4/102/109</v>
      </c>
      <c r="F35" s="128" t="str">
        <f>VLOOKUP('Програма-кодове'!R7,Списък!$A$1:$B$209,2,FALSE)</f>
        <v>Гюлева</v>
      </c>
      <c r="G35" s="165">
        <f>IFERROR(VLOOKUP(F35,Списък!$B$3:$I$77,7,0),"")</f>
        <v>204</v>
      </c>
      <c r="H35" s="128" t="str">
        <f>VLOOKUP('Програма-кодове'!S7,Списък!$A$1:$B$209,2,FALSE)</f>
        <v>Краева</v>
      </c>
      <c r="I35" s="165">
        <f>IFERROR(VLOOKUP(H35,Списък!$B$3:$I$77,7,0),"")</f>
        <v>306</v>
      </c>
      <c r="J35" s="128" t="str">
        <f>VLOOKUP('Програма-кодове'!T7,Списък!$A$1:$B$209,2,FALSE)</f>
        <v>Никова</v>
      </c>
      <c r="K35" s="160">
        <f>IFERROR(VLOOKUP(J35,Списък!$B$3:$I$77,7,0),"")</f>
        <v>111</v>
      </c>
    </row>
    <row r="36" spans="1:11" ht="11.95" customHeight="1">
      <c r="A36" s="137">
        <v>7</v>
      </c>
      <c r="B36" s="128" t="str">
        <f>VLOOKUP('Програма-кодове'!P8,Списък!$A$1:$B$209,2,FALSE)</f>
        <v>Никова</v>
      </c>
      <c r="C36" s="160">
        <f>IFERROR(VLOOKUP(B36,Списък!$B$3:$I$77,7,0),"")</f>
        <v>111</v>
      </c>
      <c r="D36" s="128" t="str">
        <f>VLOOKUP('Програма-кодове'!Q8,Списък!$A$1:$B$209,2,FALSE)</f>
        <v>Гюлева</v>
      </c>
      <c r="E36" s="165">
        <f>IFERROR(VLOOKUP(D36,Списък!$B$3:$I$77,7,0),"")</f>
        <v>204</v>
      </c>
      <c r="F36" s="128" t="str">
        <f>VLOOKUP('Програма-кодове'!R8,Списък!$A$1:$B$209,2,FALSE)</f>
        <v>В. Иванова</v>
      </c>
      <c r="G36" s="165">
        <f>IFERROR(VLOOKUP(F36,Списък!$B$3:$I$77,7,0),"")</f>
        <v>109</v>
      </c>
      <c r="H36" s="128" t="str">
        <f>VLOOKUP('Програма-кодове'!S8,Списък!$A$1:$B$209,2,FALSE)</f>
        <v>Конгалов</v>
      </c>
      <c r="I36" s="165" t="str">
        <f>IFERROR(VLOOKUP(H36,Списък!$B$3:$I$77,7,0),"")</f>
        <v>ФС</v>
      </c>
      <c r="J36" s="128" t="str">
        <f>VLOOKUP('Програма-кодове'!T8,Списък!$A$1:$B$209,2,FALSE)</f>
        <v>Димитрова/Янева</v>
      </c>
      <c r="K36" s="160" t="str">
        <f>IFERROR(VLOOKUP(J36,Списък!$B$3:$I$77,7,0),"")</f>
        <v>КК4/102/109</v>
      </c>
    </row>
    <row r="37" spans="1:11" ht="6.05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6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1.95" customHeight="1">
      <c r="A39" s="137">
        <v>1</v>
      </c>
      <c r="B39" s="128" t="str">
        <f>VLOOKUP('Програма-кодове'!U2,Списък!$A$1:$B$209,2,FALSE)</f>
        <v>Костова</v>
      </c>
      <c r="C39" s="160" t="str">
        <f>IFERROR(VLOOKUP(B39,Списък!$B$3:$I$77,7,0),"")</f>
        <v>212/214/215/217</v>
      </c>
      <c r="D39" s="128" t="str">
        <f>VLOOKUP('Програма-кодове'!V2,Списък!$A$1:$B$209,2,FALSE)</f>
        <v>Киркова/К. Петрова</v>
      </c>
      <c r="E39" s="165" t="str">
        <f>IFERROR(VLOOKUP(D39,Списък!$B$3:$I$77,7,0),"")</f>
        <v>КК7/КК1</v>
      </c>
      <c r="F39" s="130" t="str">
        <f>VLOOKUP('Програма-кодове'!W2,Списък!$A$1:$B$209,2,FALSE)</f>
        <v>Вълчева</v>
      </c>
      <c r="G39" s="165">
        <f>IFERROR(VLOOKUP(F39,Списък!$B$3:$I$77,7,0),"")</f>
        <v>201</v>
      </c>
      <c r="H39" s="130" t="str">
        <f>VLOOKUP('Програма-кодове'!X2,Списък!$A$1:$B$209,2,FALSE)</f>
        <v>Кирилова</v>
      </c>
      <c r="I39" s="165" t="str">
        <f>IFERROR(VLOOKUP(H39,Списък!$B$3:$I$77,7,0),"")</f>
        <v>107/108</v>
      </c>
      <c r="J39" s="128" t="str">
        <f>VLOOKUP('Програма-кодове'!Y2,Списък!$A$1:$B$209,2,FALSE)</f>
        <v>Коларова</v>
      </c>
      <c r="K39" s="160" t="str">
        <f>IFERROR(VLOOKUP(J39,Списък!$B$3:$I$77,7,0),"")</f>
        <v>212/214/215/217</v>
      </c>
    </row>
    <row r="40" spans="1:11" ht="11.95" customHeight="1">
      <c r="A40" s="137">
        <v>2</v>
      </c>
      <c r="B40" s="128" t="str">
        <f>VLOOKUP('Програма-кодове'!U3,Списък!$A$1:$B$209,2,FALSE)</f>
        <v>Киров</v>
      </c>
      <c r="C40" s="160" t="str">
        <f>IFERROR(VLOOKUP(B40,Списък!$B$3:$I$77,7,0),"")</f>
        <v>109/110/111/114/102/302</v>
      </c>
      <c r="D40" s="128" t="str">
        <f>VLOOKUP('Програма-кодове'!V3,Списък!$A$1:$B$209,2,FALSE)</f>
        <v>Трандев</v>
      </c>
      <c r="E40" s="165" t="str">
        <f>IFERROR(VLOOKUP(D40,Списък!$B$3:$I$77,7,0),"")</f>
        <v>ФС</v>
      </c>
      <c r="F40" s="130" t="str">
        <f>VLOOKUP('Програма-кодове'!W3,Списък!$A$1:$B$209,2,FALSE)</f>
        <v>Киркова/К. Петрова</v>
      </c>
      <c r="G40" s="165" t="str">
        <f>IFERROR(VLOOKUP(F40,Списък!$B$3:$I$77,7,0),"")</f>
        <v>КК7/КК1</v>
      </c>
      <c r="H40" s="130" t="str">
        <f>VLOOKUP('Програма-кодове'!X3,Списък!$A$1:$B$209,2,FALSE)</f>
        <v>Кирилова</v>
      </c>
      <c r="I40" s="165" t="str">
        <f>IFERROR(VLOOKUP(H40,Списък!$B$3:$I$77,7,0),"")</f>
        <v>107/108</v>
      </c>
      <c r="J40" s="128" t="str">
        <f>VLOOKUP('Програма-кодове'!Y3,Списък!$A$1:$B$209,2,FALSE)</f>
        <v>Вълчева</v>
      </c>
      <c r="K40" s="160">
        <f>IFERROR(VLOOKUP(J40,Списък!$B$3:$I$77,7,0),"")</f>
        <v>201</v>
      </c>
    </row>
    <row r="41" spans="1:11" ht="11.95" customHeight="1">
      <c r="A41" s="137">
        <v>3</v>
      </c>
      <c r="B41" s="128" t="str">
        <f>VLOOKUP('Програма-кодове'!U4,Списък!$A$1:$B$209,2,FALSE)</f>
        <v>Данева</v>
      </c>
      <c r="C41" s="160">
        <f>IFERROR(VLOOKUP(B41,Списък!$B$3:$I$77,7,0),"")</f>
        <v>101</v>
      </c>
      <c r="D41" s="128" t="str">
        <f>VLOOKUP('Програма-кодове'!V4,Списък!$A$1:$B$209,2,FALSE)</f>
        <v>Кръстева</v>
      </c>
      <c r="E41" s="165">
        <f>IFERROR(VLOOKUP(D41,Списък!$B$3:$I$77,7,0),"")</f>
        <v>302</v>
      </c>
      <c r="F41" s="130" t="str">
        <f>VLOOKUP('Програма-кодове'!W4,Списък!$A$1:$B$209,2,FALSE)</f>
        <v>Влашинска</v>
      </c>
      <c r="G41" s="165" t="str">
        <f>IFERROR(VLOOKUP(F41,Списък!$B$3:$I$77,7,0),"")</f>
        <v>212/214/215/217</v>
      </c>
      <c r="H41" s="130" t="str">
        <f>VLOOKUP('Програма-кодове'!X4,Списък!$A$1:$B$209,2,FALSE)</f>
        <v>Костова</v>
      </c>
      <c r="I41" s="165" t="str">
        <f>IFERROR(VLOOKUP(H41,Списък!$B$3:$I$77,7,0),"")</f>
        <v>212/214/215/217</v>
      </c>
      <c r="J41" s="128" t="str">
        <f>VLOOKUP('Програма-кодове'!Y4,Списък!$A$1:$B$209,2,FALSE)</f>
        <v>Киров</v>
      </c>
      <c r="K41" s="160" t="str">
        <f>IFERROR(VLOOKUP(J41,Списък!$B$3:$I$77,7,0),"")</f>
        <v>109/110/111/114/102/302</v>
      </c>
    </row>
    <row r="42" spans="1:11" ht="11.95" customHeight="1">
      <c r="A42" s="137">
        <v>4</v>
      </c>
      <c r="B42" s="128" t="str">
        <f>VLOOKUP('Програма-кодове'!U5,Списък!$A$1:$B$209,2,FALSE)</f>
        <v>Данева</v>
      </c>
      <c r="C42" s="160">
        <f>IFERROR(VLOOKUP(B42,Списък!$B$3:$I$77,7,0),"")</f>
        <v>101</v>
      </c>
      <c r="D42" s="128" t="str">
        <f>VLOOKUP('Програма-кодове'!V5,Списък!$A$1:$B$209,2,FALSE)</f>
        <v>Кръстева</v>
      </c>
      <c r="E42" s="165">
        <f>IFERROR(VLOOKUP(D42,Списък!$B$3:$I$77,7,0),"")</f>
        <v>302</v>
      </c>
      <c r="F42" s="130" t="str">
        <f>VLOOKUP('Програма-кодове'!W5,Списък!$A$1:$B$209,2,FALSE)</f>
        <v>Киров</v>
      </c>
      <c r="G42" s="165" t="str">
        <f>IFERROR(VLOOKUP(F42,Списък!$B$3:$I$77,7,0),"")</f>
        <v>109/110/111/114/102/302</v>
      </c>
      <c r="H42" s="130" t="str">
        <f>VLOOKUP('Програма-кодове'!X5,Списък!$A$1:$B$209,2,FALSE)</f>
        <v>Клисарова</v>
      </c>
      <c r="I42" s="165">
        <f>IFERROR(VLOOKUP(H42,Списък!$B$3:$I$77,7,0),"")</f>
        <v>305</v>
      </c>
      <c r="J42" s="128" t="str">
        <f>VLOOKUP('Програма-кодове'!Y5,Списък!$A$1:$B$209,2,FALSE)</f>
        <v>Попова</v>
      </c>
      <c r="K42" s="160" t="str">
        <f>IFERROR(VLOOKUP(J42,Списък!$B$3:$I$77,7,0),"")</f>
        <v>212/214/215/217</v>
      </c>
    </row>
    <row r="43" spans="1:11" ht="11.95" customHeight="1">
      <c r="A43" s="137">
        <v>5</v>
      </c>
      <c r="B43" s="128" t="str">
        <f>VLOOKUP('Програма-кодове'!U6,Списък!$A$1:$B$209,2,FALSE)</f>
        <v>Попова</v>
      </c>
      <c r="C43" s="160" t="str">
        <f>IFERROR(VLOOKUP(B43,Списък!$B$3:$I$77,7,0),"")</f>
        <v>212/214/215/217</v>
      </c>
      <c r="D43" s="128" t="str">
        <f>VLOOKUP('Програма-кодове'!V6,Списък!$A$1:$B$209,2,FALSE)</f>
        <v>Киров</v>
      </c>
      <c r="E43" s="165" t="str">
        <f>IFERROR(VLOOKUP(D43,Списък!$B$3:$I$77,7,0),"")</f>
        <v>109/110/111/114/102/302</v>
      </c>
      <c r="F43" s="130" t="str">
        <f>VLOOKUP('Програма-кодове'!W6,Списък!$A$1:$B$209,2,FALSE)</f>
        <v>Кръстева</v>
      </c>
      <c r="G43" s="165">
        <f>IFERROR(VLOOKUP(F43,Списък!$B$3:$I$77,7,0),"")</f>
        <v>302</v>
      </c>
      <c r="H43" s="130" t="str">
        <f>VLOOKUP('Програма-кодове'!X6,Списък!$A$1:$B$209,2,FALSE)</f>
        <v>Клисарова</v>
      </c>
      <c r="I43" s="165">
        <f>IFERROR(VLOOKUP(H43,Списък!$B$3:$I$77,7,0),"")</f>
        <v>305</v>
      </c>
      <c r="J43" s="128" t="str">
        <f>VLOOKUP('Програма-кодове'!Y6,Списък!$A$1:$B$209,2,FALSE)</f>
        <v>Костова</v>
      </c>
      <c r="K43" s="160" t="str">
        <f>IFERROR(VLOOKUP(J43,Списък!$B$3:$I$77,7,0),"")</f>
        <v>212/214/215/217</v>
      </c>
    </row>
    <row r="44" spans="1:11" ht="11.95" customHeight="1">
      <c r="A44" s="137">
        <v>6</v>
      </c>
      <c r="B44" s="128" t="str">
        <f>VLOOKUP('Програма-кодове'!U7,Списък!$A$1:$B$209,2,FALSE)</f>
        <v>Клисарова</v>
      </c>
      <c r="C44" s="160">
        <f>IFERROR(VLOOKUP(B44,Списък!$B$3:$I$77,7,0),"")</f>
        <v>305</v>
      </c>
      <c r="D44" s="128" t="str">
        <f>VLOOKUP('Програма-кодове'!V7,Списък!$A$1:$B$209,2,FALSE)</f>
        <v>Костова</v>
      </c>
      <c r="E44" s="165" t="str">
        <f>IFERROR(VLOOKUP(D44,Списък!$B$3:$I$77,7,0),"")</f>
        <v>212/214/215/217</v>
      </c>
      <c r="F44" s="130" t="str">
        <f>VLOOKUP('Програма-кодове'!W7,Списък!$A$1:$B$209,2,FALSE)</f>
        <v>Кръстева</v>
      </c>
      <c r="G44" s="165">
        <f>IFERROR(VLOOKUP(F44,Списък!$B$3:$I$77,7,0),"")</f>
        <v>302</v>
      </c>
      <c r="H44" s="130" t="str">
        <f>VLOOKUP('Програма-кодове'!X7,Списък!$A$1:$B$209,2,FALSE)</f>
        <v>Киров</v>
      </c>
      <c r="I44" s="165" t="str">
        <f>IFERROR(VLOOKUP(H44,Списък!$B$3:$I$77,7,0),"")</f>
        <v>109/110/111/114/102/302</v>
      </c>
      <c r="J44" s="128" t="str">
        <f>VLOOKUP('Програма-кодове'!Y7,Списък!$A$1:$B$209,2,FALSE)</f>
        <v>Данева</v>
      </c>
      <c r="K44" s="160">
        <f>IFERROR(VLOOKUP(J44,Списък!$B$3:$I$77,7,0),"")</f>
        <v>101</v>
      </c>
    </row>
    <row r="45" spans="1:11" ht="11.3" customHeight="1">
      <c r="A45" s="137">
        <v>7</v>
      </c>
      <c r="B45" s="128" t="str">
        <f>VLOOKUP('Програма-кодове'!U8,Списък!$A$1:$B$209,2,FALSE)</f>
        <v>Клисарова</v>
      </c>
      <c r="C45" s="160">
        <f>IFERROR(VLOOKUP(B45,Списък!$B$3:$I$77,7,0),"")</f>
        <v>305</v>
      </c>
      <c r="D45" s="128" t="str">
        <f>VLOOKUP('Програма-кодове'!V8,Списък!$A$1:$B$209,2,FALSE)</f>
        <v>Влашинска</v>
      </c>
      <c r="E45" s="165" t="str">
        <f>IFERROR(VLOOKUP(D45,Списък!$B$3:$I$77,7,0),"")</f>
        <v>212/214/215/217</v>
      </c>
      <c r="F45" s="130" t="str">
        <f>VLOOKUP('Програма-кодове'!W8,Списък!$A$1:$B$209,2,FALSE)</f>
        <v>Петров ФВС</v>
      </c>
      <c r="G45" s="165" t="str">
        <f>IFERROR(VLOOKUP(F45,Списък!$B$3:$I$77,7,0),"")</f>
        <v>ФС</v>
      </c>
      <c r="H45" s="130" t="str">
        <f>VLOOKUP('Програма-кодове'!X8,Списък!$A$1:$B$209,2,FALSE)</f>
        <v>Попова</v>
      </c>
      <c r="I45" s="165" t="str">
        <f>IFERROR(VLOOKUP(H45,Списък!$B$3:$I$77,7,0),"")</f>
        <v>212/214/215/217</v>
      </c>
      <c r="J45" s="128" t="str">
        <f>VLOOKUP('Програма-кодове'!Y8,Списък!$A$1:$B$209,2,FALSE)</f>
        <v>Данева</v>
      </c>
      <c r="K45" s="160">
        <f>IFERROR(VLOOKUP(J45,Списък!$B$3:$I$77,7,0),"")</f>
        <v>101</v>
      </c>
    </row>
    <row r="46" spans="1:11" ht="6.05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6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1.95" customHeight="1">
      <c r="A48" s="137">
        <v>1</v>
      </c>
      <c r="B48" s="128" t="str">
        <f>VLOOKUP('Програма-кодове'!Z2,Списък!$A$1:$B$209,2,FALSE)</f>
        <v>Н. Николова</v>
      </c>
      <c r="C48" s="160">
        <f>IFERROR(VLOOKUP(B48,Списък!$B$3:$I$77,7,0),"")</f>
        <v>202</v>
      </c>
      <c r="D48" s="128" t="str">
        <f>VLOOKUP('Програма-кодове'!AA2,Списък!$A$1:$B$209,2,FALSE)</f>
        <v>Гочева</v>
      </c>
      <c r="E48" s="165">
        <f>IFERROR(VLOOKUP(D48,Списък!$B$3:$I$77,7,0),"")</f>
        <v>301</v>
      </c>
      <c r="F48" s="128" t="str">
        <f>VLOOKUP('Програма-кодове'!AB2,Списък!$A$1:$B$209,2,FALSE)</f>
        <v>Славова</v>
      </c>
      <c r="G48" s="165">
        <f>IFERROR(VLOOKUP(F48,Списък!$B$3:$I$77,7,0),"")</f>
        <v>114</v>
      </c>
      <c r="H48" s="128" t="str">
        <f>VLOOKUP('Програма-кодове'!AC2,Списък!$A$1:$B$209,2,FALSE)</f>
        <v>Филипова</v>
      </c>
      <c r="I48" s="165" t="str">
        <f>IFERROR(VLOOKUP(H48,Списък!$B$3:$I$77,7,0),"")</f>
        <v>109/110/301/302/306</v>
      </c>
      <c r="J48" s="128" t="str">
        <f>VLOOKUP('Програма-кодове'!AD2,Списък!$A$1:$B$209,2,FALSE)</f>
        <v>Чанкова</v>
      </c>
      <c r="K48" s="160">
        <f>IFERROR(VLOOKUP(J48,Списък!$B$3:$I$77,7,0),"")</f>
        <v>105</v>
      </c>
    </row>
    <row r="49" spans="1:11" ht="11.95" customHeight="1">
      <c r="A49" s="137">
        <v>2</v>
      </c>
      <c r="B49" s="128" t="str">
        <f>VLOOKUP('Програма-кодове'!Z3,Списък!$A$1:$B$209,2,FALSE)</f>
        <v>Н. Николова</v>
      </c>
      <c r="C49" s="160">
        <f>IFERROR(VLOOKUP(B49,Списък!$B$3:$I$77,7,0),"")</f>
        <v>202</v>
      </c>
      <c r="D49" s="128" t="str">
        <f>VLOOKUP('Програма-кодове'!AA3,Списък!$A$1:$B$209,2,FALSE)</f>
        <v>В. Иванова</v>
      </c>
      <c r="E49" s="165">
        <f>IFERROR(VLOOKUP(D49,Списък!$B$3:$I$77,7,0),"")</f>
        <v>109</v>
      </c>
      <c r="F49" s="128" t="str">
        <f>VLOOKUP('Програма-кодове'!AB3,Списък!$A$1:$B$209,2,FALSE)</f>
        <v>Гочева</v>
      </c>
      <c r="G49" s="165">
        <f>IFERROR(VLOOKUP(F49,Списък!$B$3:$I$77,7,0),"")</f>
        <v>301</v>
      </c>
      <c r="H49" s="128" t="str">
        <f>VLOOKUP('Програма-кодове'!AC3,Списък!$A$1:$B$209,2,FALSE)</f>
        <v>Чанкова</v>
      </c>
      <c r="I49" s="165">
        <f>IFERROR(VLOOKUP(H49,Списък!$B$3:$I$77,7,0),"")</f>
        <v>105</v>
      </c>
      <c r="J49" s="128" t="str">
        <f>VLOOKUP('Програма-кодове'!AD3,Списък!$A$1:$B$209,2,FALSE)</f>
        <v>Филипова</v>
      </c>
      <c r="K49" s="160" t="str">
        <f>IFERROR(VLOOKUP(J49,Списък!$B$3:$I$77,7,0),"")</f>
        <v>109/110/301/302/306</v>
      </c>
    </row>
    <row r="50" spans="1:11" ht="11.95" customHeight="1">
      <c r="A50" s="137">
        <v>3</v>
      </c>
      <c r="B50" s="128" t="str">
        <f>VLOOKUP('Програма-кодове'!Z4,Списък!$A$1:$B$209,2,FALSE)</f>
        <v>Чанкова</v>
      </c>
      <c r="C50" s="160">
        <f>IFERROR(VLOOKUP(B50,Списък!$B$3:$I$77,7,0),"")</f>
        <v>105</v>
      </c>
      <c r="D50" s="128" t="str">
        <f>VLOOKUP('Програма-кодове'!AA4,Списък!$A$1:$B$209,2,FALSE)</f>
        <v>Н. Николова</v>
      </c>
      <c r="E50" s="165">
        <f>IFERROR(VLOOKUP(D50,Списък!$B$3:$I$77,7,0),"")</f>
        <v>202</v>
      </c>
      <c r="F50" s="128" t="str">
        <f>VLOOKUP('Програма-кодове'!AB4,Списък!$A$1:$B$209,2,FALSE)</f>
        <v>Филипова</v>
      </c>
      <c r="G50" s="165" t="str">
        <f>IFERROR(VLOOKUP(F50,Списък!$B$3:$I$77,7,0),"")</f>
        <v>109/110/301/302/306</v>
      </c>
      <c r="H50" s="128" t="str">
        <f>VLOOKUP('Програма-кодове'!AC4,Списък!$A$1:$B$209,2,FALSE)</f>
        <v>Батимов</v>
      </c>
      <c r="I50" s="165">
        <f>IFERROR(VLOOKUP(H50,Списък!$B$3:$I$77,7,0),"")</f>
        <v>303</v>
      </c>
      <c r="J50" s="128" t="str">
        <f>VLOOKUP('Програма-кодове'!AD4,Списък!$A$1:$B$209,2,FALSE)</f>
        <v>Козалиева</v>
      </c>
      <c r="K50" s="160" t="str">
        <f>IFERROR(VLOOKUP(J50,Списък!$B$3:$I$77,7,0),"")</f>
        <v>212/214/215/217</v>
      </c>
    </row>
    <row r="51" spans="1:11" ht="11.95" customHeight="1">
      <c r="A51" s="137">
        <v>4</v>
      </c>
      <c r="B51" s="128" t="str">
        <f>VLOOKUP('Програма-кодове'!Z5,Списък!$A$1:$B$209,2,FALSE)</f>
        <v>Христонова/Цветков</v>
      </c>
      <c r="C51" s="160" t="str">
        <f>IFERROR(VLOOKUP(B51,Списък!$B$3:$I$77,7,0),"")</f>
        <v>КК4/КК6</v>
      </c>
      <c r="D51" s="128" t="str">
        <f>VLOOKUP('Програма-кодове'!AA5,Списък!$A$1:$B$209,2,FALSE)</f>
        <v>Н. Николова</v>
      </c>
      <c r="E51" s="165">
        <f>IFERROR(VLOOKUP(D51,Списък!$B$3:$I$77,7,0),"")</f>
        <v>202</v>
      </c>
      <c r="F51" s="128" t="str">
        <f>VLOOKUP('Програма-кодове'!AB5,Списък!$A$1:$B$209,2,FALSE)</f>
        <v>Чанкова</v>
      </c>
      <c r="G51" s="165">
        <f>IFERROR(VLOOKUP(F51,Списък!$B$3:$I$77,7,0),"")</f>
        <v>105</v>
      </c>
      <c r="H51" s="128" t="str">
        <f>VLOOKUP('Програма-кодове'!AC5,Списък!$A$1:$B$209,2,FALSE)</f>
        <v>Батимов</v>
      </c>
      <c r="I51" s="165">
        <f>IFERROR(VLOOKUP(H51,Списък!$B$3:$I$77,7,0),"")</f>
        <v>303</v>
      </c>
      <c r="J51" s="128" t="str">
        <f>VLOOKUP('Програма-кодове'!AD5,Списък!$A$1:$B$209,2,FALSE)</f>
        <v>Славова</v>
      </c>
      <c r="K51" s="160">
        <f>IFERROR(VLOOKUP(J51,Списък!$B$3:$I$77,7,0),"")</f>
        <v>114</v>
      </c>
    </row>
    <row r="52" spans="1:11" ht="11.95" customHeight="1">
      <c r="A52" s="137">
        <v>5</v>
      </c>
      <c r="B52" s="128" t="str">
        <f>VLOOKUP('Програма-кодове'!Z6,Списък!$A$1:$B$209,2,FALSE)</f>
        <v>Славова</v>
      </c>
      <c r="C52" s="160">
        <f>IFERROR(VLOOKUP(B52,Списък!$B$3:$I$77,7,0),"")</f>
        <v>114</v>
      </c>
      <c r="D52" s="128" t="str">
        <f>VLOOKUP('Програма-кодове'!AA6,Списък!$A$1:$B$209,2,FALSE)</f>
        <v>Чанкова</v>
      </c>
      <c r="E52" s="165">
        <f>IFERROR(VLOOKUP(D52,Списък!$B$3:$I$77,7,0),"")</f>
        <v>105</v>
      </c>
      <c r="F52" s="128" t="str">
        <f>VLOOKUP('Програма-кодове'!AB6,Списък!$A$1:$B$209,2,FALSE)</f>
        <v>Христонова/Цветков</v>
      </c>
      <c r="G52" s="165" t="str">
        <f>IFERROR(VLOOKUP(F52,Списък!$B$3:$I$77,7,0),"")</f>
        <v>КК4/КК6</v>
      </c>
      <c r="H52" s="128" t="str">
        <f>VLOOKUP('Програма-кодове'!AC6,Списък!$A$1:$B$209,2,FALSE)</f>
        <v>Даскалова</v>
      </c>
      <c r="I52" s="165">
        <f>IFERROR(VLOOKUP(H52,Списък!$B$3:$I$77,7,0),"")</f>
        <v>108</v>
      </c>
      <c r="J52" s="128" t="str">
        <f>VLOOKUP('Програма-кодове'!AD6,Списък!$A$1:$B$209,2,FALSE)</f>
        <v>Конгалов</v>
      </c>
      <c r="K52" s="160" t="str">
        <f>IFERROR(VLOOKUP(J52,Списък!$B$3:$I$77,7,0),"")</f>
        <v>ФС</v>
      </c>
    </row>
    <row r="53" spans="1:11" ht="11.95" customHeight="1">
      <c r="A53" s="137">
        <v>6</v>
      </c>
      <c r="B53" s="128" t="str">
        <f>VLOOKUP('Програма-кодове'!Z7,Списък!$A$1:$B$209,2,FALSE)</f>
        <v>В. Иванова</v>
      </c>
      <c r="C53" s="160">
        <f>IFERROR(VLOOKUP(B53,Списък!$B$3:$I$77,7,0),"")</f>
        <v>109</v>
      </c>
      <c r="D53" s="128" t="str">
        <f>VLOOKUP('Програма-кодове'!AA7,Списък!$A$1:$B$209,2,FALSE)</f>
        <v>Христонова/Цветков</v>
      </c>
      <c r="E53" s="165" t="str">
        <f>IFERROR(VLOOKUP(D53,Списък!$B$3:$I$77,7,0),"")</f>
        <v>КК4/КК6</v>
      </c>
      <c r="F53" s="128" t="str">
        <f>VLOOKUP('Програма-кодове'!AB7,Списък!$A$1:$B$209,2,FALSE)</f>
        <v>Н. Николова</v>
      </c>
      <c r="G53" s="165">
        <f>IFERROR(VLOOKUP(F53,Списък!$B$3:$I$77,7,0),"")</f>
        <v>202</v>
      </c>
      <c r="H53" s="128" t="str">
        <f>VLOOKUP('Програма-кодове'!AC7,Списък!$A$1:$B$209,2,FALSE)</f>
        <v>Славова</v>
      </c>
      <c r="I53" s="165">
        <f>IFERROR(VLOOKUP(H53,Списък!$B$3:$I$77,7,0),"")</f>
        <v>114</v>
      </c>
      <c r="J53" s="128" t="str">
        <f>VLOOKUP('Програма-кодове'!AD7,Списък!$A$1:$B$209,2,FALSE)</f>
        <v>Минчева</v>
      </c>
      <c r="K53" s="160" t="str">
        <f>IFERROR(VLOOKUP(J53,Списък!$B$3:$I$77,7,0),"")</f>
        <v>212/214/215/217</v>
      </c>
    </row>
    <row r="54" spans="1:11" ht="11.95" customHeight="1">
      <c r="A54" s="140">
        <v>7</v>
      </c>
      <c r="B54" s="135" t="str">
        <f>VLOOKUP('Програма-кодове'!Z8,Списък!$A$1:$B$209,2,FALSE)</f>
        <v>Батимов</v>
      </c>
      <c r="C54" s="162">
        <f>IFERROR(VLOOKUP(B54,Списък!$B$3:$I$77,7,0),"")</f>
        <v>303</v>
      </c>
      <c r="D54" s="135" t="str">
        <f>VLOOKUP('Програма-кодове'!AA8,Списък!$A$1:$B$209,2,FALSE)</f>
        <v>Славова</v>
      </c>
      <c r="E54" s="162">
        <f>IFERROR(VLOOKUP(D54,Списък!$B$3:$I$77,7,0),"")</f>
        <v>114</v>
      </c>
      <c r="F54" s="135" t="str">
        <f>VLOOKUP('Програма-кодове'!AB8,Списък!$A$1:$B$209,2,FALSE)</f>
        <v>Н. Николова</v>
      </c>
      <c r="G54" s="162">
        <f>IFERROR(VLOOKUP(F54,Списък!$B$3:$I$77,7,0),"")</f>
        <v>202</v>
      </c>
      <c r="H54" s="135" t="str">
        <f>VLOOKUP('Програма-кодове'!AC8,Списък!$A$1:$B$209,2,FALSE)</f>
        <v>Христонова/Цветков</v>
      </c>
      <c r="I54" s="167" t="str">
        <f>IFERROR(VLOOKUP(H54,Списък!$B$3:$I$77,7,0),"")</f>
        <v>КК4/КК6</v>
      </c>
      <c r="J54" s="135" t="str">
        <f>VLOOKUP('Програма-кодове'!AD8,Списък!$A$1:$B$209,2,FALSE)</f>
        <v>Минчева</v>
      </c>
      <c r="K54" s="162" t="str">
        <f>IFERROR(VLOOKUP(J54,Списък!$B$3:$I$77,7,0),"")</f>
        <v>212/214/215/217</v>
      </c>
    </row>
    <row r="55" spans="1:11" ht="2.95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6" customHeight="1">
      <c r="A56" s="430" t="s">
        <v>25</v>
      </c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s="13" customFormat="1" ht="12.8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1.95" customHeight="1">
      <c r="A58" s="129">
        <v>1</v>
      </c>
      <c r="B58" s="128" t="str">
        <f>VLOOKUP('Програма-кодове'!C9,Списък!$A$1:$B$209,2,FALSE)</f>
        <v>Стефанова</v>
      </c>
      <c r="C58" s="165" t="str">
        <f>IFERROR(VLOOKUP(B58,Списък!$B$3:$I$77,7,0),"")</f>
        <v>201/202/203/205/206</v>
      </c>
      <c r="D58" s="128" t="str">
        <f>VLOOKUP('Програма-кодове'!D9,Списък!$A$1:$B$209,2,FALSE)</f>
        <v>Иванова</v>
      </c>
      <c r="E58" s="165">
        <f>IFERROR(VLOOKUP(D58,Списък!$B$3:$I$77,7,0),"")</f>
        <v>205</v>
      </c>
      <c r="F58" s="128" t="str">
        <f>VLOOKUP('Програма-кодове'!E9,Списък!$A$1:$B$209,2,FALSE)</f>
        <v>Коларова</v>
      </c>
      <c r="G58" s="165" t="str">
        <f>IFERROR(VLOOKUP(F58,Списък!$B$3:$I$77,7,0),"")</f>
        <v>212/214/215/217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1.95" customHeight="1">
      <c r="A59" s="129">
        <v>2</v>
      </c>
      <c r="B59" s="128" t="str">
        <f>VLOOKUP('Програма-кодове'!C10,Списък!$A$1:$B$209,2,FALSE)</f>
        <v>Попова</v>
      </c>
      <c r="C59" s="165" t="str">
        <f>IFERROR(VLOOKUP(B59,Списък!$B$3:$I$77,7,0),"")</f>
        <v>212/214/215/217</v>
      </c>
      <c r="D59" s="128" t="str">
        <f>VLOOKUP('Програма-кодове'!D10,Списък!$A$1:$B$209,2,FALSE)</f>
        <v>Никова</v>
      </c>
      <c r="E59" s="165">
        <f>IFERROR(VLOOKUP(D59,Списък!$B$3:$I$77,7,0),"")</f>
        <v>111</v>
      </c>
      <c r="F59" s="128" t="str">
        <f>VLOOKUP('Програма-кодове'!E10,Списък!$A$1:$B$209,2,FALSE)</f>
        <v>Петров</v>
      </c>
      <c r="G59" s="165">
        <f>IFERROR(VLOOKUP(F59,Списък!$B$3:$I$77,7,0),"")</f>
        <v>112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1.95" customHeight="1">
      <c r="A60" s="129">
        <v>3</v>
      </c>
      <c r="B60" s="128" t="str">
        <f>VLOOKUP('Програма-кодове'!C11,Списък!$A$1:$B$209,2,FALSE)</f>
        <v>Димитрова/Пецова</v>
      </c>
      <c r="C60" s="165" t="str">
        <f>IFERROR(VLOOKUP(B60,Списък!$B$3:$I$77,7,0),"")</f>
        <v>КК2/105/111/112</v>
      </c>
      <c r="D60" s="128" t="str">
        <f>VLOOKUP('Програма-кодове'!D11,Списък!$A$1:$B$209,2,FALSE)</f>
        <v>Краева</v>
      </c>
      <c r="E60" s="165">
        <f>IFERROR(VLOOKUP(D60,Списък!$B$3:$I$77,7,0),"")</f>
        <v>306</v>
      </c>
      <c r="F60" s="128" t="str">
        <f>VLOOKUP('Програма-кодове'!E11,Списък!$A$1:$B$209,2,FALSE)</f>
        <v>Никова</v>
      </c>
      <c r="G60" s="165">
        <f>IFERROR(VLOOKUP(F60,Списък!$B$3:$I$77,7,0),"")</f>
        <v>111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1.95" customHeight="1">
      <c r="A61" s="129">
        <v>4</v>
      </c>
      <c r="B61" s="128" t="str">
        <f>VLOOKUP('Програма-кодове'!C12,Списък!$A$1:$B$209,2,FALSE)</f>
        <v>Петров</v>
      </c>
      <c r="C61" s="165">
        <f>IFERROR(VLOOKUP(B61,Списък!$B$3:$I$77,7,0),"")</f>
        <v>112</v>
      </c>
      <c r="D61" s="128" t="str">
        <f>VLOOKUP('Програма-кодове'!D12,Списък!$A$1:$B$209,2,FALSE)</f>
        <v>Димитрова/Пецова</v>
      </c>
      <c r="E61" s="165" t="str">
        <f>IFERROR(VLOOKUP(D61,Списък!$B$3:$I$77,7,0),"")</f>
        <v>КК2/105/111/112</v>
      </c>
      <c r="F61" s="128" t="str">
        <f>VLOOKUP('Програма-кодове'!E12,Списък!$A$1:$B$209,2,FALSE)</f>
        <v>Кръстева</v>
      </c>
      <c r="G61" s="165">
        <f>IFERROR(VLOOKUP(F61,Списък!$B$3:$I$77,7,0),"")</f>
        <v>302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1.95" customHeight="1">
      <c r="A62" s="129">
        <v>5</v>
      </c>
      <c r="B62" s="128" t="str">
        <f>VLOOKUP('Програма-кодове'!C13,Списък!$A$1:$B$209,2,FALSE)</f>
        <v>Христонова/Пецова</v>
      </c>
      <c r="C62" s="165" t="str">
        <f>IFERROR(VLOOKUP(B62,Списък!$B$3:$I$77,7,0),"")</f>
        <v>КК8/КК2</v>
      </c>
      <c r="D62" s="128" t="str">
        <f>VLOOKUP('Програма-кодове'!D13,Списък!$A$1:$B$209,2,FALSE)</f>
        <v>Тонева</v>
      </c>
      <c r="E62" s="165" t="str">
        <f>IFERROR(VLOOKUP(D62,Списък!$B$3:$I$77,7,0),"")</f>
        <v>ФС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1.95" customHeight="1">
      <c r="A63" s="129">
        <v>6</v>
      </c>
      <c r="B63" s="128" t="str">
        <f>VLOOKUP('Програма-кодове'!C14,Списък!$A$1:$B$209,2,FALSE)</f>
        <v>Клисарова</v>
      </c>
      <c r="C63" s="165">
        <f>IFERROR(VLOOKUP(B63,Списък!$B$3:$I$77,7,0),"")</f>
        <v>305</v>
      </c>
      <c r="D63" s="128" t="str">
        <f>VLOOKUP('Програма-кодове'!D14,Списък!$A$1:$B$209,2,FALSE)</f>
        <v>Цветков/Пецова</v>
      </c>
      <c r="E63" s="165">
        <f>IFERROR(VLOOKUP(D63,Списък!$B$3:$I$77,7,0),"")</f>
        <v>0</v>
      </c>
      <c r="F63" s="128" t="str">
        <f>VLOOKUP('Програма-кодове'!E14,Списък!$A$1:$B$209,2,FALSE)</f>
        <v>Гинева</v>
      </c>
      <c r="G63" s="165">
        <f>IFERROR(VLOOKUP(F63,Списък!$B$3:$I$77,7,0),"")</f>
        <v>102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.05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.05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1.95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1.95" customHeight="1">
      <c r="A67" s="129">
        <v>1</v>
      </c>
      <c r="B67" s="128" t="str">
        <f>VLOOKUP('Програма-кодове'!F9,Списък!$A$1:$B$209,2,FALSE)</f>
        <v>Петкова/Янева</v>
      </c>
      <c r="C67" s="165" t="str">
        <f>IFERROR(VLOOKUP(B67,Списък!$B$3:$I$77,7,0),"")</f>
        <v>КК6/КК4</v>
      </c>
      <c r="D67" s="128" t="str">
        <f>VLOOKUP('Програма-кодове'!G9,Списък!$A$1:$B$209,2,FALSE)</f>
        <v>Габарова</v>
      </c>
      <c r="E67" s="165">
        <f>IFERROR(VLOOKUP(D67,Списък!$B$3:$I$77,7,0),"")</f>
        <v>206</v>
      </c>
      <c r="F67" s="128" t="str">
        <f>VLOOKUP('Програма-кодове'!H9,Списък!$A$1:$B$209,2,FALSE)</f>
        <v>Д. Иванова</v>
      </c>
      <c r="G67" s="165" t="str">
        <f>IFERROR(VLOOKUP(F67,Списък!$B$3:$I$77,7,0),"")</f>
        <v>КК6</v>
      </c>
      <c r="H67" s="128" t="str">
        <f>VLOOKUP('Програма-кодове'!I9,Списък!$A$1:$B$209,2,FALSE)</f>
        <v>Тонева</v>
      </c>
      <c r="I67" s="165" t="str">
        <f>IFERROR(VLOOKUP(H67,Списък!$B$3:$I$77,7,0),"")</f>
        <v>ФС</v>
      </c>
      <c r="J67" s="128" t="str">
        <f>VLOOKUP('Програма-кодове'!J9,Списък!$A$1:$B$209,2,FALSE)</f>
        <v>Маркова</v>
      </c>
      <c r="K67" s="160">
        <f>IFERROR(VLOOKUP(J67,Списък!$B$3:$I$77,7,0),"")</f>
        <v>103</v>
      </c>
    </row>
    <row r="68" spans="1:11" ht="11.95" customHeight="1">
      <c r="A68" s="129">
        <v>2</v>
      </c>
      <c r="B68" s="128" t="str">
        <f>VLOOKUP('Програма-кодове'!F10,Списък!$A$1:$B$209,2,FALSE)</f>
        <v>Стефанова</v>
      </c>
      <c r="C68" s="165" t="str">
        <f>IFERROR(VLOOKUP(B68,Списък!$B$3:$I$77,7,0),"")</f>
        <v>201/202/203/205/206</v>
      </c>
      <c r="D68" s="128" t="str">
        <f>VLOOKUP('Програма-кодове'!G10,Списък!$A$1:$B$209,2,FALSE)</f>
        <v>Габарова</v>
      </c>
      <c r="E68" s="165">
        <f>IFERROR(VLOOKUP(D68,Списък!$B$3:$I$77,7,0),"")</f>
        <v>206</v>
      </c>
      <c r="F68" s="128" t="str">
        <f>VLOOKUP('Програма-кодове'!H10,Списък!$A$1:$B$209,2,FALSE)</f>
        <v>Тонева</v>
      </c>
      <c r="G68" s="165" t="str">
        <f>IFERROR(VLOOKUP(F68,Списък!$B$3:$I$77,7,0),"")</f>
        <v>ФС</v>
      </c>
      <c r="H68" s="128" t="str">
        <f>VLOOKUP('Програма-кодове'!I10,Списък!$A$1:$B$209,2,FALSE)</f>
        <v>Петкова/Янева</v>
      </c>
      <c r="I68" s="165" t="str">
        <f>IFERROR(VLOOKUP(H68,Списък!$B$3:$I$77,7,0),"")</f>
        <v>КК6/КК4</v>
      </c>
      <c r="J68" s="128" t="str">
        <f>VLOOKUP('Програма-кодове'!J10,Списък!$A$1:$B$209,2,FALSE)</f>
        <v>Маркова</v>
      </c>
      <c r="K68" s="160">
        <f>IFERROR(VLOOKUP(J68,Списък!$B$3:$I$77,7,0),"")</f>
        <v>103</v>
      </c>
    </row>
    <row r="69" spans="1:11" ht="11.95" customHeight="1">
      <c r="A69" s="129">
        <v>3</v>
      </c>
      <c r="B69" s="128" t="str">
        <f>VLOOKUP('Програма-кодове'!F11,Списък!$A$1:$B$209,2,FALSE)</f>
        <v>Мерджанова</v>
      </c>
      <c r="C69" s="165">
        <f>IFERROR(VLOOKUP(B69,Списък!$B$3:$I$77,7,0),"")</f>
        <v>304</v>
      </c>
      <c r="D69" s="128" t="str">
        <f>VLOOKUP('Програма-кодове'!G11,Списък!$A$1:$B$209,2,FALSE)</f>
        <v>Габарова</v>
      </c>
      <c r="E69" s="165">
        <f>IFERROR(VLOOKUP(D69,Списък!$B$3:$I$77,7,0),"")</f>
        <v>206</v>
      </c>
      <c r="F69" s="128" t="str">
        <f>VLOOKUP('Програма-кодове'!H11,Списък!$A$1:$B$209,2,FALSE)</f>
        <v>Петкова/Янева</v>
      </c>
      <c r="G69" s="165" t="str">
        <f>IFERROR(VLOOKUP(F69,Списък!$B$3:$I$77,7,0),"")</f>
        <v>КК6/КК4</v>
      </c>
      <c r="H69" s="128" t="str">
        <f>VLOOKUP('Програма-кодове'!I11,Списък!$A$1:$B$209,2,FALSE)</f>
        <v>Гинева</v>
      </c>
      <c r="I69" s="165">
        <f>IFERROR(VLOOKUP(H69,Списък!$B$3:$I$77,7,0),"")</f>
        <v>102</v>
      </c>
      <c r="J69" s="128" t="str">
        <f>VLOOKUP('Програма-кодове'!J11,Списък!$A$1:$B$209,2,FALSE)</f>
        <v>Маркова</v>
      </c>
      <c r="K69" s="160">
        <f>IFERROR(VLOOKUP(J69,Списък!$B$3:$I$77,7,0),"")</f>
        <v>103</v>
      </c>
    </row>
    <row r="70" spans="1:11" ht="11.95" customHeight="1">
      <c r="A70" s="129">
        <v>4</v>
      </c>
      <c r="B70" s="128" t="str">
        <f>VLOOKUP('Програма-кодове'!F12,Списък!$A$1:$B$209,2,FALSE)</f>
        <v>Спасова</v>
      </c>
      <c r="C70" s="165" t="str">
        <f>IFERROR(VLOOKUP(B70,Списък!$B$3:$I$77,7,0),"")</f>
        <v>106, 103, 104, 205, 206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Д. Николова</v>
      </c>
      <c r="G70" s="165">
        <f>IFERROR(VLOOKUP(F70,Списък!$B$3:$I$77,7,0),"")</f>
        <v>106</v>
      </c>
      <c r="H70" s="128" t="str">
        <f>VLOOKUP('Програма-кодове'!I12,Списък!$A$1:$B$209,2,FALSE)</f>
        <v>Гинева</v>
      </c>
      <c r="I70" s="165">
        <f>IFERROR(VLOOKUP(H70,Списък!$B$3:$I$77,7,0),"")</f>
        <v>102</v>
      </c>
      <c r="J70" s="128" t="str">
        <f>VLOOKUP('Програма-кодове'!J12,Списък!$A$1:$B$209,2,FALSE)</f>
        <v>Тонева</v>
      </c>
      <c r="K70" s="160" t="str">
        <f>IFERROR(VLOOKUP(J70,Списък!$B$3:$I$77,7,0),"")</f>
        <v>ФС</v>
      </c>
    </row>
    <row r="71" spans="1:11" ht="11.95" customHeight="1">
      <c r="A71" s="129">
        <v>5</v>
      </c>
      <c r="B71" s="128" t="str">
        <f>VLOOKUP('Програма-кодове'!F13,Списък!$A$1:$B$209,2,FALSE)</f>
        <v>Спасова</v>
      </c>
      <c r="C71" s="165" t="str">
        <f>IFERROR(VLOOKUP(B71,Списък!$B$3:$I$77,7,0),"")</f>
        <v>106, 103, 104, 205, 206</v>
      </c>
      <c r="D71" s="128" t="str">
        <f>VLOOKUP('Програма-кодове'!G13,Списък!$A$1:$B$209,2,FALSE)</f>
        <v>Мерджанова</v>
      </c>
      <c r="E71" s="165">
        <f>IFERROR(VLOOKUP(D71,Списък!$B$3:$I$77,7,0),"")</f>
        <v>304</v>
      </c>
      <c r="F71" s="128" t="str">
        <f>VLOOKUP('Програма-кодове'!H13,Списък!$A$1:$B$209,2,FALSE)</f>
        <v>Д. Николова</v>
      </c>
      <c r="G71" s="165">
        <f>IFERROR(VLOOKUP(F71,Списък!$B$3:$I$77,7,0),"")</f>
        <v>106</v>
      </c>
      <c r="H71" s="128" t="str">
        <f>VLOOKUP('Програма-кодове'!I13,Списък!$A$1:$B$209,2,FALSE)</f>
        <v>Гинева</v>
      </c>
      <c r="I71" s="165">
        <f>IFERROR(VLOOKUP(H71,Списък!$B$3:$I$77,7,0),"")</f>
        <v>102</v>
      </c>
      <c r="J71" s="128" t="str">
        <f>VLOOKUP('Програма-кодове'!J13,Списък!$A$1:$B$209,2,FALSE)</f>
        <v>Петкова/Янева</v>
      </c>
      <c r="K71" s="160" t="str">
        <f>IFERROR(VLOOKUP(J71,Списък!$B$3:$I$77,7,0),"")</f>
        <v>КК6/КК4</v>
      </c>
    </row>
    <row r="72" spans="1:11" ht="11.95" customHeight="1">
      <c r="A72" s="129">
        <v>6</v>
      </c>
      <c r="B72" s="128" t="str">
        <f>VLOOKUP('Програма-кодове'!F14,Списък!$A$1:$B$209,2,FALSE)</f>
        <v>Спасова</v>
      </c>
      <c r="C72" s="165" t="str">
        <f>IFERROR(VLOOKUP(B72,Списък!$B$3:$I$77,7,0),"")</f>
        <v>106, 103, 104, 205, 206</v>
      </c>
      <c r="D72" s="128" t="str">
        <f>VLOOKUP('Програма-кодове'!G14,Списък!$A$1:$B$209,2,FALSE)</f>
        <v>Петкова/Янева</v>
      </c>
      <c r="E72" s="165" t="str">
        <f>IFERROR(VLOOKUP(D72,Списък!$B$3:$I$77,7,0),"")</f>
        <v>КК6/КК4</v>
      </c>
      <c r="F72" s="128" t="str">
        <f>VLOOKUP('Програма-кодове'!H14,Списък!$A$1:$B$209,2,FALSE)</f>
        <v>Д. Николова</v>
      </c>
      <c r="G72" s="165">
        <f>IFERROR(VLOOKUP(F72,Списък!$B$3:$I$77,7,0),"")</f>
        <v>106</v>
      </c>
      <c r="H72" s="128" t="str">
        <f>VLOOKUP('Програма-кодове'!I14,Списък!$A$1:$B$209,2,FALSE)</f>
        <v>Мерджанова</v>
      </c>
      <c r="I72" s="165">
        <f>IFERROR(VLOOKUP(H72,Списък!$B$3:$I$77,7,0),"")</f>
        <v>304</v>
      </c>
      <c r="J72" s="128" t="str">
        <f>VLOOKUP('Програма-кодове'!J14,Списък!$A$1:$B$209,2,FALSE)</f>
        <v>Трифонова</v>
      </c>
      <c r="K72" s="160">
        <f>IFERROR(VLOOKUP(J72,Списък!$B$3:$I$77,7,0),"")</f>
        <v>203</v>
      </c>
    </row>
    <row r="73" spans="1:11" ht="11.95" customHeight="1">
      <c r="A73" s="129">
        <v>7</v>
      </c>
      <c r="B73" s="128" t="str">
        <f>VLOOKUP('Програма-кодове'!F15,Списък!$A$1:$B$209,2,FALSE)</f>
        <v>Спасова</v>
      </c>
      <c r="C73" s="165" t="str">
        <f>IFERROR(VLOOKUP(B73,Списък!$B$3:$I$77,7,0),"")</f>
        <v>106, 103, 104, 205, 206</v>
      </c>
      <c r="D73" s="128" t="str">
        <f>VLOOKUP('Програма-кодове'!G15,Списък!$A$1:$B$209,2,FALSE)</f>
        <v>Пецова</v>
      </c>
      <c r="E73" s="165" t="str">
        <f>IFERROR(VLOOKUP(D73,Списък!$B$3:$I$77,7,0),"")</f>
        <v>102/105/111/112</v>
      </c>
      <c r="F73" s="128" t="str">
        <f>VLOOKUP('Програма-кодове'!H15,Списък!$A$1:$B$209,2,FALSE)</f>
        <v>Д. Николова</v>
      </c>
      <c r="G73" s="165">
        <f>IFERROR(VLOOKUP(F73,Списък!$B$3:$I$77,7,0),"")</f>
        <v>106</v>
      </c>
      <c r="H73" s="128" t="str">
        <f>VLOOKUP('Програма-кодове'!I15,Списък!$A$1:$B$209,2,FALSE)</f>
        <v>Гинева</v>
      </c>
      <c r="I73" s="165">
        <f>IFERROR(VLOOKUP(H73,Списък!$B$3:$I$77,7,0),"")</f>
        <v>102</v>
      </c>
      <c r="J73" s="128" t="str">
        <f>VLOOKUP('Програма-кодове'!J15,Списък!$A$1:$B$209,2,FALSE)</f>
        <v>Трифонова</v>
      </c>
      <c r="K73" s="160">
        <f>IFERROR(VLOOKUP(J73,Списък!$B$3:$I$77,7,0),"")</f>
        <v>203</v>
      </c>
    </row>
    <row r="74" spans="1:11" ht="6.05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1.95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1.95" customHeight="1">
      <c r="A76" s="129">
        <v>1</v>
      </c>
      <c r="B76" s="128" t="str">
        <f>VLOOKUP('Програма-кодове'!K9,Списък!$A$1:$B$209,2,FALSE)</f>
        <v>Кирилова/Тодорова</v>
      </c>
      <c r="C76" s="165" t="str">
        <f>IFERROR(VLOOKUP(B76,Списък!$B$3:$I$77,7,0),"")</f>
        <v>108/101-105</v>
      </c>
      <c r="D76" s="128" t="str">
        <f>VLOOKUP('Програма-кодове'!L9,Списък!$A$1:$B$209,2,FALSE)</f>
        <v>Сапунджиева</v>
      </c>
      <c r="E76" s="165">
        <f>IFERROR(VLOOKUP(D76,Списък!$B$3:$I$77,7,0),"")</f>
        <v>104</v>
      </c>
      <c r="F76" s="128" t="str">
        <f>VLOOKUP('Програма-кодове'!M9,Списък!$A$1:$B$209,2,FALSE)</f>
        <v>Кирилова/Тодорова</v>
      </c>
      <c r="G76" s="165" t="str">
        <f>IFERROR(VLOOKUP(F76,Списък!$B$3:$I$77,7,0),"")</f>
        <v>108/101-105</v>
      </c>
      <c r="H76" s="128" t="str">
        <f>VLOOKUP('Програма-кодове'!N9,Списък!$A$1:$B$209,2,FALSE)</f>
        <v>Минчева</v>
      </c>
      <c r="I76" s="165" t="str">
        <f>IFERROR(VLOOKUP(H76,Списък!$B$3:$I$77,7,0),"")</f>
        <v>212/214/215/217</v>
      </c>
      <c r="J76" s="128" t="str">
        <f>VLOOKUP('Програма-кодове'!O9,Списък!$A$1:$B$209,2,FALSE)</f>
        <v>В. Иванова</v>
      </c>
      <c r="K76" s="160">
        <f>IFERROR(VLOOKUP(J76,Списък!$B$3:$I$77,7,0),"")</f>
        <v>109</v>
      </c>
    </row>
    <row r="77" spans="1:11" ht="11.95" customHeight="1">
      <c r="A77" s="129">
        <v>2</v>
      </c>
      <c r="B77" s="128" t="str">
        <f>VLOOKUP('Програма-кодове'!K10,Списък!$A$1:$B$209,2,FALSE)</f>
        <v>Кирилова/Тодорова</v>
      </c>
      <c r="C77" s="165" t="str">
        <f>IFERROR(VLOOKUP(B77,Списък!$B$3:$I$77,7,0),"")</f>
        <v>108/101-105</v>
      </c>
      <c r="D77" s="128" t="str">
        <f>VLOOKUP('Програма-кодове'!L10,Списък!$A$1:$B$209,2,FALSE)</f>
        <v>Сапунджиева</v>
      </c>
      <c r="E77" s="165">
        <f>IFERROR(VLOOKUP(D77,Списък!$B$3:$I$77,7,0),"")</f>
        <v>104</v>
      </c>
      <c r="F77" s="128" t="str">
        <f>VLOOKUP('Програма-кодове'!M10,Списък!$A$1:$B$209,2,FALSE)</f>
        <v>Кирилова/Тодорова</v>
      </c>
      <c r="G77" s="165" t="str">
        <f>IFERROR(VLOOKUP(F77,Списък!$B$3:$I$77,7,0),"")</f>
        <v>108/101-105</v>
      </c>
      <c r="H77" s="128" t="str">
        <f>VLOOKUP('Програма-кодове'!N10,Списък!$A$1:$B$209,2,FALSE)</f>
        <v>Коларова</v>
      </c>
      <c r="I77" s="165" t="str">
        <f>IFERROR(VLOOKUP(H77,Списък!$B$3:$I$77,7,0),"")</f>
        <v>212/214/215/217</v>
      </c>
      <c r="J77" s="128" t="str">
        <f>VLOOKUP('Програма-кодове'!O10,Списък!$A$1:$B$209,2,FALSE)</f>
        <v>Минчева</v>
      </c>
      <c r="K77" s="160" t="str">
        <f>IFERROR(VLOOKUP(J77,Списък!$B$3:$I$77,7,0),"")</f>
        <v>212/214/215/217</v>
      </c>
    </row>
    <row r="78" spans="1:11" ht="11.95" customHeight="1">
      <c r="A78" s="129">
        <v>3</v>
      </c>
      <c r="B78" s="128" t="str">
        <f>VLOOKUP('Програма-кодове'!K11,Списък!$A$1:$B$209,2,FALSE)</f>
        <v>Стефанова</v>
      </c>
      <c r="C78" s="165" t="str">
        <f>IFERROR(VLOOKUP(B78,Списък!$B$3:$I$77,7,0),"")</f>
        <v>201/202/203/205/206</v>
      </c>
      <c r="D78" s="128" t="str">
        <f>VLOOKUP('Програма-кодове'!L11,Списък!$A$1:$B$209,2,FALSE)</f>
        <v>Даскалова/Тодорова</v>
      </c>
      <c r="E78" s="165" t="str">
        <f>IFERROR(VLOOKUP(D78,Списък!$B$3:$I$77,7,0),"")</f>
        <v>107-108/101-105</v>
      </c>
      <c r="F78" s="128" t="str">
        <f>VLOOKUP('Програма-кодове'!M11,Списък!$A$1:$B$209,2,FALSE)</f>
        <v>Минчева</v>
      </c>
      <c r="G78" s="165" t="str">
        <f>IFERROR(VLOOKUP(F78,Списък!$B$3:$I$77,7,0),"")</f>
        <v>212/214/215/217</v>
      </c>
      <c r="H78" s="128" t="str">
        <f>VLOOKUP('Програма-кодове'!N11,Списък!$A$1:$B$209,2,FALSE)</f>
        <v>Даскалова/Тодорова</v>
      </c>
      <c r="I78" s="165" t="str">
        <f>IFERROR(VLOOKUP(H78,Списък!$B$3:$I$77,7,0),"")</f>
        <v>107-108/101-105</v>
      </c>
      <c r="J78" s="128" t="str">
        <f>VLOOKUP('Програма-кодове'!O11,Списък!$A$1:$B$209,2,FALSE)</f>
        <v>Славова</v>
      </c>
      <c r="K78" s="160">
        <f>IFERROR(VLOOKUP(J78,Списък!$B$3:$I$77,7,0),"")</f>
        <v>114</v>
      </c>
    </row>
    <row r="79" spans="1:11" ht="11.95" customHeight="1">
      <c r="A79" s="129">
        <v>4</v>
      </c>
      <c r="B79" s="128" t="str">
        <f>VLOOKUP('Програма-кодове'!K12,Списък!$A$1:$B$209,2,FALSE)</f>
        <v>Стефанова</v>
      </c>
      <c r="C79" s="165" t="str">
        <f>IFERROR(VLOOKUP(B79,Списък!$B$3:$I$77,7,0),"")</f>
        <v>201/202/203/205/206</v>
      </c>
      <c r="D79" s="128" t="str">
        <f>VLOOKUP('Програма-кодове'!L12,Списък!$A$1:$B$209,2,FALSE)</f>
        <v>Даскалова/Тодорова</v>
      </c>
      <c r="E79" s="165" t="str">
        <f>IFERROR(VLOOKUP(D79,Списък!$B$3:$I$77,7,0),"")</f>
        <v>107-108/101-105</v>
      </c>
      <c r="F79" s="128" t="str">
        <f>VLOOKUP('Програма-кодове'!M12,Списък!$A$1:$B$209,2,FALSE)</f>
        <v>Сапунджиева</v>
      </c>
      <c r="G79" s="165">
        <f>IFERROR(VLOOKUP(F79,Списък!$B$3:$I$77,7,0),"")</f>
        <v>104</v>
      </c>
      <c r="H79" s="128" t="str">
        <f>VLOOKUP('Програма-кодове'!N12,Списък!$A$1:$B$209,2,FALSE)</f>
        <v>Даскалова/Тодорова</v>
      </c>
      <c r="I79" s="165" t="str">
        <f>IFERROR(VLOOKUP(H79,Списък!$B$3:$I$77,7,0),"")</f>
        <v>107-108/101-105</v>
      </c>
      <c r="J79" s="128" t="str">
        <f>VLOOKUP('Програма-кодове'!O12,Списък!$A$1:$B$209,2,FALSE)</f>
        <v>Трандев</v>
      </c>
      <c r="K79" s="160" t="str">
        <f>IFERROR(VLOOKUP(J79,Списък!$B$3:$I$77,7,0),"")</f>
        <v>ФС</v>
      </c>
    </row>
    <row r="80" spans="1:11" ht="11.95" customHeight="1">
      <c r="A80" s="129">
        <v>5</v>
      </c>
      <c r="B80" s="128" t="str">
        <f>VLOOKUP('Програма-кодове'!K13,Списък!$A$1:$B$209,2,FALSE)</f>
        <v>Козалиева</v>
      </c>
      <c r="C80" s="165" t="str">
        <f>IFERROR(VLOOKUP(B80,Списък!$B$3:$I$77,7,0),"")</f>
        <v>212/214/215/217</v>
      </c>
      <c r="D80" s="128" t="str">
        <f>VLOOKUP('Програма-кодове'!L13,Списък!$A$1:$B$209,2,FALSE)</f>
        <v>Никова</v>
      </c>
      <c r="E80" s="165">
        <f>IFERROR(VLOOKUP(D80,Списък!$B$3:$I$77,7,0),"")</f>
        <v>111</v>
      </c>
      <c r="F80" s="128" t="str">
        <f>VLOOKUP('Програма-кодове'!M13,Списък!$A$1:$B$209,2,FALSE)</f>
        <v>Сапунджиева</v>
      </c>
      <c r="G80" s="165">
        <f>IFERROR(VLOOKUP(F80,Списък!$B$3:$I$77,7,0),"")</f>
        <v>104</v>
      </c>
      <c r="H80" s="128" t="str">
        <f>VLOOKUP('Програма-кодове'!N13,Списък!$A$1:$B$209,2,FALSE)</f>
        <v>Киров</v>
      </c>
      <c r="I80" s="165" t="str">
        <f>IFERROR(VLOOKUP(H80,Списък!$B$3:$I$77,7,0),"")</f>
        <v>109/110/111/114/102/302</v>
      </c>
      <c r="J80" s="128" t="str">
        <f>VLOOKUP('Програма-кодове'!O13,Списък!$A$1:$B$209,2,FALSE)</f>
        <v>Коларова</v>
      </c>
      <c r="K80" s="160" t="str">
        <f>IFERROR(VLOOKUP(J80,Списък!$B$3:$I$77,7,0),"")</f>
        <v>212/214/215/217</v>
      </c>
    </row>
    <row r="81" spans="1:11" ht="11.95" customHeight="1">
      <c r="A81" s="129">
        <v>6</v>
      </c>
      <c r="B81" s="128" t="str">
        <f>VLOOKUP('Програма-кодове'!K14,Списък!$A$1:$B$209,2,FALSE)</f>
        <v>Киров</v>
      </c>
      <c r="C81" s="165" t="str">
        <f>IFERROR(VLOOKUP(B81,Списък!$B$3:$I$77,7,0),"")</f>
        <v>109/110/111/114/102/302</v>
      </c>
      <c r="D81" s="128" t="str">
        <f>VLOOKUP('Програма-кодове'!L14,Списък!$A$1:$B$209,2,FALSE)</f>
        <v>Козалиева</v>
      </c>
      <c r="E81" s="165" t="str">
        <f>IFERROR(VLOOKUP(D81,Списък!$B$3:$I$77,7,0),"")</f>
        <v>212/214/215/217</v>
      </c>
      <c r="F81" s="128" t="str">
        <f>VLOOKUP('Програма-кодове'!M14,Списък!$A$1:$B$209,2,FALSE)</f>
        <v>Славова</v>
      </c>
      <c r="G81" s="165">
        <f>IFERROR(VLOOKUP(F81,Списък!$B$3:$I$77,7,0),"")</f>
        <v>114</v>
      </c>
      <c r="H81" s="128" t="str">
        <f>VLOOKUP('Програма-кодове'!N14,Списък!$A$1:$B$209,2,FALSE)</f>
        <v>Стефанова</v>
      </c>
      <c r="I81" s="165" t="str">
        <f>IFERROR(VLOOKUP(H81,Списък!$B$3:$I$77,7,0),"")</f>
        <v>201/202/203/205/206</v>
      </c>
      <c r="J81" s="128" t="str">
        <f>VLOOKUP('Програма-кодове'!O14,Списък!$A$1:$B$209,2,FALSE)</f>
        <v>Сапунджиева</v>
      </c>
      <c r="K81" s="160">
        <f>IFERROR(VLOOKUP(J81,Списък!$B$3:$I$77,7,0),"")</f>
        <v>104</v>
      </c>
    </row>
    <row r="82" spans="1:11" ht="11.95" customHeight="1">
      <c r="A82" s="129">
        <v>7</v>
      </c>
      <c r="B82" s="128" t="str">
        <f>VLOOKUP('Програма-кодове'!K15,Списък!$A$1:$B$209,2,FALSE)</f>
        <v>Христонова/Янева</v>
      </c>
      <c r="C82" s="165" t="str">
        <f>IFERROR(VLOOKUP(B82,Списък!$B$3:$I$77,7,0),"")</f>
        <v>КК7/КК8</v>
      </c>
      <c r="D82" s="128" t="str">
        <f>VLOOKUP('Програма-кодове'!L15,Списък!$A$1:$B$209,2,FALSE)</f>
        <v>Костова</v>
      </c>
      <c r="E82" s="165" t="str">
        <f>IFERROR(VLOOKUP(D82,Списък!$B$3:$I$77,7,0),"")</f>
        <v>212/214/215/217</v>
      </c>
      <c r="F82" s="128" t="str">
        <f>VLOOKUP('Програма-кодове'!M15,Списък!$A$1:$B$209,2,FALSE)</f>
        <v>Трандев</v>
      </c>
      <c r="G82" s="165" t="str">
        <f>IFERROR(VLOOKUP(F82,Списък!$B$3:$I$77,7,0),"")</f>
        <v>ФС</v>
      </c>
      <c r="H82" s="128" t="str">
        <f>VLOOKUP('Програма-кодове'!N15,Списък!$A$1:$B$209,2,FALSE)</f>
        <v>Стефанова</v>
      </c>
      <c r="I82" s="165" t="str">
        <f>IFERROR(VLOOKUP(H82,Списък!$B$3:$I$77,7,0),"")</f>
        <v>201/202/203/205/206</v>
      </c>
      <c r="J82" s="128" t="str">
        <f>VLOOKUP('Програма-кодове'!O15,Списък!$A$1:$B$209,2,FALSE)</f>
        <v>Сапунджиева</v>
      </c>
      <c r="K82" s="160">
        <f>IFERROR(VLOOKUP(J82,Списък!$B$3:$I$77,7,0),"")</f>
        <v>104</v>
      </c>
    </row>
    <row r="83" spans="1:11" ht="6.05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1.95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1.95" customHeight="1">
      <c r="A85" s="129">
        <v>1</v>
      </c>
      <c r="B85" s="128" t="str">
        <f>VLOOKUP('Програма-кодове'!P9,Списък!$A$1:$B$209,2,FALSE)</f>
        <v>Влашинска</v>
      </c>
      <c r="C85" s="165" t="str">
        <f>IFERROR(VLOOKUP(B85,Списък!$B$3:$I$77,7,0),"")</f>
        <v>212/214/215/217</v>
      </c>
      <c r="D85" s="128" t="str">
        <f>VLOOKUP('Програма-кодове'!Q9,Списък!$A$1:$B$209,2,FALSE)</f>
        <v>Козалиева</v>
      </c>
      <c r="E85" s="165" t="str">
        <f>IFERROR(VLOOKUP(D85,Списък!$B$3:$I$77,7,0),"")</f>
        <v>212/214/215/217</v>
      </c>
      <c r="F85" s="128" t="str">
        <f>VLOOKUP('Програма-кодове'!R9,Списък!$A$1:$B$209,2,FALSE)</f>
        <v>Гюлева</v>
      </c>
      <c r="G85" s="165">
        <f>IFERROR(VLOOKUP(F85,Списък!$B$3:$I$77,7,0),"")</f>
        <v>204</v>
      </c>
      <c r="H85" s="128" t="str">
        <f>VLOOKUP('Програма-кодове'!S9,Списък!$A$1:$B$209,2,FALSE)</f>
        <v>Краева</v>
      </c>
      <c r="I85" s="165">
        <f>IFERROR(VLOOKUP(H85,Списък!$B$3:$I$77,7,0),"")</f>
        <v>306</v>
      </c>
      <c r="J85" s="155" t="str">
        <f>VLOOKUP('Програма-кодове'!T9,Списък!$A$1:$B$209,2,FALSE)</f>
        <v>Никова</v>
      </c>
      <c r="K85" s="199">
        <f>IFERROR(VLOOKUP(J85,Списък!$B$3:$I$77,7,0),"")</f>
        <v>111</v>
      </c>
    </row>
    <row r="86" spans="1:11" ht="11.95" customHeight="1">
      <c r="A86" s="129">
        <v>2</v>
      </c>
      <c r="B86" s="128" t="str">
        <f>VLOOKUP('Програма-кодове'!P10,Списък!$A$1:$B$209,2,FALSE)</f>
        <v>Краева</v>
      </c>
      <c r="C86" s="165">
        <f>IFERROR(VLOOKUP(B86,Списък!$B$3:$I$77,7,0),"")</f>
        <v>306</v>
      </c>
      <c r="D86" s="128" t="str">
        <f>VLOOKUP('Програма-кодове'!Q10,Списък!$A$1:$B$209,2,FALSE)</f>
        <v>Латева</v>
      </c>
      <c r="E86" s="165">
        <f>IFERROR(VLOOKUP(D86,Списък!$B$3:$I$77,7,0),"")</f>
        <v>110</v>
      </c>
      <c r="F86" s="128" t="str">
        <f>VLOOKUP('Програма-кодове'!R10,Списък!$A$1:$B$209,2,FALSE)</f>
        <v>Гюлева</v>
      </c>
      <c r="G86" s="165">
        <f>IFERROR(VLOOKUP(F86,Списък!$B$3:$I$77,7,0),"")</f>
        <v>204</v>
      </c>
      <c r="H86" s="128" t="str">
        <f>VLOOKUP('Програма-кодове'!S10,Списък!$A$1:$B$209,2,FALSE)</f>
        <v>Козалиева</v>
      </c>
      <c r="I86" s="165" t="str">
        <f>IFERROR(VLOOKUP(H86,Списък!$B$3:$I$77,7,0),"")</f>
        <v>212/214/215/217</v>
      </c>
      <c r="J86" s="128" t="str">
        <f>VLOOKUP('Програма-кодове'!T10,Списък!$A$1:$B$209,2,FALSE)</f>
        <v>Влашинска</v>
      </c>
      <c r="K86" s="160" t="str">
        <f>IFERROR(VLOOKUP(J86,Списък!$B$3:$I$77,7,0),"")</f>
        <v>212/214/215/217</v>
      </c>
    </row>
    <row r="87" spans="1:11" ht="11.95" customHeight="1">
      <c r="A87" s="129">
        <v>3</v>
      </c>
      <c r="B87" s="128" t="str">
        <f>VLOOKUP('Програма-кодове'!P11,Списък!$A$1:$B$209,2,FALSE)</f>
        <v>Козалиева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Тонева</v>
      </c>
      <c r="E87" s="165" t="str">
        <f>IFERROR(VLOOKUP(D87,Списък!$B$3:$I$77,7,0),"")</f>
        <v>ФС</v>
      </c>
      <c r="F87" s="128" t="str">
        <f>VLOOKUP('Програма-кодове'!R11,Списък!$A$1:$B$209,2,FALSE)</f>
        <v>Влашинска</v>
      </c>
      <c r="G87" s="165" t="str">
        <f>IFERROR(VLOOKUP(F87,Списък!$B$3:$I$77,7,0),"")</f>
        <v>212/214/215/217</v>
      </c>
      <c r="H87" s="128" t="str">
        <f>VLOOKUP('Програма-кодове'!S11,Списък!$A$1:$B$209,2,FALSE)</f>
        <v>Иванова</v>
      </c>
      <c r="I87" s="165">
        <f>IFERROR(VLOOKUP(H87,Списък!$B$3:$I$77,7,0),"")</f>
        <v>205</v>
      </c>
      <c r="J87" s="128" t="str">
        <f>VLOOKUP('Програма-кодове'!T11,Списък!$A$1:$B$209,2,FALSE)</f>
        <v>Кръстева</v>
      </c>
      <c r="K87" s="160">
        <f>IFERROR(VLOOKUP(J87,Списък!$B$3:$I$77,7,0),"")</f>
        <v>302</v>
      </c>
    </row>
    <row r="88" spans="1:11" ht="11.95" customHeight="1">
      <c r="A88" s="129">
        <v>4</v>
      </c>
      <c r="B88" s="128" t="str">
        <f>VLOOKUP('Програма-кодове'!P12,Списък!$A$1:$B$209,2,FALSE)</f>
        <v>Латева</v>
      </c>
      <c r="C88" s="165">
        <f>IFERROR(VLOOKUP(B88,Списък!$B$3:$I$77,7,0),"")</f>
        <v>110</v>
      </c>
      <c r="D88" s="128" t="str">
        <f>VLOOKUP('Програма-кодове'!Q12,Списък!$A$1:$B$209,2,FALSE)</f>
        <v>Гюлева</v>
      </c>
      <c r="E88" s="165">
        <f>IFERROR(VLOOKUP(D88,Списък!$B$3:$I$77,7,0),"")</f>
        <v>204</v>
      </c>
      <c r="F88" s="128" t="str">
        <f>VLOOKUP('Програма-кодове'!R12,Списък!$A$1:$B$209,2,FALSE)</f>
        <v>Козалиева</v>
      </c>
      <c r="G88" s="165" t="str">
        <f>IFERROR(VLOOKUP(F88,Списък!$B$3:$I$77,7,0),"")</f>
        <v>212/214/215/217</v>
      </c>
      <c r="H88" s="128" t="str">
        <f>VLOOKUP('Програма-кодове'!S12,Списък!$A$1:$B$209,2,FALSE)</f>
        <v>Иванова</v>
      </c>
      <c r="I88" s="165">
        <f>IFERROR(VLOOKUP(H88,Списък!$B$3:$I$77,7,0),"")</f>
        <v>205</v>
      </c>
      <c r="J88" s="128" t="str">
        <f>VLOOKUP('Програма-кодове'!T12,Списък!$A$1:$B$209,2,FALSE)</f>
        <v>Коларова</v>
      </c>
      <c r="K88" s="160" t="str">
        <f>IFERROR(VLOOKUP(J88,Списък!$B$3:$I$77,7,0),"")</f>
        <v>212/214/215/217</v>
      </c>
    </row>
    <row r="89" spans="1:11" ht="11.95" customHeight="1">
      <c r="A89" s="129">
        <v>5</v>
      </c>
      <c r="B89" s="128" t="str">
        <f>VLOOKUP('Програма-кодове'!P13,Списък!$A$1:$B$209,2,FALSE)</f>
        <v>Петров</v>
      </c>
      <c r="C89" s="165">
        <f>IFERROR(VLOOKUP(B89,Списък!$B$3:$I$77,7,0),"")</f>
        <v>112</v>
      </c>
      <c r="D89" s="128" t="str">
        <f>VLOOKUP('Програма-кодове'!Q13,Списък!$A$1:$B$209,2,FALSE)</f>
        <v>Гюлева</v>
      </c>
      <c r="E89" s="165">
        <f>IFERROR(VLOOKUP(D89,Списък!$B$3:$I$77,7,0),"")</f>
        <v>204</v>
      </c>
      <c r="F89" s="128" t="str">
        <f>VLOOKUP('Програма-кодове'!R13,Списък!$A$1:$B$209,2,FALSE)</f>
        <v>Иванова</v>
      </c>
      <c r="G89" s="165">
        <f>IFERROR(VLOOKUP(F89,Списък!$B$3:$I$77,7,0),"")</f>
        <v>205</v>
      </c>
      <c r="H89" s="128" t="str">
        <f>VLOOKUP('Програма-кодове'!S13,Списък!$A$1:$B$209,2,FALSE)</f>
        <v>Влашинска</v>
      </c>
      <c r="I89" s="165" t="str">
        <f>IFERROR(VLOOKUP(H89,Списък!$B$3:$I$77,7,0),"")</f>
        <v>212/214/215/217</v>
      </c>
      <c r="J89" s="128" t="str">
        <f>VLOOKUP('Програма-кодове'!T13,Списък!$A$1:$B$209,2,FALSE)</f>
        <v>Латева</v>
      </c>
      <c r="K89" s="160">
        <f>IFERROR(VLOOKUP(J89,Списък!$B$3:$I$77,7,0),"")</f>
        <v>110</v>
      </c>
    </row>
    <row r="90" spans="1:11" ht="11.95" customHeight="1">
      <c r="A90" s="129">
        <v>6</v>
      </c>
      <c r="B90" s="128" t="str">
        <f>VLOOKUP('Програма-кодове'!P14,Списък!$A$1:$B$209,2,FALSE)</f>
        <v>Гюлева</v>
      </c>
      <c r="C90" s="165">
        <f>IFERROR(VLOOKUP(B90,Списък!$B$3:$I$77,7,0),"")</f>
        <v>204</v>
      </c>
      <c r="D90" s="128" t="str">
        <f>VLOOKUP('Програма-кодове'!Q14,Списък!$A$1:$B$209,2,FALSE)</f>
        <v>Влашинска</v>
      </c>
      <c r="E90" s="165" t="str">
        <f>IFERROR(VLOOKUP(D90,Списък!$B$3:$I$77,7,0),"")</f>
        <v>212/214/215/217</v>
      </c>
      <c r="F90" s="128" t="str">
        <f>VLOOKUP('Програма-кодове'!R14,Списък!$A$1:$B$209,2,FALSE)</f>
        <v>Иванова</v>
      </c>
      <c r="G90" s="165">
        <f>IFERROR(VLOOKUP(F90,Списък!$B$3:$I$77,7,0),"")</f>
        <v>205</v>
      </c>
      <c r="H90" s="128" t="str">
        <f>VLOOKUP('Програма-кодове'!S14,Списък!$A$1:$B$209,2,FALSE)</f>
        <v>Латева</v>
      </c>
      <c r="I90" s="165">
        <f>IFERROR(VLOOKUP(H90,Списък!$B$3:$I$77,7,0),"")</f>
        <v>110</v>
      </c>
      <c r="J90" s="128" t="str">
        <f>VLOOKUP('Програма-кодове'!T14,Списък!$A$1:$B$209,2,FALSE)</f>
        <v>Петров</v>
      </c>
      <c r="K90" s="160">
        <f>IFERROR(VLOOKUP(J90,Списък!$B$3:$I$77,7,0),"")</f>
        <v>112</v>
      </c>
    </row>
    <row r="91" spans="1:11" ht="11.95" customHeight="1">
      <c r="A91" s="129">
        <v>7</v>
      </c>
      <c r="B91" s="128" t="str">
        <f>VLOOKUP('Програма-кодове'!P15,Списък!$A$1:$B$209,2,FALSE)</f>
        <v>Гюлева</v>
      </c>
      <c r="C91" s="165">
        <f>IFERROR(VLOOKUP(B91,Списък!$B$3:$I$77,7,0),"")</f>
        <v>204</v>
      </c>
      <c r="D91" s="128" t="str">
        <f>VLOOKUP('Програма-кодове'!Q15,Списък!$A$1:$B$209,2,FALSE)</f>
        <v>Мерджанова</v>
      </c>
      <c r="E91" s="165">
        <f>IFERROR(VLOOKUP(D91,Списък!$B$3:$I$77,7,0),"")</f>
        <v>304</v>
      </c>
      <c r="F91" s="128" t="str">
        <f>VLOOKUP('Програма-кодове'!R15,Списък!$A$1:$B$209,2,FALSE)</f>
        <v>Латева</v>
      </c>
      <c r="G91" s="165">
        <f>IFERROR(VLOOKUP(F91,Списък!$B$3:$I$77,7,0),"")</f>
        <v>110</v>
      </c>
      <c r="H91" s="128" t="str">
        <f>VLOOKUP('Програма-кодове'!S15,Списък!$A$1:$B$209,2,FALSE)</f>
        <v>Петров</v>
      </c>
      <c r="I91" s="165">
        <f>IFERROR(VLOOKUP(H91,Списък!$B$3:$I$77,7,0),"")</f>
        <v>112</v>
      </c>
      <c r="J91" s="128" t="str">
        <f>VLOOKUP('Програма-кодове'!T15,Списък!$A$1:$B$209,2,FALSE)</f>
        <v>Козалиева</v>
      </c>
      <c r="K91" s="160" t="str">
        <f>IFERROR(VLOOKUP(J91,Списък!$B$3:$I$77,7,0),"")</f>
        <v>212/214/215/217</v>
      </c>
    </row>
    <row r="92" spans="1:11" ht="2.95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1.95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1.95" customHeight="1">
      <c r="A94" s="129">
        <v>1</v>
      </c>
      <c r="B94" s="128" t="str">
        <f>VLOOKUP('Програма-кодове'!U9,Списък!$A$1:$B$209,2,FALSE)</f>
        <v>Славова</v>
      </c>
      <c r="C94" s="165">
        <f>IFERROR(VLOOKUP(B94,Списък!$B$3:$I$77,7,0),"")</f>
        <v>114</v>
      </c>
      <c r="D94" s="128" t="str">
        <f>VLOOKUP('Програма-кодове'!V9,Списък!$A$1:$B$209,2,FALSE)</f>
        <v>Кръстева</v>
      </c>
      <c r="E94" s="165">
        <f>IFERROR(VLOOKUP(D94,Списък!$B$3:$I$77,7,0),"")</f>
        <v>302</v>
      </c>
      <c r="F94" s="128" t="str">
        <f>VLOOKUP('Програма-кодове'!W9,Списък!$A$1:$B$209,2,FALSE)</f>
        <v>Киркова/К. Петрова</v>
      </c>
      <c r="G94" s="165" t="str">
        <f>IFERROR(VLOOKUP(F94,Списък!$B$3:$I$77,7,0),"")</f>
        <v>КК7/КК1</v>
      </c>
      <c r="H94" s="128" t="str">
        <f>VLOOKUP('Програма-кодове'!X9,Списък!$A$1:$B$209,2,FALSE)</f>
        <v>Вълчева</v>
      </c>
      <c r="I94" s="165">
        <f>IFERROR(VLOOKUP(H94,Списък!$B$3:$I$77,7,0),"")</f>
        <v>201</v>
      </c>
      <c r="J94" s="128" t="str">
        <f>VLOOKUP('Програма-кодове'!Y9,Списък!$A$1:$B$209,2,FALSE)</f>
        <v>Петров ФВС</v>
      </c>
      <c r="K94" s="160" t="str">
        <f>IFERROR(VLOOKUP(J94,Списък!$B$3:$I$77,7,0),"")</f>
        <v>ФС</v>
      </c>
    </row>
    <row r="95" spans="1:11" ht="11.95" customHeight="1">
      <c r="A95" s="129">
        <v>2</v>
      </c>
      <c r="B95" s="128" t="str">
        <f>VLOOKUP('Програма-кодове'!U10,Списък!$A$1:$B$209,2,FALSE)</f>
        <v>Вълчева</v>
      </c>
      <c r="C95" s="165">
        <f>IFERROR(VLOOKUP(B95,Списък!$B$3:$I$77,7,0),"")</f>
        <v>201</v>
      </c>
      <c r="D95" s="128" t="str">
        <f>VLOOKUP('Програма-кодове'!V10,Списък!$A$1:$B$209,2,FALSE)</f>
        <v>Ю. Делчева</v>
      </c>
      <c r="E95" s="165" t="str">
        <f>IFERROR(VLOOKUP(D95,Списък!$B$3:$I$77,7,0),"")</f>
        <v>212/214/215/217</v>
      </c>
      <c r="F95" s="128" t="str">
        <f>VLOOKUP('Програма-кодове'!W10,Списък!$A$1:$B$209,2,FALSE)</f>
        <v>Кръстева</v>
      </c>
      <c r="G95" s="165">
        <f>IFERROR(VLOOKUP(F95,Списък!$B$3:$I$77,7,0),"")</f>
        <v>302</v>
      </c>
      <c r="H95" s="128" t="str">
        <f>VLOOKUP('Програма-кодове'!X10,Списък!$A$1:$B$209,2,FALSE)</f>
        <v>Киркова/К. Петрова</v>
      </c>
      <c r="I95" s="165" t="str">
        <f>IFERROR(VLOOKUP(H95,Списък!$B$3:$I$77,7,0),"")</f>
        <v>КК7/КК1</v>
      </c>
      <c r="J95" s="128" t="str">
        <f>VLOOKUP('Програма-кодове'!Y10,Списък!$A$1:$B$209,2,FALSE)</f>
        <v>Славова</v>
      </c>
      <c r="K95" s="160">
        <f>IFERROR(VLOOKUP(J95,Списък!$B$3:$I$77,7,0),"")</f>
        <v>114</v>
      </c>
    </row>
    <row r="96" spans="1:11" ht="11.95" customHeight="1">
      <c r="A96" s="129">
        <v>3</v>
      </c>
      <c r="B96" s="128" t="str">
        <f>VLOOKUP('Програма-кодове'!U11,Списък!$A$1:$B$209,2,FALSE)</f>
        <v>Ю. Делчева</v>
      </c>
      <c r="C96" s="165" t="str">
        <f>IFERROR(VLOOKUP(B96,Списък!$B$3:$I$77,7,0),"")</f>
        <v>212/214/215/217</v>
      </c>
      <c r="D96" s="128" t="str">
        <f>VLOOKUP('Програма-кодове'!V11,Списък!$A$1:$B$209,2,FALSE)</f>
        <v>Киркова/К. Петрова</v>
      </c>
      <c r="E96" s="165" t="str">
        <f>IFERROR(VLOOKUP(D96,Списък!$B$3:$I$77,7,0),"")</f>
        <v>КК7/КК1</v>
      </c>
      <c r="F96" s="128" t="str">
        <f>VLOOKUP('Програма-кодове'!W11,Списък!$A$1:$B$209,2,FALSE)</f>
        <v>Коларова</v>
      </c>
      <c r="G96" s="165" t="str">
        <f>IFERROR(VLOOKUP(F96,Списък!$B$3:$I$77,7,0),"")</f>
        <v>212/214/215/217</v>
      </c>
      <c r="H96" s="128" t="str">
        <f>VLOOKUP('Програма-кодове'!X11,Списък!$A$1:$B$209,2,FALSE)</f>
        <v>Кирилова</v>
      </c>
      <c r="I96" s="165" t="str">
        <f>IFERROR(VLOOKUP(H96,Списък!$B$3:$I$77,7,0),"")</f>
        <v>107/108</v>
      </c>
      <c r="J96" s="128" t="str">
        <f>VLOOKUP('Програма-кодове'!Y11,Списък!$A$1:$B$209,2,FALSE)</f>
        <v>В. Иванова</v>
      </c>
      <c r="K96" s="160">
        <f>IFERROR(VLOOKUP(J96,Списък!$B$3:$I$77,7,0),"")</f>
        <v>109</v>
      </c>
    </row>
    <row r="97" spans="1:12" ht="11.95" customHeight="1">
      <c r="A97" s="129">
        <v>4</v>
      </c>
      <c r="B97" s="128" t="str">
        <f>VLOOKUP('Програма-кодове'!U12,Списък!$A$1:$B$209,2,FALSE)</f>
        <v>Киркова/К. Петрова</v>
      </c>
      <c r="C97" s="165" t="str">
        <f>IFERROR(VLOOKUP(B97,Списък!$B$3:$I$77,7,0),"")</f>
        <v>КК7/КК1</v>
      </c>
      <c r="D97" s="128" t="str">
        <f>VLOOKUP('Програма-кодове'!V12,Списък!$A$1:$B$209,2,FALSE)</f>
        <v>Вълчева</v>
      </c>
      <c r="E97" s="165">
        <f>IFERROR(VLOOKUP(D97,Списък!$B$3:$I$77,7,0),"")</f>
        <v>201</v>
      </c>
      <c r="F97" s="128" t="str">
        <f>VLOOKUP('Програма-кодове'!W12,Списък!$A$1:$B$209,2,FALSE)</f>
        <v>В. Иванова</v>
      </c>
      <c r="G97" s="165">
        <f>IFERROR(VLOOKUP(F97,Списък!$B$3:$I$77,7,0),"")</f>
        <v>109</v>
      </c>
      <c r="H97" s="128" t="str">
        <f>VLOOKUP('Програма-кодове'!X12,Списък!$A$1:$B$209,2,FALSE)</f>
        <v>Данева</v>
      </c>
      <c r="I97" s="165">
        <f>IFERROR(VLOOKUP(H97,Списък!$B$3:$I$77,7,0),"")</f>
        <v>101</v>
      </c>
      <c r="J97" s="128" t="str">
        <f>VLOOKUP('Програма-кодове'!Y12,Списък!$A$1:$B$209,2,FALSE)</f>
        <v>Костова</v>
      </c>
      <c r="K97" s="160" t="str">
        <f>IFERROR(VLOOKUP(J97,Списък!$B$3:$I$77,7,0),"")</f>
        <v>212/214/215/217</v>
      </c>
    </row>
    <row r="98" spans="1:12" ht="11.95" customHeight="1">
      <c r="A98" s="129">
        <v>5</v>
      </c>
      <c r="B98" s="128" t="str">
        <f>VLOOKUP('Програма-кодове'!U13,Списък!$A$1:$B$209,2,FALSE)</f>
        <v>Клисарова</v>
      </c>
      <c r="C98" s="165">
        <f>IFERROR(VLOOKUP(B98,Списък!$B$3:$I$77,7,0),"")</f>
        <v>305</v>
      </c>
      <c r="D98" s="128" t="str">
        <f>VLOOKUP('Програма-кодове'!V13,Списък!$A$1:$B$209,2,FALSE)</f>
        <v>В. Иванова</v>
      </c>
      <c r="E98" s="165">
        <f>IFERROR(VLOOKUP(D98,Списък!$B$3:$I$77,7,0),"")</f>
        <v>109</v>
      </c>
      <c r="F98" s="128" t="str">
        <f>VLOOKUP('Програма-кодове'!W13,Списък!$A$1:$B$209,2,FALSE)</f>
        <v>Славова</v>
      </c>
      <c r="G98" s="165">
        <f>IFERROR(VLOOKUP(F98,Списък!$B$3:$I$77,7,0),"")</f>
        <v>114</v>
      </c>
      <c r="H98" s="128" t="str">
        <f>VLOOKUP('Програма-кодове'!X13,Списък!$A$1:$B$209,2,FALSE)</f>
        <v>Данева</v>
      </c>
      <c r="I98" s="165">
        <f>IFERROR(VLOOKUP(H98,Списък!$B$3:$I$77,7,0),"")</f>
        <v>101</v>
      </c>
      <c r="J98" s="128" t="str">
        <f>VLOOKUP('Програма-кодове'!Y13,Списък!$A$1:$B$209,2,FALSE)</f>
        <v>Костова</v>
      </c>
      <c r="K98" s="160" t="str">
        <f>IFERROR(VLOOKUP(J98,Списък!$B$3:$I$77,7,0),"")</f>
        <v>212/214/215/217</v>
      </c>
    </row>
    <row r="99" spans="1:12" ht="11.95" customHeight="1">
      <c r="A99" s="129">
        <v>6</v>
      </c>
      <c r="B99" s="128" t="str">
        <f>VLOOKUP('Програма-кодове'!U14,Списък!$A$1:$B$209,2,FALSE)</f>
        <v>Трандев</v>
      </c>
      <c r="C99" s="165" t="str">
        <f>IFERROR(VLOOKUP(B99,Списък!$B$3:$I$77,7,0),"")</f>
        <v>ФС</v>
      </c>
      <c r="D99" s="128" t="str">
        <f>VLOOKUP('Програма-кодове'!V14,Списък!$A$1:$B$209,2,FALSE)</f>
        <v>Габарова</v>
      </c>
      <c r="E99" s="165">
        <f>IFERROR(VLOOKUP(D99,Списък!$B$3:$I$77,7,0),"")</f>
        <v>206</v>
      </c>
      <c r="F99" s="128" t="str">
        <f>VLOOKUP('Програма-кодове'!W14,Списък!$A$1:$B$209,2,FALSE)</f>
        <v>Данева</v>
      </c>
      <c r="G99" s="165">
        <f>IFERROR(VLOOKUP(F99,Списък!$B$3:$I$77,7,0),"")</f>
        <v>101</v>
      </c>
      <c r="H99" s="128" t="str">
        <f>VLOOKUP('Програма-кодове'!X14,Списък!$A$1:$B$209,2,FALSE)</f>
        <v>В. Иванова</v>
      </c>
      <c r="I99" s="165">
        <f>IFERROR(VLOOKUP(H99,Списък!$B$3:$I$77,7,0),"")</f>
        <v>109</v>
      </c>
      <c r="J99" s="128" t="str">
        <f>VLOOKUP('Програма-кодове'!Y14,Списък!$A$1:$B$209,2,FALSE)</f>
        <v>Коларова</v>
      </c>
      <c r="K99" s="160" t="str">
        <f>IFERROR(VLOOKUP(J99,Списък!$B$3:$I$77,7,0),"")</f>
        <v>212/214/215/217</v>
      </c>
    </row>
    <row r="100" spans="1:12" ht="11.95" customHeight="1">
      <c r="A100" s="129">
        <v>7</v>
      </c>
      <c r="B100" s="128" t="str">
        <f>VLOOKUP('Програма-кодове'!U15,Списък!$A$1:$B$209,2,FALSE)</f>
        <v>В. Иванова</v>
      </c>
      <c r="C100" s="165">
        <f>IFERROR(VLOOKUP(B100,Списък!$B$3:$I$77,7,0),"")</f>
        <v>109</v>
      </c>
      <c r="D100" s="128" t="str">
        <f>VLOOKUP('Програма-кодове'!V15,Списък!$A$1:$B$209,2,FALSE)</f>
        <v>Габарова</v>
      </c>
      <c r="E100" s="165">
        <f>IFERROR(VLOOKUP(D100,Списък!$B$3:$I$77,7,0),"")</f>
        <v>206</v>
      </c>
      <c r="F100" s="128" t="str">
        <f>VLOOKUP('Програма-кодове'!W15,Списък!$A$1:$B$209,2,FALSE)</f>
        <v>Данева</v>
      </c>
      <c r="G100" s="165">
        <f>IFERROR(VLOOKUP(F100,Списък!$B$3:$I$77,7,0),"")</f>
        <v>101</v>
      </c>
      <c r="H100" s="128" t="str">
        <f>VLOOKUP('Програма-кодове'!X15,Списък!$A$1:$B$209,2,FALSE)</f>
        <v>Славова</v>
      </c>
      <c r="I100" s="165">
        <f>IFERROR(VLOOKUP(H100,Списък!$B$3:$I$77,7,0),"")</f>
        <v>114</v>
      </c>
      <c r="J100" s="128" t="str">
        <f>VLOOKUP('Програма-кодове'!Y15,Списък!$A$1:$B$209,2,FALSE)</f>
        <v>Клисарова</v>
      </c>
      <c r="K100" s="160">
        <f>IFERROR(VLOOKUP(J100,Списък!$B$3:$I$77,7,0),"")</f>
        <v>305</v>
      </c>
    </row>
    <row r="101" spans="1:12" ht="6.05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1.95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Христонова/Цветков</v>
      </c>
      <c r="C103" s="160" t="str">
        <f>IFERROR(VLOOKUP(B103,Списък!$B$3:$I$77,7,0),"")</f>
        <v>КК4/КК6</v>
      </c>
      <c r="D103" s="128" t="str">
        <f>VLOOKUP('Програма-кодове'!AA9,Списък!$A$1:$B$209,2,FALSE)</f>
        <v>Конгалов</v>
      </c>
      <c r="E103" s="165" t="str">
        <f>IFERROR(VLOOKUP(D103,Списък!$B$3:$I$77,7,0),"")</f>
        <v>ФС</v>
      </c>
      <c r="F103" s="128" t="str">
        <f>VLOOKUP('Програма-кодове'!AB9,Списък!$A$1:$B$209,2,FALSE)</f>
        <v>Попова</v>
      </c>
      <c r="G103" s="160" t="str">
        <f>IFERROR(VLOOKUP(F103,Списък!$B$3:$I$77,7,0),"")</f>
        <v>212/214/215/217</v>
      </c>
      <c r="H103" s="128" t="str">
        <f>VLOOKUP('Програма-кодове'!AC9,Списък!$A$1:$B$209,2,FALSE)</f>
        <v>Батимов</v>
      </c>
      <c r="I103" s="160">
        <f>IFERROR(VLOOKUP(H103,Списък!$B$3:$I$77,7,0),"")</f>
        <v>303</v>
      </c>
      <c r="J103" s="18" t="str">
        <f>VLOOKUP('Програма-кодове'!AD9,Списък!$A$1:$B$209,2,FALSE)</f>
        <v>Чанкова</v>
      </c>
      <c r="K103" s="160">
        <f>IFERROR(VLOOKUP(J103,Списък!$B$3:$I$77,7,0),"")</f>
        <v>105</v>
      </c>
    </row>
    <row r="104" spans="1:12">
      <c r="A104" s="129">
        <v>2</v>
      </c>
      <c r="B104" s="128" t="str">
        <f>VLOOKUP('Програма-кодове'!Z10,Списък!$A$1:$B$209,2,FALSE)</f>
        <v>Батимов</v>
      </c>
      <c r="C104" s="160">
        <f>IFERROR(VLOOKUP(B104,Списък!$B$3:$I$77,7,0),"")</f>
        <v>303</v>
      </c>
      <c r="D104" s="128" t="str">
        <f>VLOOKUP('Програма-кодове'!AA10,Списък!$A$1:$B$209,2,FALSE)</f>
        <v>Христонова/Цветков</v>
      </c>
      <c r="E104" s="165" t="str">
        <f>IFERROR(VLOOKUP(D104,Списък!$B$3:$I$77,7,0),"")</f>
        <v>КК4/КК6</v>
      </c>
      <c r="F104" s="128" t="str">
        <f>VLOOKUP('Програма-кодове'!AB10,Списък!$A$1:$B$209,2,FALSE)</f>
        <v>Киров</v>
      </c>
      <c r="G104" s="160" t="str">
        <f>IFERROR(VLOOKUP(F104,Списък!$B$3:$I$77,7,0),"")</f>
        <v>109/110/111/114/102/302</v>
      </c>
      <c r="H104" s="128" t="str">
        <f>VLOOKUP('Програма-кодове'!AC10,Списък!$A$1:$B$209,2,FALSE)</f>
        <v>Конгалов</v>
      </c>
      <c r="I104" s="160" t="str">
        <f>IFERROR(VLOOKUP(H104,Списък!$B$3:$I$77,7,0),"")</f>
        <v>ФС</v>
      </c>
      <c r="J104" s="18" t="str">
        <f>VLOOKUP('Програма-кодове'!AD10,Списък!$A$1:$B$209,2,FALSE)</f>
        <v>Чанкова</v>
      </c>
      <c r="K104" s="160">
        <f>IFERROR(VLOOKUP(J104,Списък!$B$3:$I$77,7,0),"")</f>
        <v>105</v>
      </c>
    </row>
    <row r="105" spans="1:12">
      <c r="A105" s="129">
        <v>3</v>
      </c>
      <c r="B105" s="128" t="str">
        <f>VLOOKUP('Програма-кодове'!Z11,Списък!$A$1:$B$209,2,FALSE)</f>
        <v>Батимов</v>
      </c>
      <c r="C105" s="160">
        <f>IFERROR(VLOOKUP(B105,Списък!$B$3:$I$77,7,0),"")</f>
        <v>303</v>
      </c>
      <c r="D105" s="128" t="str">
        <f>VLOOKUP('Програма-кодове'!AA11,Списък!$A$1:$B$209,2,FALSE)</f>
        <v>Киров</v>
      </c>
      <c r="E105" s="165" t="str">
        <f>IFERROR(VLOOKUP(D105,Списък!$B$3:$I$77,7,0),"")</f>
        <v>109/110/111/114/102/302</v>
      </c>
      <c r="F105" s="128" t="str">
        <f>VLOOKUP('Програма-кодове'!AB11,Списък!$A$1:$B$209,2,FALSE)</f>
        <v>Конгалов</v>
      </c>
      <c r="G105" s="160" t="str">
        <f>IFERROR(VLOOKUP(F105,Списък!$B$3:$I$77,7,0),"")</f>
        <v>ФС</v>
      </c>
      <c r="H105" s="128" t="str">
        <f>VLOOKUP('Програма-кодове'!AC11,Списък!$A$1:$B$209,2,FALSE)</f>
        <v>Христонова/Цветков</v>
      </c>
      <c r="I105" s="160" t="str">
        <f>IFERROR(VLOOKUP(H105,Списък!$B$3:$I$77,7,0),"")</f>
        <v>КК4/КК6</v>
      </c>
      <c r="J105" s="18" t="str">
        <f>VLOOKUP('Програма-кодове'!AD11,Списък!$A$1:$B$209,2,FALSE)</f>
        <v>Гочева</v>
      </c>
      <c r="K105" s="160">
        <f>IFERROR(VLOOKUP(J105,Списък!$B$3:$I$77,7,0),"")</f>
        <v>301</v>
      </c>
    </row>
    <row r="106" spans="1:12" ht="12.8" customHeight="1">
      <c r="A106" s="129">
        <v>4</v>
      </c>
      <c r="B106" s="128" t="str">
        <f>VLOOKUP('Програма-кодове'!Z12,Списък!$A$1:$B$209,2,FALSE)</f>
        <v>Попова</v>
      </c>
      <c r="C106" s="160" t="str">
        <f>IFERROR(VLOOKUP(B106,Списък!$B$3:$I$77,7,0),"")</f>
        <v>212/214/215/217</v>
      </c>
      <c r="D106" s="128" t="str">
        <f>VLOOKUP('Програма-кодове'!AA12,Списък!$A$1:$B$209,2,FALSE)</f>
        <v>Гочева</v>
      </c>
      <c r="E106" s="165">
        <f>IFERROR(VLOOKUP(D106,Списък!$B$3:$I$77,7,0),"")</f>
        <v>301</v>
      </c>
      <c r="F106" s="128" t="str">
        <f>VLOOKUP('Програма-кодове'!AB12,Списък!$A$1:$B$209,2,FALSE)</f>
        <v>Христонова/Цветков</v>
      </c>
      <c r="G106" s="160" t="str">
        <f>IFERROR(VLOOKUP(F106,Списък!$B$3:$I$77,7,0),"")</f>
        <v>КК4/КК6</v>
      </c>
      <c r="H106" s="128" t="str">
        <f>VLOOKUP('Програма-кодове'!AC12,Списък!$A$1:$B$209,2,FALSE)</f>
        <v>Чанкова</v>
      </c>
      <c r="I106" s="160">
        <f>IFERROR(VLOOKUP(H106,Списък!$B$3:$I$77,7,0),"")</f>
        <v>105</v>
      </c>
      <c r="J106" s="18" t="str">
        <f>VLOOKUP('Програма-кодове'!AD12,Списък!$A$1:$B$209,2,FALSE)</f>
        <v>Н. Николова</v>
      </c>
      <c r="K106" s="160">
        <f>IFERROR(VLOOKUP(J106,Списък!$B$3:$I$77,7,0),"")</f>
        <v>202</v>
      </c>
    </row>
    <row r="107" spans="1:12">
      <c r="A107" s="129">
        <v>5</v>
      </c>
      <c r="B107" s="128" t="str">
        <f>VLOOKUP('Програма-кодове'!Z13,Списък!$A$1:$B$209,2,FALSE)</f>
        <v>Конгалов</v>
      </c>
      <c r="C107" s="160" t="str">
        <f>IFERROR(VLOOKUP(B107,Списък!$B$3:$I$77,7,0),"")</f>
        <v>ФС</v>
      </c>
      <c r="D107" s="128" t="str">
        <f>VLOOKUP('Програма-кодове'!AA13,Списък!$A$1:$B$209,2,FALSE)</f>
        <v>Гочева</v>
      </c>
      <c r="E107" s="165">
        <f>IFERROR(VLOOKUP(D107,Списък!$B$3:$I$77,7,0),"")</f>
        <v>301</v>
      </c>
      <c r="F107" s="128" t="str">
        <f>VLOOKUP('Програма-кодове'!AB13,Списък!$A$1:$B$209,2,FALSE)</f>
        <v>Чанкова</v>
      </c>
      <c r="G107" s="160">
        <f>IFERROR(VLOOKUP(F107,Списък!$B$3:$I$77,7,0),"")</f>
        <v>105</v>
      </c>
      <c r="H107" s="128" t="str">
        <f>VLOOKUP('Програма-кодове'!AC13,Списък!$A$1:$B$209,2,FALSE)</f>
        <v>Попова</v>
      </c>
      <c r="I107" s="160" t="str">
        <f>IFERROR(VLOOKUP(H107,Списък!$B$3:$I$77,7,0),"")</f>
        <v>212/214/215/217</v>
      </c>
      <c r="J107" s="18" t="str">
        <f>VLOOKUP('Програма-кодове'!AD13,Списък!$A$1:$B$209,2,FALSE)</f>
        <v>Н. Николова</v>
      </c>
      <c r="K107" s="160">
        <f>IFERROR(VLOOKUP(J107,Списък!$B$3:$I$77,7,0),"")</f>
        <v>202</v>
      </c>
    </row>
    <row r="108" spans="1:12">
      <c r="A108" s="129">
        <v>6</v>
      </c>
      <c r="B108" s="128" t="str">
        <f>VLOOKUP('Програма-кодове'!Z14,Списък!$A$1:$B$209,2,FALSE)</f>
        <v>Чанкова</v>
      </c>
      <c r="C108" s="160">
        <f>IFERROR(VLOOKUP(B108,Списък!$B$3:$I$77,7,0),"")</f>
        <v>105</v>
      </c>
      <c r="D108" s="128" t="str">
        <f>VLOOKUP('Програма-кодове'!AA14,Списък!$A$1:$B$209,2,FALSE)</f>
        <v>Попова</v>
      </c>
      <c r="E108" s="165" t="str">
        <f>IFERROR(VLOOKUP(D108,Списък!$B$3:$I$77,7,0),"")</f>
        <v>212/214/215/217</v>
      </c>
      <c r="F108" s="128" t="str">
        <f>VLOOKUP('Програма-кодове'!AB14,Списък!$A$1:$B$209,2,FALSE)</f>
        <v>Гочева</v>
      </c>
      <c r="G108" s="160">
        <f>IFERROR(VLOOKUP(F108,Списък!$B$3:$I$77,7,0),"")</f>
        <v>301</v>
      </c>
      <c r="H108" s="128" t="str">
        <f>VLOOKUP('Програма-кодове'!AC14,Списък!$A$1:$B$209,2,FALSE)</f>
        <v>Н. Николова</v>
      </c>
      <c r="I108" s="160">
        <f>IFERROR(VLOOKUP(H108,Списък!$B$3:$I$77,7,0),"")</f>
        <v>202</v>
      </c>
      <c r="J108" s="18" t="str">
        <f>VLOOKUP('Програма-кодове'!AD14,Списък!$A$1:$B$209,2,FALSE)</f>
        <v>Конгалов</v>
      </c>
      <c r="K108" s="160" t="str">
        <f>IFERROR(VLOOKUP(J108,Списък!$B$3:$I$77,7,0),"")</f>
        <v>ФС</v>
      </c>
    </row>
    <row r="109" spans="1:12" ht="11.95" customHeight="1">
      <c r="A109" s="143">
        <v>7</v>
      </c>
      <c r="B109" s="135" t="str">
        <f>VLOOKUP('Програма-кодове'!Z15,Списък!$A$1:$B$209,2,FALSE)</f>
        <v>Киров</v>
      </c>
      <c r="C109" s="162" t="str">
        <f>IFERROR(VLOOKUP(B109,Списък!$B$3:$I$77,7,0),"")</f>
        <v>109/110/111/114/102/302</v>
      </c>
      <c r="D109" s="135" t="str">
        <f>VLOOKUP('Програма-кодове'!AA15,Списък!$A$1:$B$209,2,FALSE)</f>
        <v>Чанкова</v>
      </c>
      <c r="E109" s="162">
        <f>IFERROR(VLOOKUP(D109,Списък!$B$3:$I$77,7,0),"")</f>
        <v>105</v>
      </c>
      <c r="F109" s="135" t="str">
        <f>VLOOKUP('Програма-кодове'!AB15,Списък!$A$1:$B$209,2,FALSE)</f>
        <v>Гочева</v>
      </c>
      <c r="G109" s="162">
        <f>IFERROR(VLOOKUP(F109,Списък!$B$3:$I$77,7,0),"")</f>
        <v>301</v>
      </c>
      <c r="H109" s="135" t="str">
        <f>VLOOKUP('Програма-кодове'!AC15,Списък!$A$1:$B$209,2,FALSE)</f>
        <v>Н. Николова</v>
      </c>
      <c r="I109" s="162">
        <f>IFERROR(VLOOKUP(H109,Списък!$B$3:$I$77,7,0),"")</f>
        <v>202</v>
      </c>
      <c r="J109" s="147" t="str">
        <f>VLOOKUP('Програма-кодове'!AD15,Списък!$A$1:$B$209,2,FALSE)</f>
        <v>Попова</v>
      </c>
      <c r="K109" s="162" t="str">
        <f>IFERROR(VLOOKUP(J109,Списък!$B$3:$I$77,7,0),"")</f>
        <v>212/214/215/217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29.95" customHeight="1">
      <c r="A111" s="429" t="s">
        <v>26</v>
      </c>
      <c r="B111" s="429"/>
      <c r="C111" s="429"/>
      <c r="D111" s="429"/>
      <c r="E111" s="429"/>
      <c r="F111" s="429"/>
      <c r="G111" s="429"/>
      <c r="H111" s="429"/>
      <c r="I111" s="429"/>
      <c r="J111" s="429"/>
      <c r="K111" s="429"/>
    </row>
    <row r="112" spans="1:12" s="13" customFormat="1" ht="11.95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1.95" customHeight="1">
      <c r="A113" s="129">
        <v>1</v>
      </c>
      <c r="B113" s="12" t="str">
        <f>VLOOKUP('Програма-кодове'!C16,Списък!$A$1:$B$209,2,FALSE)</f>
        <v>Даскалова</v>
      </c>
      <c r="C113" s="165">
        <f>IFERROR(VLOOKUP(B113,Списък!$B$3:$I$77,7,0),"")</f>
        <v>108</v>
      </c>
      <c r="D113" s="128" t="str">
        <f>VLOOKUP('Програма-кодове'!D16,Списък!$A$1:$B$209,2,FALSE)</f>
        <v>Петров</v>
      </c>
      <c r="E113" s="165">
        <f>IFERROR(VLOOKUP(D113,Списък!$B$3:$I$77,7,0),"")</f>
        <v>112</v>
      </c>
      <c r="F113" s="128" t="str">
        <f>VLOOKUP('Програма-кодове'!E16,Списък!$A$1:$B$209,2,FALSE)</f>
        <v>Трандев</v>
      </c>
      <c r="G113" s="165" t="str">
        <f>IFERROR(VLOOKUP(F113,Списък!$B$3:$I$77,7,0),"")</f>
        <v>ФС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1.95" customHeight="1">
      <c r="A114" s="129">
        <v>2</v>
      </c>
      <c r="B114" s="12" t="str">
        <f>VLOOKUP('Програма-кодове'!C17,Списък!$A$1:$B$209,2,FALSE)</f>
        <v>Киров</v>
      </c>
      <c r="C114" s="165" t="str">
        <f>IFERROR(VLOOKUP(B114,Списък!$B$3:$I$77,7,0),"")</f>
        <v>109/110/111/114/102/302</v>
      </c>
      <c r="D114" s="128" t="str">
        <f>VLOOKUP('Програма-кодове'!D17,Списък!$A$1:$B$209,2,FALSE)</f>
        <v>Н. Николова</v>
      </c>
      <c r="E114" s="165">
        <f>IFERROR(VLOOKUP(D114,Списък!$B$3:$I$77,7,0),"")</f>
        <v>202</v>
      </c>
      <c r="F114" s="128" t="str">
        <f>VLOOKUP('Програма-кодове'!E17,Списък!$A$1:$B$209,2,FALSE)</f>
        <v>Янева/Пецова</v>
      </c>
      <c r="G114" s="165" t="str">
        <f>IFERROR(VLOOKUP(F114,Списък!$B$3:$I$77,7,0),"")</f>
        <v>КК8/112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1.95" customHeight="1">
      <c r="A115" s="129">
        <v>3</v>
      </c>
      <c r="B115" s="12" t="str">
        <f>VLOOKUP('Програма-кодове'!C18,Списък!$A$1:$B$209,2,FALSE)</f>
        <v>Стефанова</v>
      </c>
      <c r="C115" s="165" t="str">
        <f>IFERROR(VLOOKUP(B115,Списък!$B$3:$I$77,7,0),"")</f>
        <v>201/202/203/205/206</v>
      </c>
      <c r="D115" s="128" t="str">
        <f>VLOOKUP('Програма-кодове'!D18,Списък!$A$1:$B$209,2,FALSE)</f>
        <v>Н. Николова</v>
      </c>
      <c r="E115" s="165">
        <f>IFERROR(VLOOKUP(D115,Списък!$B$3:$I$77,7,0),"")</f>
        <v>202</v>
      </c>
      <c r="F115" s="128" t="str">
        <f>VLOOKUP('Програма-кодове'!E18,Списък!$A$1:$B$209,2,FALSE)</f>
        <v>Кръстева</v>
      </c>
      <c r="G115" s="165">
        <f>IFERROR(VLOOKUP(F115,Списък!$B$3:$I$77,7,0),"")</f>
        <v>302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1.95" customHeight="1">
      <c r="A116" s="129">
        <v>4</v>
      </c>
      <c r="B116" s="12" t="str">
        <f>VLOOKUP('Програма-кодове'!C19,Списък!$A$1:$B$209,2,FALSE)</f>
        <v>Петров ФВС</v>
      </c>
      <c r="C116" s="165" t="str">
        <f>IFERROR(VLOOKUP(B116,Списък!$B$3:$I$77,7,0),"")</f>
        <v>ФС</v>
      </c>
      <c r="D116" s="128" t="str">
        <f>VLOOKUP('Програма-кодове'!D19,Списък!$A$1:$B$209,2,FALSE)</f>
        <v>Пецова</v>
      </c>
      <c r="E116" s="165" t="str">
        <f>IFERROR(VLOOKUP(D116,Списък!$B$3:$I$77,7,0),"")</f>
        <v>102/105/111/112</v>
      </c>
      <c r="F116" s="128" t="str">
        <f>VLOOKUP('Програма-кодове'!E19,Списък!$A$1:$B$209,2,FALSE)</f>
        <v>Киров</v>
      </c>
      <c r="G116" s="165" t="str">
        <f>IFERROR(VLOOKUP(F116,Списък!$B$3:$I$77,7,0),"")</f>
        <v>109/110/111/114/102/302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1.95" customHeight="1">
      <c r="A117" s="129">
        <v>5</v>
      </c>
      <c r="B117" s="12" t="str">
        <f>VLOOKUP('Програма-кодове'!C20,Списък!$A$1:$B$209,2,FALSE)</f>
        <v>Пецова</v>
      </c>
      <c r="C117" s="165" t="str">
        <f>IFERROR(VLOOKUP(B117,Списък!$B$3:$I$77,7,0),"")</f>
        <v>102/105/111/112</v>
      </c>
      <c r="D117" s="128" t="str">
        <f>VLOOKUP('Програма-кодове'!D20,Списък!$A$1:$B$209,2,FALSE)</f>
        <v>Попова</v>
      </c>
      <c r="E117" s="165" t="str">
        <f>IFERROR(VLOOKUP(D117,Списък!$B$3:$I$77,7,0),"")</f>
        <v>212/214/215/217</v>
      </c>
      <c r="F117" s="128" t="str">
        <f>VLOOKUP('Програма-кодове'!E20,Списък!$A$1:$B$209,2,FALSE)</f>
        <v>Трифонова</v>
      </c>
      <c r="G117" s="165">
        <f>IFERROR(VLOOKUP(F117,Списък!$B$3:$I$77,7,0),"")</f>
        <v>203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1.95" customHeight="1">
      <c r="A118" s="129">
        <v>6</v>
      </c>
      <c r="B118" s="12" t="str">
        <f>VLOOKUP('Програма-кодове'!C21,Списък!$A$1:$B$209,2,FALSE)</f>
        <v>Клисарова</v>
      </c>
      <c r="C118" s="165">
        <f>IFERROR(VLOOKUP(B118,Списък!$B$3:$I$77,7,0),"")</f>
        <v>305</v>
      </c>
      <c r="D118" s="128" t="str">
        <f>VLOOKUP('Програма-кодове'!D21,Списък!$A$1:$B$209,2,FALSE)</f>
        <v>Краева</v>
      </c>
      <c r="E118" s="165">
        <f>IFERROR(VLOOKUP(D118,Списък!$B$3:$I$77,7,0),"")</f>
        <v>306</v>
      </c>
      <c r="F118" s="128" t="str">
        <f>VLOOKUP('Програма-кодове'!E21,Списък!$A$1:$B$209,2,FALSE)</f>
        <v>Димитрова/Пецова</v>
      </c>
      <c r="G118" s="165" t="str">
        <f>IFERROR(VLOOKUP(F118,Списък!$B$3:$I$77,7,0),"")</f>
        <v>КК2/105/111/112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1.95" customHeight="1">
      <c r="A119" s="129">
        <v>7</v>
      </c>
      <c r="B119" s="12" t="str">
        <f>VLOOKUP('Програма-кодове'!C22,Списък!$A$1:$B$209,2,FALSE)</f>
        <v>Клисарова</v>
      </c>
      <c r="C119" s="165">
        <f>IFERROR(VLOOKUP(B119,Списък!$B$3:$I$77,7,0),"")</f>
        <v>305</v>
      </c>
      <c r="D119" s="128" t="str">
        <f>VLOOKUP('Програма-кодове'!D22,Списък!$A$1:$B$209,2,FALSE)</f>
        <v>Пецова</v>
      </c>
      <c r="E119" s="165" t="str">
        <f>IFERROR(VLOOKUP(D119,Списък!$B$3:$I$77,7,0),"")</f>
        <v>102/105/111/112</v>
      </c>
      <c r="F119" s="128" t="str">
        <f>VLOOKUP('Програма-кодове'!E22,Списък!$A$1:$B$209,2,FALSE)</f>
        <v>Никова</v>
      </c>
      <c r="G119" s="165">
        <f>IFERROR(VLOOKUP(F119,Списък!$B$3:$I$77,7,0),"")</f>
        <v>111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2.95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1.95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1.95" customHeight="1">
      <c r="A122" s="129">
        <v>1</v>
      </c>
      <c r="B122" s="12" t="str">
        <f>VLOOKUP('Програма-кодове'!F16,Списък!$A$1:$B$209,2,FALSE)</f>
        <v>Пецова</v>
      </c>
      <c r="C122" s="165" t="str">
        <f>IFERROR(VLOOKUP(B122,Списък!$B$3:$I$77,7,0),"")</f>
        <v>102/105/111/112</v>
      </c>
      <c r="D122" s="128" t="str">
        <f>VLOOKUP('Програма-кодове'!G16,Списък!$A$1:$B$209,2,FALSE)</f>
        <v>Габарова</v>
      </c>
      <c r="E122" s="165">
        <f>IFERROR(VLOOKUP(D122,Списък!$B$3:$I$77,7,0),"")</f>
        <v>206</v>
      </c>
      <c r="F122" s="128" t="str">
        <f>VLOOKUP('Програма-кодове'!H16,Списък!$A$1:$B$209,2,FALSE)</f>
        <v>Трифонова</v>
      </c>
      <c r="G122" s="165">
        <f>IFERROR(VLOOKUP(F122,Списък!$B$3:$I$77,7,0),"")</f>
        <v>203</v>
      </c>
      <c r="H122" s="128" t="str">
        <f>VLOOKUP('Програма-кодове'!I16,Списък!$A$1:$B$209,2,FALSE)</f>
        <v>Петкова/Димитрова</v>
      </c>
      <c r="I122" s="165" t="str">
        <f>IFERROR(VLOOKUP(H122,Списък!$B$3:$I$77,7,0),"")</f>
        <v>КК3/КК8</v>
      </c>
      <c r="J122" s="128" t="str">
        <f>VLOOKUP('Програма-кодове'!J16,Списък!$A$1:$B$209,2,FALSE)</f>
        <v>Мерджанова</v>
      </c>
      <c r="K122" s="160">
        <f>IFERROR(VLOOKUP(J122,Списък!$B$3:$I$77,7,0),"")</f>
        <v>304</v>
      </c>
    </row>
    <row r="123" spans="1:11" ht="11.95" customHeight="1">
      <c r="A123" s="129">
        <v>2</v>
      </c>
      <c r="B123" s="12" t="str">
        <f>VLOOKUP('Програма-кодове'!F17,Списък!$A$1:$B$209,2,FALSE)</f>
        <v>Петкова/Димитрова</v>
      </c>
      <c r="C123" s="165" t="str">
        <f>IFERROR(VLOOKUP(B123,Списък!$B$3:$I$77,7,0),"")</f>
        <v>КК3/КК8</v>
      </c>
      <c r="D123" s="128" t="str">
        <f>VLOOKUP('Програма-кодове'!G17,Списък!$A$1:$B$209,2,FALSE)</f>
        <v>Габарова</v>
      </c>
      <c r="E123" s="165">
        <f>IFERROR(VLOOKUP(D123,Списък!$B$3:$I$77,7,0),"")</f>
        <v>206</v>
      </c>
      <c r="F123" s="128" t="str">
        <f>VLOOKUP('Програма-кодове'!H17,Списък!$A$1:$B$209,2,FALSE)</f>
        <v>Д. Николова</v>
      </c>
      <c r="G123" s="165">
        <f>IFERROR(VLOOKUP(F123,Списък!$B$3:$I$77,7,0),"")</f>
        <v>106</v>
      </c>
      <c r="H123" s="128" t="str">
        <f>VLOOKUP('Програма-кодове'!I17,Списък!$A$1:$B$209,2,FALSE)</f>
        <v>Мерджанова</v>
      </c>
      <c r="I123" s="165">
        <f>IFERROR(VLOOKUP(H123,Списък!$B$3:$I$77,7,0),"")</f>
        <v>304</v>
      </c>
      <c r="J123" s="128" t="str">
        <f>VLOOKUP('Програма-кодове'!J17,Списък!$A$1:$B$209,2,FALSE)</f>
        <v>Трифонова</v>
      </c>
      <c r="K123" s="160">
        <f>IFERROR(VLOOKUP(J123,Списък!$B$3:$I$77,7,0),"")</f>
        <v>203</v>
      </c>
    </row>
    <row r="124" spans="1:11" ht="11.95" customHeight="1">
      <c r="A124" s="129">
        <v>3</v>
      </c>
      <c r="B124" s="12" t="str">
        <f>VLOOKUP('Програма-кодове'!F18,Списък!$A$1:$B$209,2,FALSE)</f>
        <v>Мерджанова</v>
      </c>
      <c r="C124" s="165">
        <f>IFERROR(VLOOKUP(B124,Списък!$B$3:$I$77,7,0),"")</f>
        <v>304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Д. Николова</v>
      </c>
      <c r="G124" s="165">
        <f>IFERROR(VLOOKUP(F124,Списък!$B$3:$I$77,7,0),"")</f>
        <v>106</v>
      </c>
      <c r="H124" s="128" t="str">
        <f>VLOOKUP('Програма-кодове'!I18,Списък!$A$1:$B$209,2,FALSE)</f>
        <v>Трифонова</v>
      </c>
      <c r="I124" s="165">
        <f>IFERROR(VLOOKUP(H124,Списък!$B$3:$I$77,7,0),"")</f>
        <v>203</v>
      </c>
      <c r="J124" s="128" t="str">
        <f>VLOOKUP('Програма-кодове'!J18,Списък!$A$1:$B$209,2,FALSE)</f>
        <v>Димитрова/Янева</v>
      </c>
      <c r="K124" s="160" t="str">
        <f>IFERROR(VLOOKUP(J124,Списък!$B$3:$I$77,7,0),"")</f>
        <v>КК4/102/109</v>
      </c>
    </row>
    <row r="125" spans="1:11" ht="11.95" customHeight="1">
      <c r="A125" s="129">
        <v>4</v>
      </c>
      <c r="B125" s="12" t="str">
        <f>VLOOKUP('Програма-кодове'!F19,Списък!$A$1:$B$209,2,FALSE)</f>
        <v>Спасова</v>
      </c>
      <c r="C125" s="165" t="str">
        <f>IFERROR(VLOOKUP(B125,Списък!$B$3:$I$77,7,0),"")</f>
        <v>106, 103, 104, 205, 206</v>
      </c>
      <c r="D125" s="128" t="str">
        <f>VLOOKUP('Програма-кодове'!G19,Списък!$A$1:$B$209,2,FALSE)</f>
        <v>Петкова/Димитрова</v>
      </c>
      <c r="E125" s="165" t="str">
        <f>IFERROR(VLOOKUP(D125,Списък!$B$3:$I$77,7,0),"")</f>
        <v>КК3/КК8</v>
      </c>
      <c r="F125" s="128" t="str">
        <f>VLOOKUP('Програма-кодове'!H19,Списък!$A$1:$B$209,2,FALSE)</f>
        <v>Д. Николова</v>
      </c>
      <c r="G125" s="165">
        <f>IFERROR(VLOOKUP(F125,Списък!$B$3:$I$77,7,0),"")</f>
        <v>106</v>
      </c>
      <c r="H125" s="128" t="str">
        <f>VLOOKUP('Програма-кодове'!I19,Списък!$A$1:$B$209,2,FALSE)</f>
        <v>Гинева</v>
      </c>
      <c r="I125" s="165">
        <f>IFERROR(VLOOKUP(H125,Списък!$B$3:$I$77,7,0),"")</f>
        <v>102</v>
      </c>
      <c r="J125" s="128" t="str">
        <f>VLOOKUP('Програма-кодове'!J19,Списък!$A$1:$B$209,2,FALSE)</f>
        <v>Маркова</v>
      </c>
      <c r="K125" s="160">
        <f>IFERROR(VLOOKUP(J125,Списък!$B$3:$I$77,7,0),"")</f>
        <v>103</v>
      </c>
    </row>
    <row r="126" spans="1:11" ht="11.95" customHeight="1">
      <c r="A126" s="129">
        <v>5</v>
      </c>
      <c r="B126" s="12" t="str">
        <f>VLOOKUP('Програма-кодове'!F20,Списък!$A$1:$B$209,2,FALSE)</f>
        <v>Спасова</v>
      </c>
      <c r="C126" s="165" t="str">
        <f>IFERROR(VLOOKUP(B126,Списък!$B$3:$I$77,7,0),"")</f>
        <v>106, 103, 104, 205, 206</v>
      </c>
      <c r="D126" s="128" t="str">
        <f>VLOOKUP('Програма-кодове'!G20,Списък!$A$1:$B$209,2,FALSE)</f>
        <v>Мерджанова</v>
      </c>
      <c r="E126" s="165">
        <f>IFERROR(VLOOKUP(D126,Списък!$B$3:$I$77,7,0),"")</f>
        <v>304</v>
      </c>
      <c r="F126" s="128" t="str">
        <f>VLOOKUP('Програма-кодове'!H20,Списък!$A$1:$B$209,2,FALSE)</f>
        <v>Петкова/Димитрова</v>
      </c>
      <c r="G126" s="165" t="str">
        <f>IFERROR(VLOOKUP(F126,Списък!$B$3:$I$77,7,0),"")</f>
        <v>КК3/КК8</v>
      </c>
      <c r="H126" s="128" t="str">
        <f>VLOOKUP('Програма-кодове'!I20,Списък!$A$1:$B$209,2,FALSE)</f>
        <v>Гинева</v>
      </c>
      <c r="I126" s="165">
        <f>IFERROR(VLOOKUP(H126,Списък!$B$3:$I$77,7,0),"")</f>
        <v>102</v>
      </c>
      <c r="J126" s="128" t="str">
        <f>VLOOKUP('Програма-кодове'!J20,Списък!$A$1:$B$209,2,FALSE)</f>
        <v>Маркова</v>
      </c>
      <c r="K126" s="160">
        <f>IFERROR(VLOOKUP(J126,Списък!$B$3:$I$77,7,0),"")</f>
        <v>103</v>
      </c>
    </row>
    <row r="127" spans="1:11" ht="11.95" customHeight="1">
      <c r="A127" s="129">
        <v>6</v>
      </c>
      <c r="B127" s="12" t="str">
        <f>VLOOKUP('Програма-кодове'!F21,Списък!$A$1:$B$209,2,FALSE)</f>
        <v>Спасова</v>
      </c>
      <c r="C127" s="165" t="str">
        <f>IFERROR(VLOOKUP(B127,Списък!$B$3:$I$77,7,0),"")</f>
        <v>106, 103, 104, 205, 206</v>
      </c>
      <c r="D127" s="128" t="str">
        <f>VLOOKUP('Програма-кодове'!G21,Списък!$A$1:$B$209,2,FALSE)</f>
        <v>Трифонова</v>
      </c>
      <c r="E127" s="165">
        <f>IFERROR(VLOOKUP(D127,Списък!$B$3:$I$77,7,0),"")</f>
        <v>203</v>
      </c>
      <c r="F127" s="128" t="str">
        <f>VLOOKUP('Програма-кодове'!H21,Списък!$A$1:$B$209,2,FALSE)</f>
        <v>Тонева</v>
      </c>
      <c r="G127" s="165" t="str">
        <f>IFERROR(VLOOKUP(F127,Списък!$B$3:$I$77,7,0),"")</f>
        <v>ФС</v>
      </c>
      <c r="H127" s="128" t="str">
        <f>VLOOKUP('Програма-кодове'!I21,Списък!$A$1:$B$209,2,FALSE)</f>
        <v>Гинева</v>
      </c>
      <c r="I127" s="165">
        <f>IFERROR(VLOOKUP(H127,Списък!$B$3:$I$77,7,0),"")</f>
        <v>102</v>
      </c>
      <c r="J127" s="128" t="str">
        <f>VLOOKUP('Програма-кодове'!J21,Списък!$A$1:$B$209,2,FALSE)</f>
        <v>Маркова</v>
      </c>
      <c r="K127" s="160">
        <f>IFERROR(VLOOKUP(J127,Списък!$B$3:$I$77,7,0),"")</f>
        <v>103</v>
      </c>
    </row>
    <row r="128" spans="1:11" ht="11.95" customHeight="1">
      <c r="A128" s="129">
        <v>7</v>
      </c>
      <c r="B128" s="21" t="str">
        <f>VLOOKUP('Програма-кодове'!F22,Списък!$A$1:$B$209,2,FALSE)</f>
        <v>Спасова</v>
      </c>
      <c r="C128" s="165" t="str">
        <f>IFERROR(VLOOKUP(B128,Списък!$B$3:$I$77,7,0),"")</f>
        <v>106, 103, 104, 205, 206</v>
      </c>
      <c r="D128" s="128" t="str">
        <f>VLOOKUP('Програма-кодове'!G22,Списък!$A$1:$B$209,2,FALSE)</f>
        <v>Трифонова</v>
      </c>
      <c r="E128" s="165">
        <f>IFERROR(VLOOKUP(D128,Списък!$B$3:$I$77,7,0),"")</f>
        <v>203</v>
      </c>
      <c r="F128" s="128" t="str">
        <f>VLOOKUP('Програма-кодове'!H22,Списък!$A$1:$B$209,2,FALSE)</f>
        <v>Д. Николова</v>
      </c>
      <c r="G128" s="165">
        <f>IFERROR(VLOOKUP(F128,Списък!$B$3:$I$77,7,0),"")</f>
        <v>106</v>
      </c>
      <c r="H128" s="128" t="str">
        <f>VLOOKUP('Програма-кодове'!I22,Списък!$A$1:$B$209,2,FALSE)</f>
        <v>Гинева</v>
      </c>
      <c r="I128" s="165">
        <f>IFERROR(VLOOKUP(H128,Списък!$B$3:$I$77,7,0),"")</f>
        <v>102</v>
      </c>
      <c r="J128" s="128" t="str">
        <f>VLOOKUP('Програма-кодове'!J22,Списък!$A$1:$B$209,2,FALSE)</f>
        <v>Маркова</v>
      </c>
      <c r="K128" s="160">
        <f>IFERROR(VLOOKUP(J128,Списък!$B$3:$I$77,7,0),"")</f>
        <v>103</v>
      </c>
    </row>
    <row r="129" spans="1:11" ht="2.95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1.95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1.95" customHeight="1">
      <c r="A131" s="129">
        <v>1</v>
      </c>
      <c r="B131" s="12" t="str">
        <f>VLOOKUP('Програма-кодове'!K16,Списък!$A$1:$B$209,2,FALSE)</f>
        <v>Киров</v>
      </c>
      <c r="C131" s="165" t="str">
        <f>IFERROR(VLOOKUP(B131,Списък!$B$3:$I$77,7,0),"")</f>
        <v>109/110/111/114/102/302</v>
      </c>
      <c r="D131" s="128" t="str">
        <f>VLOOKUP('Програма-кодове'!L16,Списък!$A$1:$B$209,2,FALSE)</f>
        <v>Киркова/К. Петрова</v>
      </c>
      <c r="E131" s="165" t="str">
        <f>IFERROR(VLOOKUP(D131,Списък!$B$3:$I$77,7,0),"")</f>
        <v>КК7/КК1</v>
      </c>
      <c r="F131" s="128" t="str">
        <f>VLOOKUP('Програма-кодове'!M16,Списък!$A$1:$B$209,2,FALSE)</f>
        <v>Стефанова</v>
      </c>
      <c r="G131" s="165" t="str">
        <f>IFERROR(VLOOKUP(F131,Списък!$B$3:$I$77,7,0),"")</f>
        <v>201/202/203/205/206</v>
      </c>
      <c r="H131" s="128" t="str">
        <f>VLOOKUP('Програма-кодове'!N16,Списък!$A$1:$B$209,2,FALSE)</f>
        <v>Д. Иванова</v>
      </c>
      <c r="I131" s="165" t="str">
        <f>IFERROR(VLOOKUP(H131,Списък!$B$3:$I$77,7,0),"")</f>
        <v>КК6</v>
      </c>
      <c r="J131" s="128" t="str">
        <f>VLOOKUP('Програма-кодове'!O16,Списък!$A$1:$B$209,2,FALSE)</f>
        <v>Сапунджиева</v>
      </c>
      <c r="K131" s="160">
        <f>IFERROR(VLOOKUP(J131,Списък!$B$3:$I$77,7,0),"")</f>
        <v>104</v>
      </c>
    </row>
    <row r="132" spans="1:11" ht="11.95" customHeight="1">
      <c r="A132" s="129">
        <v>2</v>
      </c>
      <c r="B132" s="12" t="str">
        <f>VLOOKUP('Програма-кодове'!K17,Списък!$A$1:$B$209,2,FALSE)</f>
        <v>Петров</v>
      </c>
      <c r="C132" s="165">
        <f>IFERROR(VLOOKUP(B132,Списък!$B$3:$I$77,7,0),"")</f>
        <v>112</v>
      </c>
      <c r="D132" s="128" t="str">
        <f>VLOOKUP('Програма-кодове'!L17,Списък!$A$1:$B$209,2,FALSE)</f>
        <v>Гочева</v>
      </c>
      <c r="E132" s="165">
        <f>IFERROR(VLOOKUP(D132,Списък!$B$3:$I$77,7,0),"")</f>
        <v>301</v>
      </c>
      <c r="F132" s="128" t="str">
        <f>VLOOKUP('Програма-кодове'!M17,Списък!$A$1:$B$209,2,FALSE)</f>
        <v>Стефанова</v>
      </c>
      <c r="G132" s="165" t="str">
        <f>IFERROR(VLOOKUP(F132,Списък!$B$3:$I$77,7,0),"")</f>
        <v>201/202/203/205/206</v>
      </c>
      <c r="H132" s="128" t="str">
        <f>VLOOKUP('Програма-кодове'!N17,Списък!$A$1:$B$209,2,FALSE)</f>
        <v>Киркова/К. Петрова</v>
      </c>
      <c r="I132" s="165" t="str">
        <f>IFERROR(VLOOKUP(H132,Списък!$B$3:$I$77,7,0),"")</f>
        <v>КК7/КК1</v>
      </c>
      <c r="J132" s="128" t="str">
        <f>VLOOKUP('Програма-кодове'!O17,Списък!$A$1:$B$209,2,FALSE)</f>
        <v>Попова</v>
      </c>
      <c r="K132" s="160" t="str">
        <f>IFERROR(VLOOKUP(J132,Списък!$B$3:$I$77,7,0),"")</f>
        <v>212/214/215/217</v>
      </c>
    </row>
    <row r="133" spans="1:11" ht="11.95" customHeight="1">
      <c r="A133" s="129">
        <v>3</v>
      </c>
      <c r="B133" s="12" t="str">
        <f>VLOOKUP('Програма-кодове'!K18,Списък!$A$1:$B$209,2,FALSE)</f>
        <v>Батимов</v>
      </c>
      <c r="C133" s="165">
        <f>IFERROR(VLOOKUP(B133,Списък!$B$3:$I$77,7,0),"")</f>
        <v>303</v>
      </c>
      <c r="D133" s="128" t="str">
        <f>VLOOKUP('Програма-кодове'!L18,Списък!$A$1:$B$209,2,FALSE)</f>
        <v>Сапунджиева</v>
      </c>
      <c r="E133" s="165">
        <f>IFERROR(VLOOKUP(D133,Списък!$B$3:$I$77,7,0),"")</f>
        <v>104</v>
      </c>
      <c r="F133" s="128" t="str">
        <f>VLOOKUP('Програма-кодове'!M18,Списък!$A$1:$B$209,2,FALSE)</f>
        <v>Славова</v>
      </c>
      <c r="G133" s="165">
        <f>IFERROR(VLOOKUP(F133,Списък!$B$3:$I$77,7,0),"")</f>
        <v>114</v>
      </c>
      <c r="H133" s="128" t="str">
        <f>VLOOKUP('Програма-кодове'!N18,Списък!$A$1:$B$209,2,FALSE)</f>
        <v>Коларова</v>
      </c>
      <c r="I133" s="165" t="str">
        <f>IFERROR(VLOOKUP(H133,Списък!$B$3:$I$77,7,0),"")</f>
        <v>212/214/215/217</v>
      </c>
      <c r="J133" s="128" t="str">
        <f>VLOOKUP('Програма-кодове'!O18,Списък!$A$1:$B$209,2,FALSE)</f>
        <v>Минчева</v>
      </c>
      <c r="K133" s="160" t="str">
        <f>IFERROR(VLOOKUP(J133,Списък!$B$3:$I$77,7,0),"")</f>
        <v>212/214/215/217</v>
      </c>
    </row>
    <row r="134" spans="1:11" ht="11.95" customHeight="1">
      <c r="A134" s="129">
        <v>4</v>
      </c>
      <c r="B134" s="12" t="str">
        <f>VLOOKUP('Програма-кодове'!K19,Списък!$A$1:$B$209,2,FALSE)</f>
        <v>Батимов</v>
      </c>
      <c r="C134" s="165">
        <f>IFERROR(VLOOKUP(B134,Списък!$B$3:$I$77,7,0),"")</f>
        <v>303</v>
      </c>
      <c r="D134" s="128" t="str">
        <f>VLOOKUP('Програма-кодове'!L19,Списък!$A$1:$B$209,2,FALSE)</f>
        <v>Вълчева</v>
      </c>
      <c r="E134" s="165">
        <f>IFERROR(VLOOKUP(D134,Списък!$B$3:$I$77,7,0),"")</f>
        <v>201</v>
      </c>
      <c r="F134" s="128" t="str">
        <f>VLOOKUP('Програма-кодове'!M19,Списък!$A$1:$B$209,2,FALSE)</f>
        <v>Коларова</v>
      </c>
      <c r="G134" s="165" t="str">
        <f>IFERROR(VLOOKUP(F134,Списък!$B$3:$I$77,7,0),"")</f>
        <v>212/214/215/217</v>
      </c>
      <c r="H134" s="128" t="str">
        <f>VLOOKUP('Програма-кодове'!N19,Списък!$A$1:$B$209,2,FALSE)</f>
        <v>Сапунджиева</v>
      </c>
      <c r="I134" s="165">
        <f>IFERROR(VLOOKUP(H134,Списък!$B$3:$I$77,7,0),"")</f>
        <v>104</v>
      </c>
      <c r="J134" s="128" t="str">
        <f>VLOOKUP('Програма-кодове'!O19,Списък!$A$1:$B$209,2,FALSE)</f>
        <v>Славова</v>
      </c>
      <c r="K134" s="160">
        <f>IFERROR(VLOOKUP(J134,Списък!$B$3:$I$77,7,0),"")</f>
        <v>114</v>
      </c>
    </row>
    <row r="135" spans="1:11" ht="11.95" customHeight="1">
      <c r="A135" s="129">
        <v>5</v>
      </c>
      <c r="B135" s="12" t="str">
        <f>VLOOKUP('Програма-кодове'!K20,Списък!$A$1:$B$209,2,FALSE)</f>
        <v>Костова</v>
      </c>
      <c r="C135" s="165" t="str">
        <f>IFERROR(VLOOKUP(B135,Списък!$B$3:$I$77,7,0),"")</f>
        <v>212/214/215/217</v>
      </c>
      <c r="D135" s="128" t="str">
        <f>VLOOKUP('Програма-кодове'!L20,Списък!$A$1:$B$209,2,FALSE)</f>
        <v>Козалиева</v>
      </c>
      <c r="E135" s="165" t="str">
        <f>IFERROR(VLOOKUP(D135,Списък!$B$3:$I$77,7,0),"")</f>
        <v>212/214/215/217</v>
      </c>
      <c r="F135" s="128" t="str">
        <f>VLOOKUP('Програма-кодове'!M20,Списък!$A$1:$B$209,2,FALSE)</f>
        <v>Сапунджиева</v>
      </c>
      <c r="G135" s="165">
        <f>IFERROR(VLOOKUP(F135,Списък!$B$3:$I$77,7,0),"")</f>
        <v>104</v>
      </c>
      <c r="H135" s="128" t="str">
        <f>VLOOKUP('Програма-кодове'!N20,Списък!$A$1:$B$209,2,FALSE)</f>
        <v>В. Иванова</v>
      </c>
      <c r="I135" s="165">
        <f>IFERROR(VLOOKUP(H135,Списък!$B$3:$I$77,7,0),"")</f>
        <v>109</v>
      </c>
      <c r="J135" s="128" t="str">
        <f>VLOOKUP('Програма-кодове'!O20,Списък!$A$1:$B$209,2,FALSE)</f>
        <v>Коларова</v>
      </c>
      <c r="K135" s="160" t="str">
        <f>IFERROR(VLOOKUP(J135,Списък!$B$3:$I$77,7,0),"")</f>
        <v>212/214/215/217</v>
      </c>
    </row>
    <row r="136" spans="1:11" ht="11.95" customHeight="1">
      <c r="A136" s="129">
        <v>6</v>
      </c>
      <c r="B136" s="12" t="str">
        <f>VLOOKUP('Програма-кодове'!K21,Списък!$A$1:$B$209,2,FALSE)</f>
        <v>Сапунджиева</v>
      </c>
      <c r="C136" s="165">
        <f>IFERROR(VLOOKUP(B136,Списък!$B$3:$I$77,7,0),"")</f>
        <v>104</v>
      </c>
      <c r="D136" s="128" t="str">
        <f>VLOOKUP('Програма-кодове'!L21,Списък!$A$1:$B$209,2,FALSE)</f>
        <v>Никова</v>
      </c>
      <c r="E136" s="165">
        <f>IFERROR(VLOOKUP(D136,Списък!$B$3:$I$77,7,0),"")</f>
        <v>111</v>
      </c>
      <c r="F136" s="128" t="str">
        <f>VLOOKUP('Програма-кодове'!M21,Списък!$A$1:$B$209,2,FALSE)</f>
        <v>В. Иванова</v>
      </c>
      <c r="G136" s="165">
        <f>IFERROR(VLOOKUP(F136,Списък!$B$3:$I$77,7,0),"")</f>
        <v>109</v>
      </c>
      <c r="H136" s="128" t="str">
        <f>VLOOKUP('Програма-кодове'!N21,Списък!$A$1:$B$209,2,FALSE)</f>
        <v>Киров</v>
      </c>
      <c r="I136" s="165" t="str">
        <f>IFERROR(VLOOKUP(H136,Списък!$B$3:$I$77,7,0),"")</f>
        <v>109/110/111/114/102/302</v>
      </c>
      <c r="J136" s="128" t="str">
        <f>VLOOKUP('Програма-кодове'!O21,Списък!$A$1:$B$209,2,FALSE)</f>
        <v>Батимов</v>
      </c>
      <c r="K136" s="160">
        <f>IFERROR(VLOOKUP(J136,Списък!$B$3:$I$77,7,0),"")</f>
        <v>303</v>
      </c>
    </row>
    <row r="137" spans="1:11" ht="11.95" customHeight="1">
      <c r="A137" s="129">
        <v>7</v>
      </c>
      <c r="B137" s="12" t="str">
        <f>VLOOKUP('Програма-кодове'!K22,Списък!$A$1:$B$209,2,FALSE)</f>
        <v>Батимов</v>
      </c>
      <c r="C137" s="165">
        <f>IFERROR(VLOOKUP(B137,Списък!$B$3:$I$77,7,0),"")</f>
        <v>303</v>
      </c>
      <c r="D137" s="128" t="str">
        <f>VLOOKUP('Програма-кодове'!L22,Списък!$A$1:$B$209,2,FALSE)</f>
        <v>Вълчева</v>
      </c>
      <c r="E137" s="165">
        <f>IFERROR(VLOOKUP(D137,Списък!$B$3:$I$77,7,0),"")</f>
        <v>201</v>
      </c>
      <c r="F137" s="128" t="str">
        <f>VLOOKUP('Програма-кодове'!M22,Списък!$A$1:$B$209,2,FALSE)</f>
        <v>В. Иванова</v>
      </c>
      <c r="G137" s="165">
        <f>IFERROR(VLOOKUP(F137,Списък!$B$3:$I$77,7,0),"")</f>
        <v>109</v>
      </c>
      <c r="H137" s="128" t="str">
        <f>VLOOKUP('Програма-кодове'!N22,Списък!$A$1:$B$209,2,FALSE)</f>
        <v>Коларова</v>
      </c>
      <c r="I137" s="165" t="str">
        <f>IFERROR(VLOOKUP(H137,Списък!$B$3:$I$77,7,0),"")</f>
        <v>212/214/215/217</v>
      </c>
      <c r="J137" s="128" t="str">
        <f>VLOOKUP('Програма-кодове'!O22,Списък!$A$1:$B$209,2,FALSE)</f>
        <v>Сапунджиева</v>
      </c>
      <c r="K137" s="160">
        <f>IFERROR(VLOOKUP(J137,Списък!$B$3:$I$77,7,0),"")</f>
        <v>104</v>
      </c>
    </row>
    <row r="138" spans="1:11" ht="2.95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1.95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1.95" customHeight="1">
      <c r="A140" s="129">
        <v>1</v>
      </c>
      <c r="B140" s="12" t="str">
        <f>VLOOKUP('Програма-кодове'!P16,Списък!$A$1:$B$209,2,FALSE)</f>
        <v>Иванова</v>
      </c>
      <c r="C140" s="165">
        <f>IFERROR(VLOOKUP(B140,Списък!$B$3:$I$77,7,0),"")</f>
        <v>205</v>
      </c>
      <c r="D140" s="128" t="str">
        <f>VLOOKUP('Програма-кодове'!Q16,Списък!$A$1:$B$209,2,FALSE)</f>
        <v>Минчева</v>
      </c>
      <c r="E140" s="165" t="str">
        <f>IFERROR(VLOOKUP(D140,Списък!$B$3:$I$77,7,0),"")</f>
        <v>212/214/215/217</v>
      </c>
      <c r="F140" s="128" t="str">
        <f>VLOOKUP('Програма-кодове'!R16,Списък!$A$1:$B$209,2,FALSE)</f>
        <v>Конгалов</v>
      </c>
      <c r="G140" s="165" t="str">
        <f>IFERROR(VLOOKUP(F140,Списък!$B$3:$I$77,7,0),"")</f>
        <v>ФС</v>
      </c>
      <c r="H140" s="128" t="str">
        <f>VLOOKUP('Програма-кодове'!S16,Списък!$A$1:$B$209,2,FALSE)</f>
        <v>Латева</v>
      </c>
      <c r="I140" s="165">
        <f>IFERROR(VLOOKUP(H140,Списък!$B$3:$I$77,7,0),"")</f>
        <v>110</v>
      </c>
      <c r="J140" s="128" t="str">
        <f>VLOOKUP('Програма-кодове'!T16,Списък!$A$1:$B$209,2,FALSE)</f>
        <v>Козалиева</v>
      </c>
      <c r="K140" s="160" t="str">
        <f>IFERROR(VLOOKUP(J140,Списък!$B$3:$I$77,7,0),"")</f>
        <v>212/214/215/217</v>
      </c>
    </row>
    <row r="141" spans="1:11" ht="11.95" customHeight="1">
      <c r="A141" s="129">
        <v>2</v>
      </c>
      <c r="B141" s="12" t="str">
        <f>VLOOKUP('Програма-кодове'!P17,Списък!$A$1:$B$209,2,FALSE)</f>
        <v>Иванова</v>
      </c>
      <c r="C141" s="165">
        <f>IFERROR(VLOOKUP(B141,Списък!$B$3:$I$77,7,0),"")</f>
        <v>205</v>
      </c>
      <c r="D141" s="128" t="str">
        <f>VLOOKUP('Програма-кодове'!Q17,Списък!$A$1:$B$209,2,FALSE)</f>
        <v>В. Иванова</v>
      </c>
      <c r="E141" s="165">
        <f>IFERROR(VLOOKUP(D141,Списък!$B$3:$I$77,7,0),"")</f>
        <v>109</v>
      </c>
      <c r="F141" s="128" t="str">
        <f>VLOOKUP('Програма-кодове'!R17,Списък!$A$1:$B$209,2,FALSE)</f>
        <v>Латева</v>
      </c>
      <c r="G141" s="165">
        <f>IFERROR(VLOOKUP(F141,Списък!$B$3:$I$77,7,0),"")</f>
        <v>110</v>
      </c>
      <c r="H141" s="128" t="str">
        <f>VLOOKUP('Програма-кодове'!S17,Списък!$A$1:$B$209,2,FALSE)</f>
        <v>Конгалов</v>
      </c>
      <c r="I141" s="165" t="str">
        <f>IFERROR(VLOOKUP(H141,Списък!$B$3:$I$77,7,0),"")</f>
        <v>ФС</v>
      </c>
      <c r="J141" s="128" t="str">
        <f>VLOOKUP('Програма-кодове'!T17,Списък!$A$1:$B$209,2,FALSE)</f>
        <v>Козалиева</v>
      </c>
      <c r="K141" s="160" t="str">
        <f>IFERROR(VLOOKUP(J141,Списък!$B$3:$I$77,7,0),"")</f>
        <v>212/214/215/217</v>
      </c>
    </row>
    <row r="142" spans="1:11" ht="11.95" customHeight="1">
      <c r="A142" s="129">
        <v>3</v>
      </c>
      <c r="B142" s="12" t="str">
        <f>VLOOKUP('Програма-кодове'!P18,Списък!$A$1:$B$209,2,FALSE)</f>
        <v>Латева</v>
      </c>
      <c r="C142" s="165">
        <f>IFERROR(VLOOKUP(B142,Списък!$B$3:$I$77,7,0),"")</f>
        <v>110</v>
      </c>
      <c r="D142" s="128" t="str">
        <f>VLOOKUP('Програма-кодове'!Q18,Списък!$A$1:$B$209,2,FALSE)</f>
        <v>Кирилова/Даскалова/Тодорова/Филипова</v>
      </c>
      <c r="E142" s="165" t="str">
        <f>IFERROR(VLOOKUP(D142,Списък!$B$3:$I$77,7,0),"")</f>
        <v>108/107/106/105</v>
      </c>
      <c r="F142" s="374" t="str">
        <f>VLOOKUP('Програма-кодове'!Q18,Списък!$A$1:$B$209,2,FALSE)</f>
        <v>Кирилова/Даскалова/Тодорова/Филипова</v>
      </c>
      <c r="G142" s="165" t="str">
        <f>IFERROR(VLOOKUP(F142,Списък!$B$3:$I$77,7,0),"")</f>
        <v>108/107/106/105</v>
      </c>
      <c r="H142" s="374" t="str">
        <f>VLOOKUP('Програма-кодове'!Q18,Списък!$A$1:$B$209,2,FALSE)</f>
        <v>Кирилова/Даскалова/Тодорова/Филипова</v>
      </c>
      <c r="I142" s="165" t="str">
        <f>IFERROR(VLOOKUP(H142,Списък!$B$3:$I$77,7,0),"")</f>
        <v>108/107/106/105</v>
      </c>
      <c r="J142" s="128" t="str">
        <f>VLOOKUP('Програма-кодове'!T18,Списък!$A$1:$B$209,2,FALSE)</f>
        <v>Гюлева</v>
      </c>
      <c r="K142" s="160">
        <f>IFERROR(VLOOKUP(J142,Списък!$B$3:$I$77,7,0),"")</f>
        <v>204</v>
      </c>
    </row>
    <row r="143" spans="1:11" ht="11.95" customHeight="1">
      <c r="A143" s="129">
        <v>4</v>
      </c>
      <c r="B143" s="12" t="str">
        <f>VLOOKUP('Програма-кодове'!P19,Списък!$A$1:$B$209,2,FALSE)</f>
        <v>Тонева</v>
      </c>
      <c r="C143" s="165" t="str">
        <f>IFERROR(VLOOKUP(B143,Списък!$B$3:$I$77,7,0),"")</f>
        <v>ФС</v>
      </c>
      <c r="D143" s="128" t="str">
        <f>VLOOKUP('Програма-кодове'!Q19,Списък!$A$1:$B$209,2,FALSE)</f>
        <v>Кирилова/Даскалова/Тодорова/Филипова</v>
      </c>
      <c r="E143" s="165" t="str">
        <f>IFERROR(VLOOKUP(D143,Списък!$B$3:$I$77,7,0),"")</f>
        <v>108/107/106/105</v>
      </c>
      <c r="F143" s="374" t="str">
        <f>VLOOKUP('Програма-кодове'!Q19,Списък!$A$1:$B$209,2,FALSE)</f>
        <v>Кирилова/Даскалова/Тодорова/Филипова</v>
      </c>
      <c r="G143" s="165" t="str">
        <f>IFERROR(VLOOKUP(F143,Списък!$B$3:$I$77,7,0),"")</f>
        <v>108/107/106/105</v>
      </c>
      <c r="H143" s="374" t="str">
        <f>VLOOKUP('Програма-кодове'!Q19,Списък!$A$1:$B$209,2,FALSE)</f>
        <v>Кирилова/Даскалова/Тодорова/Филипова</v>
      </c>
      <c r="I143" s="165" t="str">
        <f>IFERROR(VLOOKUP(H143,Списък!$B$3:$I$77,7,0),"")</f>
        <v>108/107/106/105</v>
      </c>
      <c r="J143" s="128" t="str">
        <f>VLOOKUP('Програма-кодове'!T19,Списък!$A$1:$B$209,2,FALSE)</f>
        <v>Кръстева</v>
      </c>
      <c r="K143" s="160">
        <f>IFERROR(VLOOKUP(J143,Списък!$B$3:$I$77,7,0),"")</f>
        <v>302</v>
      </c>
    </row>
    <row r="144" spans="1:11" ht="11.95" customHeight="1">
      <c r="A144" s="129">
        <v>5</v>
      </c>
      <c r="B144" s="12" t="str">
        <f>VLOOKUP('Програма-кодове'!P20,Списък!$A$1:$B$209,2,FALSE)</f>
        <v>Кирилова/Тодорова</v>
      </c>
      <c r="C144" s="165" t="str">
        <f>IFERROR(VLOOKUP(B144,Списък!$B$3:$I$77,7,0),"")</f>
        <v>108/101-105</v>
      </c>
      <c r="D144" s="128" t="str">
        <f>VLOOKUP('Програма-кодове'!Q20,Списък!$A$1:$B$209,2,FALSE)</f>
        <v>Иванова</v>
      </c>
      <c r="E144" s="165">
        <f>IFERROR(VLOOKUP(D144,Списък!$B$3:$I$77,7,0),"")</f>
        <v>205</v>
      </c>
      <c r="F144" s="128" t="str">
        <f>VLOOKUP('Програма-кодове'!R20,Списък!$A$1:$B$209,2,FALSE)</f>
        <v>Никова</v>
      </c>
      <c r="G144" s="165">
        <f>IFERROR(VLOOKUP(F144,Списък!$B$3:$I$77,7,0),"")</f>
        <v>111</v>
      </c>
      <c r="H144" s="128" t="str">
        <f>VLOOKUP('Програма-кодове'!S20,Списък!$A$1:$B$209,2,FALSE)</f>
        <v>Гюлева</v>
      </c>
      <c r="I144" s="165">
        <f>IFERROR(VLOOKUP(H144,Списък!$B$3:$I$77,7,0),"")</f>
        <v>204</v>
      </c>
      <c r="J144" s="128" t="str">
        <f>VLOOKUP('Програма-кодове'!T20,Списък!$A$1:$B$209,2,FALSE)</f>
        <v>Кирилова/Тодорова</v>
      </c>
      <c r="K144" s="160" t="str">
        <f>IFERROR(VLOOKUP(J144,Списък!$B$3:$I$77,7,0),"")</f>
        <v>108/101-105</v>
      </c>
    </row>
    <row r="145" spans="1:11" ht="11.95" customHeight="1">
      <c r="A145" s="129">
        <v>6</v>
      </c>
      <c r="B145" s="12" t="str">
        <f>VLOOKUP('Програма-кодове'!P21,Списък!$A$1:$B$209,2,FALSE)</f>
        <v>Кирилова/Тодорова</v>
      </c>
      <c r="C145" s="165" t="str">
        <f>IFERROR(VLOOKUP(B145,Списък!$B$3:$I$77,7,0),"")</f>
        <v>108/101-105</v>
      </c>
      <c r="D145" s="128" t="str">
        <f>VLOOKUP('Програма-кодове'!Q21,Списък!$A$1:$B$209,2,FALSE)</f>
        <v>Иванова</v>
      </c>
      <c r="E145" s="165">
        <f>IFERROR(VLOOKUP(D145,Списък!$B$3:$I$77,7,0),"")</f>
        <v>205</v>
      </c>
      <c r="F145" s="128" t="str">
        <f>VLOOKUP('Програма-кодове'!R21,Списък!$A$1:$B$209,2,FALSE)</f>
        <v>Мерджанова</v>
      </c>
      <c r="G145" s="165">
        <f>IFERROR(VLOOKUP(F145,Списък!$B$3:$I$77,7,0),"")</f>
        <v>304</v>
      </c>
      <c r="H145" s="128" t="str">
        <f>VLOOKUP('Програма-кодове'!S21,Списък!$A$1:$B$209,2,FALSE)</f>
        <v>Гюлева</v>
      </c>
      <c r="I145" s="165">
        <f>IFERROR(VLOOKUP(H145,Списък!$B$3:$I$77,7,0),"")</f>
        <v>204</v>
      </c>
      <c r="J145" s="128" t="str">
        <f>VLOOKUP('Програма-кодове'!T21,Списък!$A$1:$B$209,2,FALSE)</f>
        <v>Кирилова/Тодорова</v>
      </c>
      <c r="K145" s="160" t="str">
        <f>IFERROR(VLOOKUP(J145,Списък!$B$3:$I$77,7,0),"")</f>
        <v>108/101-105</v>
      </c>
    </row>
    <row r="146" spans="1:11" ht="11.95" customHeight="1">
      <c r="A146" s="129">
        <v>7</v>
      </c>
      <c r="B146" s="12" t="str">
        <f>VLOOKUP('Програма-кодове'!P22,Списък!$A$1:$B$209,2,FALSE)</f>
        <v>Гюлева</v>
      </c>
      <c r="C146" s="165">
        <f>IFERROR(VLOOKUP(B146,Списък!$B$3:$I$77,7,0),"")</f>
        <v>204</v>
      </c>
      <c r="D146" s="128" t="str">
        <f>VLOOKUP('Програма-кодове'!Q22,Списък!$A$1:$B$209,2,FALSE)</f>
        <v>Мерджанова</v>
      </c>
      <c r="E146" s="165">
        <f>IFERROR(VLOOKUP(D146,Списък!$B$3:$I$77,7,0),"")</f>
        <v>304</v>
      </c>
      <c r="F146" s="128" t="str">
        <f>VLOOKUP('Програма-кодове'!R22,Списък!$A$1:$B$209,2,FALSE)</f>
        <v>Влашинска</v>
      </c>
      <c r="G146" s="165" t="str">
        <f>IFERROR(VLOOKUP(F146,Списък!$B$3:$I$77,7,0),"")</f>
        <v>212/214/215/217</v>
      </c>
      <c r="H146" s="128" t="str">
        <f>VLOOKUP('Програма-кодове'!S22,Списък!$A$1:$B$209,2,FALSE)</f>
        <v>Краева</v>
      </c>
      <c r="I146" s="165">
        <f>IFERROR(VLOOKUP(H146,Списък!$B$3:$I$77,7,0),"")</f>
        <v>306</v>
      </c>
      <c r="J146" s="128" t="str">
        <f>VLOOKUP('Програма-кодове'!T22,Списък!$A$1:$B$209,2,FALSE)</f>
        <v>Иванова</v>
      </c>
      <c r="K146" s="160">
        <f>IFERROR(VLOOKUP(J146,Списък!$B$3:$I$77,7,0),"")</f>
        <v>205</v>
      </c>
    </row>
    <row r="147" spans="1:11" ht="2.95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1.95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1.95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Славова</v>
      </c>
      <c r="E149" s="165">
        <f>IFERROR(VLOOKUP(D149,Списък!$B$3:$I$77,7,0),"")</f>
        <v>114</v>
      </c>
      <c r="F149" s="128" t="str">
        <f>VLOOKUP('Програма-кодове'!W16,Списък!$A$1:$B$209,2,FALSE)</f>
        <v>Вълчева</v>
      </c>
      <c r="G149" s="165">
        <f>IFERROR(VLOOKUP(F149,Списък!$B$3:$I$77,7,0),"")</f>
        <v>201</v>
      </c>
      <c r="H149" s="128" t="str">
        <f>VLOOKUP('Програма-кодове'!X16,Списък!$A$1:$B$209,2,FALSE)</f>
        <v>Попова</v>
      </c>
      <c r="I149" s="165" t="str">
        <f>IFERROR(VLOOKUP(H149,Списък!$B$3:$I$77,7,0),"")</f>
        <v>212/214/215/217</v>
      </c>
      <c r="J149" s="128" t="str">
        <f>VLOOKUP('Програма-кодове'!Y16,Списък!$A$1:$B$209,2,FALSE)</f>
        <v>Костова</v>
      </c>
      <c r="K149" s="160" t="str">
        <f>IFERROR(VLOOKUP(J149,Списък!$B$3:$I$77,7,0),"")</f>
        <v>212/214/215/217</v>
      </c>
    </row>
    <row r="150" spans="1:11" ht="11.95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Трандев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Вълчева</v>
      </c>
      <c r="G150" s="165">
        <f>IFERROR(VLOOKUP(F150,Списък!$B$3:$I$77,7,0),"")</f>
        <v>201</v>
      </c>
      <c r="H150" s="128" t="str">
        <f>VLOOKUP('Програма-кодове'!X17,Списък!$A$1:$B$209,2,FALSE)</f>
        <v>Коларова</v>
      </c>
      <c r="I150" s="165" t="str">
        <f>IFERROR(VLOOKUP(H150,Списък!$B$3:$I$77,7,0),"")</f>
        <v>212/214/215/217</v>
      </c>
      <c r="J150" s="128" t="str">
        <f>VLOOKUP('Програма-кодове'!Y17,Списък!$A$1:$B$209,2,FALSE)</f>
        <v>Костова</v>
      </c>
      <c r="K150" s="160" t="str">
        <f>IFERROR(VLOOKUP(J150,Списък!$B$3:$I$77,7,0),"")</f>
        <v>212/214/215/217</v>
      </c>
    </row>
    <row r="151" spans="1:11" ht="11.95" customHeight="1">
      <c r="A151" s="129">
        <v>3</v>
      </c>
      <c r="B151" s="12" t="str">
        <f>VLOOKUP('Програма-кодове'!U18,Списък!$A$1:$B$209,2,FALSE)</f>
        <v>Трандев</v>
      </c>
      <c r="C151" s="165" t="str">
        <f>IFERROR(VLOOKUP(B151,Списък!$B$3:$I$77,7,0),"")</f>
        <v>ФС</v>
      </c>
      <c r="D151" s="128" t="str">
        <f>VLOOKUP('Програма-кодове'!V18,Списък!$A$1:$B$209,2,FALSE)</f>
        <v>Костова</v>
      </c>
      <c r="E151" s="165" t="str">
        <f>IFERROR(VLOOKUP(D151,Списък!$B$3:$I$77,7,0),"")</f>
        <v>212/214/215/217</v>
      </c>
      <c r="F151" s="128" t="str">
        <f>VLOOKUP('Програма-кодове'!W18,Списък!$A$1:$B$209,2,FALSE)</f>
        <v>Киркова/К. Петрова</v>
      </c>
      <c r="G151" s="165" t="str">
        <f>IFERROR(VLOOKUP(F151,Списък!$B$3:$I$77,7,0),"")</f>
        <v>КК7/КК1</v>
      </c>
      <c r="H151" s="128" t="str">
        <f>VLOOKUP('Програма-кодове'!X18,Списък!$A$1:$B$209,2,FALSE)</f>
        <v>Петров ФВС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Данева</v>
      </c>
      <c r="K151" s="160">
        <f>IFERROR(VLOOKUP(J151,Списък!$B$3:$I$77,7,0),"")</f>
        <v>101</v>
      </c>
    </row>
    <row r="152" spans="1:11" ht="11.95" customHeight="1">
      <c r="A152" s="129">
        <v>4</v>
      </c>
      <c r="B152" s="12" t="str">
        <f>VLOOKUP('Програма-кодове'!U19,Списък!$A$1:$B$209,2,FALSE)</f>
        <v>Костова</v>
      </c>
      <c r="C152" s="165" t="str">
        <f>IFERROR(VLOOKUP(B152,Списък!$B$3:$I$77,7,0),"")</f>
        <v>212/214/215/217</v>
      </c>
      <c r="D152" s="128" t="str">
        <f>VLOOKUP('Програма-кодове'!V19,Списък!$A$1:$B$209,2,FALSE)</f>
        <v>Габарова</v>
      </c>
      <c r="E152" s="165">
        <f>IFERROR(VLOOKUP(D152,Списък!$B$3:$I$77,7,0),"")</f>
        <v>206</v>
      </c>
      <c r="F152" s="128" t="str">
        <f>VLOOKUP('Програма-кодове'!W19,Списък!$A$1:$B$209,2,FALSE)</f>
        <v>Данева</v>
      </c>
      <c r="G152" s="165">
        <f>IFERROR(VLOOKUP(F152,Списък!$B$3:$I$77,7,0),"")</f>
        <v>101</v>
      </c>
      <c r="H152" s="128" t="str">
        <f>VLOOKUP('Програма-кодове'!X19,Списък!$A$1:$B$209,2,FALSE)</f>
        <v>Киркова/К. Петрова</v>
      </c>
      <c r="I152" s="165" t="str">
        <f>IFERROR(VLOOKUP(H152,Списък!$B$3:$I$77,7,0),"")</f>
        <v>КК7/КК1</v>
      </c>
      <c r="J152" s="128" t="str">
        <f>VLOOKUP('Програма-кодове'!Y19,Списък!$A$1:$B$209,2,FALSE)</f>
        <v>Попова</v>
      </c>
      <c r="K152" s="160" t="str">
        <f>IFERROR(VLOOKUP(J152,Списък!$B$3:$I$77,7,0),"")</f>
        <v>212/214/215/217</v>
      </c>
    </row>
    <row r="153" spans="1:11" ht="11.95" customHeight="1">
      <c r="A153" s="129">
        <v>5</v>
      </c>
      <c r="B153" s="12" t="str">
        <f>VLOOKUP('Програма-кодове'!U20,Списък!$A$1:$B$209,2,FALSE)</f>
        <v>Киркова/К. Петрова</v>
      </c>
      <c r="C153" s="165" t="str">
        <f>IFERROR(VLOOKUP(B153,Списък!$B$3:$I$77,7,0),"")</f>
        <v>КК7/КК1</v>
      </c>
      <c r="D153" s="128" t="str">
        <f>VLOOKUP('Програма-кодове'!V20,Списък!$A$1:$B$209,2,FALSE)</f>
        <v>Влашинска</v>
      </c>
      <c r="E153" s="165" t="str">
        <f>IFERROR(VLOOKUP(D153,Списък!$B$3:$I$77,7,0),"")</f>
        <v>212/214/215/217</v>
      </c>
      <c r="F153" s="128" t="str">
        <f>VLOOKUP('Програма-кодове'!W20,Списък!$A$1:$B$209,2,FALSE)</f>
        <v>Кръстева</v>
      </c>
      <c r="G153" s="165">
        <f>IFERROR(VLOOKUP(F153,Списък!$B$3:$I$77,7,0),"")</f>
        <v>302</v>
      </c>
      <c r="H153" s="128" t="str">
        <f>VLOOKUP('Програма-кодове'!X20,Списък!$A$1:$B$209,2,FALSE)</f>
        <v>Клисарова</v>
      </c>
      <c r="I153" s="165">
        <f>IFERROR(VLOOKUP(H153,Списък!$B$3:$I$77,7,0),"")</f>
        <v>305</v>
      </c>
      <c r="J153" s="128" t="str">
        <f>VLOOKUP('Програма-кодове'!Y20,Списък!$A$1:$B$209,2,FALSE)</f>
        <v>Вълчева</v>
      </c>
      <c r="K153" s="160">
        <f>IFERROR(VLOOKUP(J153,Списък!$B$3:$I$77,7,0),"")</f>
        <v>201</v>
      </c>
    </row>
    <row r="154" spans="1:11" ht="11.95" customHeight="1">
      <c r="A154" s="129">
        <v>6</v>
      </c>
      <c r="B154" s="12" t="str">
        <f>VLOOKUP('Програма-кодове'!U21,Списък!$A$1:$B$209,2,FALSE)</f>
        <v>Попова</v>
      </c>
      <c r="C154" s="165" t="str">
        <f>IFERROR(VLOOKUP(B154,Списък!$B$3:$I$77,7,0),"")</f>
        <v>212/214/215/217</v>
      </c>
      <c r="D154" s="128" t="str">
        <f>VLOOKUP('Програма-кодове'!V21,Списък!$A$1:$B$209,2,FALSE)</f>
        <v>Киркова/К. Петрова</v>
      </c>
      <c r="E154" s="165" t="str">
        <f>IFERROR(VLOOKUP(D154,Списък!$B$3:$I$77,7,0),"")</f>
        <v>КК7/КК1</v>
      </c>
      <c r="F154" s="128" t="str">
        <f>VLOOKUP('Програма-кодове'!W21,Списък!$A$1:$B$209,2,FALSE)</f>
        <v>Влашинска</v>
      </c>
      <c r="G154" s="165" t="str">
        <f>IFERROR(VLOOKUP(F154,Списък!$B$3:$I$77,7,0),"")</f>
        <v>212/214/215/217</v>
      </c>
      <c r="H154" s="128" t="str">
        <f>VLOOKUP('Програма-кодове'!X21,Списък!$A$1:$B$209,2,FALSE)</f>
        <v>Данева</v>
      </c>
      <c r="I154" s="165">
        <f>IFERROR(VLOOKUP(H154,Списък!$B$3:$I$77,7,0),"")</f>
        <v>101</v>
      </c>
      <c r="J154" s="128" t="str">
        <f>VLOOKUP('Програма-кодове'!Y21,Списък!$A$1:$B$209,2,FALSE)</f>
        <v>Вълчева</v>
      </c>
      <c r="K154" s="160">
        <f>IFERROR(VLOOKUP(J154,Списък!$B$3:$I$77,7,0),"")</f>
        <v>201</v>
      </c>
    </row>
    <row r="155" spans="1:11" ht="11.95" customHeight="1">
      <c r="A155" s="129">
        <v>7</v>
      </c>
      <c r="B155" s="12" t="str">
        <f>VLOOKUP('Програма-кодове'!U22,Списък!$A$1:$B$209,2,FALSE)</f>
        <v>Киров</v>
      </c>
      <c r="C155" s="165" t="str">
        <f>IFERROR(VLOOKUP(B155,Списък!$B$3:$I$77,7,0),"")</f>
        <v>109/110/111/114/102/302</v>
      </c>
      <c r="D155" s="128" t="str">
        <f>VLOOKUP('Програма-кодове'!V22,Списък!$A$1:$B$209,2,FALSE)</f>
        <v>Кръстева</v>
      </c>
      <c r="E155" s="165">
        <f>IFERROR(VLOOKUP(D155,Списък!$B$3:$I$77,7,0),"")</f>
        <v>302</v>
      </c>
      <c r="F155" s="128" t="str">
        <f>VLOOKUP('Програма-кодове'!W22,Списък!$A$1:$B$209,2,FALSE)</f>
        <v>Данева</v>
      </c>
      <c r="G155" s="165">
        <f>IFERROR(VLOOKUP(F155,Списък!$B$3:$I$77,7,0),"")</f>
        <v>101</v>
      </c>
      <c r="H155" s="128" t="str">
        <f>VLOOKUP('Програма-кодове'!X22,Списък!$A$1:$B$209,2,FALSE)</f>
        <v>Попова</v>
      </c>
      <c r="I155" s="165" t="str">
        <f>IFERROR(VLOOKUP(H155,Списък!$B$3:$I$77,7,0),"")</f>
        <v>212/214/215/217</v>
      </c>
      <c r="J155" s="128" t="str">
        <f>VLOOKUP('Програма-кодове'!Y22,Списък!$A$1:$B$209,2,FALSE)</f>
        <v>Костова</v>
      </c>
      <c r="K155" s="160" t="str">
        <f>IFERROR(VLOOKUP(J155,Списък!$B$3:$I$77,7,0),"")</f>
        <v>212/214/215/217</v>
      </c>
    </row>
    <row r="156" spans="1:11" ht="2.95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1.95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1.95" customHeight="1">
      <c r="A158" s="129">
        <v>1</v>
      </c>
      <c r="B158" s="12" t="str">
        <f>VLOOKUP('Програма-кодове'!Z16,Списък!$A$1:$B$209,2,FALSE)</f>
        <v>Батимов</v>
      </c>
      <c r="C158" s="160">
        <f>IFERROR(VLOOKUP(B158,Списък!$B$3:$I$77,7,0),"")</f>
        <v>303</v>
      </c>
      <c r="D158" s="128" t="str">
        <f>VLOOKUP('Програма-кодове'!AA16,Списък!$A$1:$B$209,2,FALSE)</f>
        <v>Н. Николова</v>
      </c>
      <c r="E158" s="160">
        <f>IFERROR(VLOOKUP(D158,Списък!$B$3:$I$77,7,0),"")</f>
        <v>202</v>
      </c>
      <c r="F158" s="128" t="str">
        <f>VLOOKUP('Програма-кодове'!AB16,Списък!$A$1:$B$209,2,FALSE)</f>
        <v>Чанкова</v>
      </c>
      <c r="G158" s="160">
        <f>IFERROR(VLOOKUP(F158,Списък!$B$3:$I$77,7,0),"")</f>
        <v>105</v>
      </c>
      <c r="H158" s="128" t="str">
        <f>VLOOKUP('Програма-кодове'!AC16,Списък!$A$1:$B$209,2,FALSE)</f>
        <v>Христонова/Цветков</v>
      </c>
      <c r="I158" s="160" t="str">
        <f>IFERROR(VLOOKUP(H158,Списък!$B$3:$I$77,7,0),"")</f>
        <v>КК4/КК6</v>
      </c>
      <c r="J158" s="128" t="str">
        <f>VLOOKUP('Програма-кодове'!AD16,Списък!$A$1:$B$209,2,FALSE)</f>
        <v>Филипова</v>
      </c>
      <c r="K158" s="160" t="str">
        <f>IFERROR(VLOOKUP(J158,Списък!$B$3:$I$77,7,0),"")</f>
        <v>109/110/301/302/306</v>
      </c>
    </row>
    <row r="159" spans="1:11" ht="11.95" customHeight="1">
      <c r="A159" s="129">
        <v>2</v>
      </c>
      <c r="B159" s="12" t="str">
        <f>VLOOKUP('Програма-кодове'!Z17,Списък!$A$1:$B$209,2,FALSE)</f>
        <v>Батимов</v>
      </c>
      <c r="C159" s="160">
        <f>IFERROR(VLOOKUP(B159,Списък!$B$3:$I$77,7,0),"")</f>
        <v>303</v>
      </c>
      <c r="D159" s="128" t="str">
        <f>VLOOKUP('Програма-кодове'!AA17,Списък!$A$1:$B$209,2,FALSE)</f>
        <v>Славова</v>
      </c>
      <c r="E159" s="160">
        <f>IFERROR(VLOOKUP(D159,Списък!$B$3:$I$77,7,0),"")</f>
        <v>114</v>
      </c>
      <c r="F159" s="128" t="str">
        <f>VLOOKUP('Програма-кодове'!AB17,Списък!$A$1:$B$209,2,FALSE)</f>
        <v>Чанкова</v>
      </c>
      <c r="G159" s="160">
        <f>IFERROR(VLOOKUP(F159,Списък!$B$3:$I$77,7,0),"")</f>
        <v>105</v>
      </c>
      <c r="H159" s="128" t="str">
        <f>VLOOKUP('Програма-кодове'!AC17,Списък!$A$1:$B$209,2,FALSE)</f>
        <v>Филипова</v>
      </c>
      <c r="I159" s="160" t="str">
        <f>IFERROR(VLOOKUP(H159,Списък!$B$3:$I$77,7,0),"")</f>
        <v>109/110/301/302/306</v>
      </c>
      <c r="J159" s="128" t="str">
        <f>VLOOKUP('Програма-кодове'!AD17,Списък!$A$1:$B$209,2,FALSE)</f>
        <v>Минчева</v>
      </c>
      <c r="K159" s="160" t="str">
        <f>IFERROR(VLOOKUP(J159,Списък!$B$3:$I$77,7,0),"")</f>
        <v>212/214/215/217</v>
      </c>
    </row>
    <row r="160" spans="1:11" ht="11.95" customHeight="1">
      <c r="A160" s="129">
        <v>3</v>
      </c>
      <c r="B160" s="12" t="str">
        <f>VLOOKUP('Програма-кодове'!Z18,Списък!$A$1:$B$209,2,FALSE)</f>
        <v>В. Иванова</v>
      </c>
      <c r="C160" s="160">
        <f>IFERROR(VLOOKUP(B160,Списък!$B$3:$I$77,7,0),"")</f>
        <v>109</v>
      </c>
      <c r="D160" s="128" t="str">
        <f>VLOOKUP('Програма-кодове'!AA18,Списък!$A$1:$B$209,2,FALSE)</f>
        <v>Христонова/Цветков</v>
      </c>
      <c r="E160" s="160" t="str">
        <f>IFERROR(VLOOKUP(D160,Списък!$B$3:$I$77,7,0),"")</f>
        <v>КК4/КК6</v>
      </c>
      <c r="F160" s="128" t="str">
        <f>VLOOKUP('Програма-кодове'!AB18,Списък!$A$1:$B$209,2,FALSE)</f>
        <v>Гочева</v>
      </c>
      <c r="G160" s="160">
        <f>IFERROR(VLOOKUP(F160,Списък!$B$3:$I$77,7,0),"")</f>
        <v>301</v>
      </c>
      <c r="H160" s="128" t="str">
        <f>VLOOKUP('Програма-кодове'!AC18,Списък!$A$1:$B$209,2,FALSE)</f>
        <v>Чанкова</v>
      </c>
      <c r="I160" s="160">
        <f>IFERROR(VLOOKUP(H160,Списък!$B$3:$I$77,7,0),"")</f>
        <v>105</v>
      </c>
      <c r="J160" s="128" t="str">
        <f>VLOOKUP('Програма-кодове'!AD18,Списък!$A$1:$B$209,2,FALSE)</f>
        <v>Козалиева</v>
      </c>
      <c r="K160" s="160" t="str">
        <f>IFERROR(VLOOKUP(J160,Списък!$B$3:$I$77,7,0),"")</f>
        <v>212/214/215/217</v>
      </c>
    </row>
    <row r="161" spans="1:12" ht="11.95" customHeight="1">
      <c r="A161" s="129">
        <v>4</v>
      </c>
      <c r="B161" s="12" t="str">
        <f>VLOOKUP('Програма-кодове'!Z19,Списък!$A$1:$B$209,2,FALSE)</f>
        <v>Н. Николова</v>
      </c>
      <c r="C161" s="160">
        <f>IFERROR(VLOOKUP(B161,Списък!$B$3:$I$77,7,0),"")</f>
        <v>202</v>
      </c>
      <c r="D161" s="128" t="str">
        <f>VLOOKUP('Програма-кодове'!AA19,Списък!$A$1:$B$209,2,FALSE)</f>
        <v>В. Иванова</v>
      </c>
      <c r="E161" s="160">
        <f>IFERROR(VLOOKUP(D161,Списък!$B$3:$I$77,7,0),"")</f>
        <v>109</v>
      </c>
      <c r="F161" s="128" t="str">
        <f>VLOOKUP('Програма-кодове'!AB19,Списък!$A$1:$B$209,2,FALSE)</f>
        <v>Христонова/Цветков</v>
      </c>
      <c r="G161" s="160" t="str">
        <f>IFERROR(VLOOKUP(F161,Списък!$B$3:$I$77,7,0),"")</f>
        <v>КК4/КК6</v>
      </c>
      <c r="H161" s="128" t="str">
        <f>VLOOKUP('Програма-кодове'!AC19,Списък!$A$1:$B$209,2,FALSE)</f>
        <v>Чанкова</v>
      </c>
      <c r="I161" s="160">
        <f>IFERROR(VLOOKUP(H161,Списък!$B$3:$I$77,7,0),"")</f>
        <v>105</v>
      </c>
      <c r="J161" s="128" t="str">
        <f>VLOOKUP('Програма-кодове'!AD19,Списък!$A$1:$B$209,2,FALSE)</f>
        <v>Козалиева</v>
      </c>
      <c r="K161" s="160" t="str">
        <f>IFERROR(VLOOKUP(J161,Списък!$B$3:$I$77,7,0),"")</f>
        <v>212/214/215/217</v>
      </c>
    </row>
    <row r="162" spans="1:12" ht="11.95" customHeight="1">
      <c r="A162" s="129">
        <v>5</v>
      </c>
      <c r="B162" s="12" t="str">
        <f>VLOOKUP('Програма-кодове'!Z20,Списък!$A$1:$B$209,2,FALSE)</f>
        <v>Славова</v>
      </c>
      <c r="C162" s="160">
        <f>IFERROR(VLOOKUP(B162,Списък!$B$3:$I$77,7,0),"")</f>
        <v>114</v>
      </c>
      <c r="D162" s="128" t="str">
        <f>VLOOKUP('Програма-кодове'!AA20,Списък!$A$1:$B$209,2,FALSE)</f>
        <v>Гочева</v>
      </c>
      <c r="E162" s="160">
        <f>IFERROR(VLOOKUP(D162,Списък!$B$3:$I$77,7,0),"")</f>
        <v>301</v>
      </c>
      <c r="F162" s="128" t="str">
        <f>VLOOKUP('Програма-кодове'!AB20,Списък!$A$1:$B$209,2,FALSE)</f>
        <v>Христонова/Цветков</v>
      </c>
      <c r="G162" s="160" t="str">
        <f>IFERROR(VLOOKUP(F162,Списък!$B$3:$I$77,7,0),"")</f>
        <v>КК4/КК6</v>
      </c>
      <c r="H162" s="128" t="str">
        <f>VLOOKUP('Програма-кодове'!AC20,Списък!$A$1:$B$209,2,FALSE)</f>
        <v>Даскалова</v>
      </c>
      <c r="I162" s="160">
        <f>IFERROR(VLOOKUP(H162,Списък!$B$3:$I$77,7,0),"")</f>
        <v>108</v>
      </c>
      <c r="J162" s="128" t="str">
        <f>VLOOKUP('Програма-кодове'!AD20,Списък!$A$1:$B$209,2,FALSE)</f>
        <v>Киров</v>
      </c>
      <c r="K162" s="160" t="str">
        <f>IFERROR(VLOOKUP(J162,Списък!$B$3:$I$77,7,0),"")</f>
        <v>109/110/111/114/102/302</v>
      </c>
    </row>
    <row r="163" spans="1:12" ht="11.95" customHeight="1">
      <c r="A163" s="129">
        <v>6</v>
      </c>
      <c r="B163" s="12" t="str">
        <f>VLOOKUP('Програма-кодове'!Z21,Списък!$A$1:$B$209,2,FALSE)</f>
        <v>Христонова/Цветков</v>
      </c>
      <c r="C163" s="160" t="str">
        <f>IFERROR(VLOOKUP(B163,Списък!$B$3:$I$77,7,0),"")</f>
        <v>КК4/КК6</v>
      </c>
      <c r="D163" s="128" t="str">
        <f>VLOOKUP('Програма-кодове'!AA21,Списък!$A$1:$B$209,2,FALSE)</f>
        <v>Гочева</v>
      </c>
      <c r="E163" s="160">
        <f>IFERROR(VLOOKUP(D163,Списък!$B$3:$I$77,7,0),"")</f>
        <v>301</v>
      </c>
      <c r="F163" s="128" t="str">
        <f>VLOOKUP('Програма-кодове'!AB21,Списък!$A$1:$B$209,2,FALSE)</f>
        <v>Филипова</v>
      </c>
      <c r="G163" s="160" t="str">
        <f>IFERROR(VLOOKUP(F163,Списък!$B$3:$I$77,7,0),"")</f>
        <v>109/110/301/302/306</v>
      </c>
      <c r="H163" s="128" t="str">
        <f>VLOOKUP('Програма-кодове'!AC21,Списък!$A$1:$B$209,2,FALSE)</f>
        <v>Даскалова</v>
      </c>
      <c r="I163" s="160">
        <f>IFERROR(VLOOKUP(H163,Списък!$B$3:$I$77,7,0),"")</f>
        <v>108</v>
      </c>
      <c r="J163" s="128" t="str">
        <f>VLOOKUP('Програма-кодове'!AD21,Списък!$A$1:$B$209,2,FALSE)</f>
        <v>Чанкова</v>
      </c>
      <c r="K163" s="160">
        <f>IFERROR(VLOOKUP(J163,Списък!$B$3:$I$77,7,0),"")</f>
        <v>105</v>
      </c>
    </row>
    <row r="164" spans="1:12" ht="11.95" customHeight="1">
      <c r="A164" s="143">
        <v>7</v>
      </c>
      <c r="B164" s="147" t="str">
        <f>VLOOKUP('Програма-кодове'!Z22,Списък!$A$1:$B$209,2,FALSE)</f>
        <v>Тодорова</v>
      </c>
      <c r="C164" s="162" t="str">
        <f>IFERROR(VLOOKUP(B164,Списък!$B$3:$I$77,7,0),"")</f>
        <v>107/108/206/301/302/305</v>
      </c>
      <c r="D164" s="135" t="str">
        <f>VLOOKUP('Програма-кодове'!AA22,Списък!$A$1:$B$209,2,FALSE)</f>
        <v>Гочева</v>
      </c>
      <c r="E164" s="162">
        <f>IFERROR(VLOOKUP(D164,Списък!$B$3:$I$77,7,0),"")</f>
        <v>301</v>
      </c>
      <c r="F164" s="135" t="str">
        <f>VLOOKUP('Програма-кодове'!AB22,Списък!$A$1:$B$209,2,FALSE)</f>
        <v>Чанкова</v>
      </c>
      <c r="G164" s="162">
        <f>IFERROR(VLOOKUP(F164,Списък!$B$3:$I$77,7,0),"")</f>
        <v>105</v>
      </c>
      <c r="H164" s="135" t="str">
        <f>VLOOKUP('Програма-кодове'!AC22,Списък!$A$1:$B$209,2,FALSE)</f>
        <v>Даскалова</v>
      </c>
      <c r="I164" s="162">
        <f>IFERROR(VLOOKUP(H164,Списък!$B$3:$I$77,7,0),"")</f>
        <v>108</v>
      </c>
      <c r="J164" s="135" t="str">
        <f>VLOOKUP('Програма-кодове'!AD22,Списък!$A$1:$B$209,2,FALSE)</f>
        <v>Козалиева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29.95" customHeight="1">
      <c r="A166" s="431" t="s">
        <v>27</v>
      </c>
      <c r="B166" s="431"/>
      <c r="C166" s="431"/>
      <c r="D166" s="431"/>
      <c r="E166" s="431"/>
      <c r="F166" s="431"/>
      <c r="G166" s="431"/>
      <c r="H166" s="431"/>
      <c r="I166" s="431"/>
      <c r="J166" s="431"/>
      <c r="K166" s="431"/>
    </row>
    <row r="167" spans="1:12" s="13" customFormat="1" ht="11.95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1.95" customHeight="1">
      <c r="A168" s="129">
        <v>1</v>
      </c>
      <c r="B168" s="128" t="str">
        <f>VLOOKUP('Програма-кодове'!C23,Списък!$A$1:$B$209,2,FALSE)</f>
        <v>Стефанова</v>
      </c>
      <c r="C168" s="165" t="str">
        <f>IFERROR(VLOOKUP(B168,Списък!$B$3:$I$77,7,0),"")</f>
        <v>201/202/203/205/206</v>
      </c>
      <c r="D168" s="128" t="str">
        <f>VLOOKUP('Програма-кодове'!D23,Списък!$A$1:$B$209,2,FALSE)</f>
        <v>Иванова</v>
      </c>
      <c r="E168" s="165">
        <f>IFERROR(VLOOKUP(D168,Списък!$B$3:$I$77,7,0),"")</f>
        <v>205</v>
      </c>
      <c r="F168" s="128" t="str">
        <f>VLOOKUP('Програма-кодове'!E23,Списък!$A$1:$B$209,2,FALSE)</f>
        <v>Трифонова</v>
      </c>
      <c r="G168" s="160">
        <f>IFERROR(VLOOKUP(F168,Списък!$B$3:$I$77,7,0),"")</f>
        <v>203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1.95" customHeight="1">
      <c r="A169" s="129">
        <v>2</v>
      </c>
      <c r="B169" s="128" t="str">
        <f>VLOOKUP('Програма-кодове'!C24,Списък!$A$1:$B$209,2,FALSE)</f>
        <v>Стефанова</v>
      </c>
      <c r="C169" s="165" t="str">
        <f>IFERROR(VLOOKUP(B169,Списък!$B$3:$I$77,7,0),"")</f>
        <v>201/202/203/205/206</v>
      </c>
      <c r="D169" s="128" t="str">
        <f>VLOOKUP('Програма-кодове'!D24,Списък!$A$1:$B$209,2,FALSE)</f>
        <v>Н. Николова</v>
      </c>
      <c r="E169" s="165">
        <f>IFERROR(VLOOKUP(D169,Списък!$B$3:$I$77,7,0),"")</f>
        <v>202</v>
      </c>
      <c r="F169" s="128" t="str">
        <f>VLOOKUP('Програма-кодове'!E24,Списък!$A$1:$B$209,2,FALSE)</f>
        <v>Трифонова</v>
      </c>
      <c r="G169" s="160">
        <f>IFERROR(VLOOKUP(F169,Списък!$B$3:$I$77,7,0),"")</f>
        <v>203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1.95" customHeight="1">
      <c r="A170" s="129">
        <v>3</v>
      </c>
      <c r="B170" s="128" t="str">
        <f>VLOOKUP('Програма-кодове'!C25,Списък!$A$1:$B$209,2,FALSE)</f>
        <v>Даскалова</v>
      </c>
      <c r="C170" s="165">
        <f>IFERROR(VLOOKUP(B170,Списък!$B$3:$I$77,7,0),"")</f>
        <v>108</v>
      </c>
      <c r="D170" s="128" t="str">
        <f>VLOOKUP('Програма-кодове'!D25,Списък!$A$1:$B$209,2,FALSE)</f>
        <v>Пецова</v>
      </c>
      <c r="E170" s="165" t="str">
        <f>IFERROR(VLOOKUP(D170,Списък!$B$3:$I$77,7,0),"")</f>
        <v>102/105/111/112</v>
      </c>
      <c r="F170" s="128" t="str">
        <f>VLOOKUP('Програма-кодове'!E25,Списък!$A$1:$B$209,2,FALSE)</f>
        <v>Гинева</v>
      </c>
      <c r="G170" s="160">
        <f>IFERROR(VLOOKUP(F170,Списък!$B$3:$I$77,7,0),"")</f>
        <v>102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1.95" customHeight="1">
      <c r="A171" s="129">
        <v>4</v>
      </c>
      <c r="B171" s="128" t="str">
        <f>VLOOKUP('Програма-кодове'!C26,Списък!$A$1:$B$209,2,FALSE)</f>
        <v>Киров</v>
      </c>
      <c r="C171" s="165" t="str">
        <f>IFERROR(VLOOKUP(B171,Списък!$B$3:$I$77,7,0),"")</f>
        <v>109/110/111/114/102/302</v>
      </c>
      <c r="D171" s="128" t="str">
        <f>VLOOKUP('Програма-кодове'!D26,Списък!$A$1:$B$209,2,FALSE)</f>
        <v>Краева</v>
      </c>
      <c r="E171" s="165">
        <f>IFERROR(VLOOKUP(D171,Списък!$B$3:$I$77,7,0),"")</f>
        <v>306</v>
      </c>
      <c r="F171" s="128" t="str">
        <f>VLOOKUP('Програма-кодове'!E26,Списък!$A$1:$B$209,2,FALSE)</f>
        <v>Костова</v>
      </c>
      <c r="G171" s="160" t="str">
        <f>IFERROR(VLOOKUP(F171,Списък!$B$3:$I$77,7,0),"")</f>
        <v>212/214/215/217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1.95" customHeight="1">
      <c r="A172" s="129">
        <v>5</v>
      </c>
      <c r="B172" s="128" t="str">
        <f>VLOOKUP('Програма-кодове'!C27,Списък!$A$1:$B$209,2,FALSE)</f>
        <v>Пецова</v>
      </c>
      <c r="C172" s="165" t="str">
        <f>IFERROR(VLOOKUP(B172,Списък!$B$3:$I$77,7,0),"")</f>
        <v>102/105/111/112</v>
      </c>
      <c r="D172" s="128" t="str">
        <f>VLOOKUP('Програма-кодове'!D27,Списък!$A$1:$B$209,2,FALSE)</f>
        <v>Краева</v>
      </c>
      <c r="E172" s="165">
        <f>IFERROR(VLOOKUP(D172,Списък!$B$3:$I$77,7,0),"")</f>
        <v>306</v>
      </c>
      <c r="F172" s="128" t="str">
        <f>VLOOKUP('Програма-кодове'!E27,Списък!$A$1:$B$209,2,FALSE)</f>
        <v>Кръстева</v>
      </c>
      <c r="G172" s="160">
        <f>IFERROR(VLOOKUP(F172,Списък!$B$3:$I$77,7,0),"")</f>
        <v>302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1.95" customHeight="1">
      <c r="A173" s="129">
        <v>6</v>
      </c>
      <c r="B173" s="128" t="str">
        <f>VLOOKUP('Програма-кодове'!C28,Списък!$A$1:$B$209,2,FALSE)</f>
        <v>Клисарова</v>
      </c>
      <c r="C173" s="165">
        <f>IFERROR(VLOOKUP(B173,Списък!$B$3:$I$77,7,0),"")</f>
        <v>305</v>
      </c>
      <c r="D173" s="128" t="str">
        <f>VLOOKUP('Програма-кодове'!D28,Списък!$A$1:$B$209,2,FALSE)</f>
        <v>Киров</v>
      </c>
      <c r="E173" s="165" t="str">
        <f>IFERROR(VLOOKUP(D173,Списък!$B$3:$I$77,7,0),"")</f>
        <v>109/110/111/114/102/302</v>
      </c>
      <c r="F173" s="128" t="str">
        <f>VLOOKUP('Програма-кодове'!E28,Списък!$A$1:$B$209,2,FALSE)</f>
        <v>Петров</v>
      </c>
      <c r="G173" s="160">
        <f>IFERROR(VLOOKUP(F173,Списък!$B$3:$I$77,7,0),"")</f>
        <v>112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1.95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2.95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1.95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1.95" customHeight="1">
      <c r="A177" s="129">
        <v>1</v>
      </c>
      <c r="B177" s="128" t="str">
        <f>VLOOKUP('Програма-кодове'!F23,Списък!$A$1:$B$209,2,FALSE)</f>
        <v>Спасова</v>
      </c>
      <c r="C177" s="165" t="str">
        <f>IFERROR(VLOOKUP(B177,Списък!$B$3:$I$77,7,0),"")</f>
        <v>106, 103, 104, 205, 206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Д. Иванова</v>
      </c>
      <c r="G177" s="165" t="str">
        <f>IFERROR(VLOOKUP(F177,Списък!$B$3:$I$77,7,0),"")</f>
        <v>КК6</v>
      </c>
      <c r="H177" s="128" t="str">
        <f>VLOOKUP('Програма-кодове'!I23,Списък!$A$1:$B$209,2,FALSE)</f>
        <v>Филипова</v>
      </c>
      <c r="I177" s="165" t="str">
        <f>IFERROR(VLOOKUP(H177,Списък!$B$3:$I$77,7,0),"")</f>
        <v>109/110/301/302/306</v>
      </c>
      <c r="J177" s="128" t="str">
        <f>VLOOKUP('Програма-кодове'!J23,Списък!$A$1:$B$209,2,FALSE)</f>
        <v>Маркова</v>
      </c>
      <c r="K177" s="160">
        <f>IFERROR(VLOOKUP(J177,Списък!$B$3:$I$77,7,0),"")</f>
        <v>103</v>
      </c>
    </row>
    <row r="178" spans="1:11" ht="11.95" customHeight="1">
      <c r="A178" s="129">
        <v>2</v>
      </c>
      <c r="B178" s="128" t="str">
        <f>VLOOKUP('Програма-кодове'!F24,Списък!$A$1:$B$209,2,FALSE)</f>
        <v>Спасова</v>
      </c>
      <c r="C178" s="165" t="str">
        <f>IFERROR(VLOOKUP(B178,Списък!$B$3:$I$77,7,0),"")</f>
        <v>106, 103, 104, 205, 206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Филипова</v>
      </c>
      <c r="G178" s="165" t="str">
        <f>IFERROR(VLOOKUP(F178,Списък!$B$3:$I$77,7,0),"")</f>
        <v>109/110/301/302/306</v>
      </c>
      <c r="H178" s="128" t="str">
        <f>VLOOKUP('Програма-кодове'!I24,Списък!$A$1:$B$209,2,FALSE)</f>
        <v>Гинева</v>
      </c>
      <c r="I178" s="165">
        <f>IFERROR(VLOOKUP(H178,Списък!$B$3:$I$77,7,0),"")</f>
        <v>102</v>
      </c>
      <c r="J178" s="128" t="str">
        <f>VLOOKUP('Програма-кодове'!J24,Списък!$A$1:$B$209,2,FALSE)</f>
        <v>Маркова</v>
      </c>
      <c r="K178" s="160">
        <f>IFERROR(VLOOKUP(J178,Списък!$B$3:$I$77,7,0),"")</f>
        <v>103</v>
      </c>
    </row>
    <row r="179" spans="1:11" ht="11.95" customHeight="1">
      <c r="A179" s="129">
        <v>3</v>
      </c>
      <c r="B179" s="128" t="str">
        <f>VLOOKUP('Програма-кодове'!F25,Списък!$A$1:$B$209,2,FALSE)</f>
        <v>Спасова</v>
      </c>
      <c r="C179" s="165" t="str">
        <f>IFERROR(VLOOKUP(B179,Списък!$B$3:$I$77,7,0),"")</f>
        <v>106, 103, 104, 205, 206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Д. Николова</v>
      </c>
      <c r="G179" s="165">
        <f>IFERROR(VLOOKUP(F179,Списък!$B$3:$I$77,7,0),"")</f>
        <v>106</v>
      </c>
      <c r="H179" s="128" t="str">
        <f>VLOOKUP('Програма-кодове'!I25,Списък!$A$1:$B$209,2,FALSE)</f>
        <v>Тонева</v>
      </c>
      <c r="I179" s="165" t="str">
        <f>IFERROR(VLOOKUP(H179,Списък!$B$3:$I$77,7,0),"")</f>
        <v>ФС</v>
      </c>
      <c r="J179" s="128" t="str">
        <f>VLOOKUP('Програма-кодове'!J25,Списък!$A$1:$B$209,2,FALSE)</f>
        <v>Маркова</v>
      </c>
      <c r="K179" s="160">
        <f>IFERROR(VLOOKUP(J179,Списък!$B$3:$I$77,7,0),"")</f>
        <v>103</v>
      </c>
    </row>
    <row r="180" spans="1:11" ht="11.95" customHeight="1">
      <c r="A180" s="129">
        <v>4</v>
      </c>
      <c r="B180" s="128" t="str">
        <f>VLOOKUP('Програма-кодове'!F26,Списък!$A$1:$B$209,2,FALSE)</f>
        <v>Мерджанова</v>
      </c>
      <c r="C180" s="165">
        <f>IFERROR(VLOOKUP(B180,Списък!$B$3:$I$77,7,0),"")</f>
        <v>304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Д. Николова</v>
      </c>
      <c r="G180" s="165">
        <f>IFERROR(VLOOKUP(F180,Списък!$B$3:$I$77,7,0),"")</f>
        <v>106</v>
      </c>
      <c r="H180" s="128" t="str">
        <f>VLOOKUP('Програма-кодове'!I26,Списък!$A$1:$B$209,2,FALSE)</f>
        <v>Гинева</v>
      </c>
      <c r="I180" s="165">
        <f>IFERROR(VLOOKUP(H180,Списък!$B$3:$I$77,7,0),"")</f>
        <v>102</v>
      </c>
      <c r="J180" s="128" t="str">
        <f>VLOOKUP('Програма-кодове'!J26,Списък!$A$1:$B$209,2,FALSE)</f>
        <v>Маркова</v>
      </c>
      <c r="K180" s="160">
        <f>IFERROR(VLOOKUP(J180,Списък!$B$3:$I$77,7,0),"")</f>
        <v>103</v>
      </c>
    </row>
    <row r="181" spans="1:11" ht="11.95" customHeight="1">
      <c r="A181" s="129">
        <v>5</v>
      </c>
      <c r="B181" s="128" t="str">
        <f>VLOOKUP('Програма-кодове'!F27,Списък!$A$1:$B$209,2,FALSE)</f>
        <v>Филипова</v>
      </c>
      <c r="C181" s="165" t="str">
        <f>IFERROR(VLOOKUP(B181,Списък!$B$3:$I$77,7,0),"")</f>
        <v>109/110/301/302/306</v>
      </c>
      <c r="D181" s="128" t="str">
        <f>VLOOKUP('Програма-кодове'!G27,Списък!$A$1:$B$209,2,FALSE)</f>
        <v>Тонева</v>
      </c>
      <c r="E181" s="165" t="str">
        <f>IFERROR(VLOOKUP(D181,Списък!$B$3:$I$77,7,0),"")</f>
        <v>ФС</v>
      </c>
      <c r="F181" s="128" t="str">
        <f>VLOOKUP('Програма-кодове'!H27,Списък!$A$1:$B$209,2,FALSE)</f>
        <v>Д. Николова</v>
      </c>
      <c r="G181" s="165">
        <f>IFERROR(VLOOKUP(F181,Списък!$B$3:$I$77,7,0),"")</f>
        <v>106</v>
      </c>
      <c r="H181" s="128" t="str">
        <f>VLOOKUP('Програма-кодове'!I27,Списък!$A$1:$B$209,2,FALSE)</f>
        <v>Гинева</v>
      </c>
      <c r="I181" s="165">
        <f>IFERROR(VLOOKUP(H181,Списък!$B$3:$I$77,7,0),"")</f>
        <v>102</v>
      </c>
      <c r="J181" s="128" t="str">
        <f>VLOOKUP('Програма-кодове'!J27,Списък!$A$1:$B$209,2,FALSE)</f>
        <v>Мерджанова</v>
      </c>
      <c r="K181" s="160">
        <f>IFERROR(VLOOKUP(J181,Списък!$B$3:$I$77,7,0),"")</f>
        <v>304</v>
      </c>
    </row>
    <row r="182" spans="1:11" ht="11.95" customHeight="1">
      <c r="A182" s="129">
        <v>6</v>
      </c>
      <c r="B182" s="128" t="str">
        <f>VLOOKUP('Програма-кодове'!F28,Списък!$A$1:$B$209,2,FALSE)</f>
        <v>Стефанова</v>
      </c>
      <c r="C182" s="165" t="str">
        <f>IFERROR(VLOOKUP(B182,Списък!$B$3:$I$77,7,0),"")</f>
        <v>201/202/203/205/206</v>
      </c>
      <c r="D182" s="128" t="str">
        <f>VLOOKUP('Програма-кодове'!G28,Списък!$A$1:$B$209,2,FALSE)</f>
        <v>Филипова</v>
      </c>
      <c r="E182" s="165" t="str">
        <f>IFERROR(VLOOKUP(D182,Списък!$B$3:$I$77,7,0),"")</f>
        <v>109/110/301/302/306</v>
      </c>
      <c r="F182" s="128" t="str">
        <f>VLOOKUP('Програма-кодове'!H28,Списък!$A$1:$B$209,2,FALSE)</f>
        <v>Д. Николова</v>
      </c>
      <c r="G182" s="165">
        <f>IFERROR(VLOOKUP(F182,Списък!$B$3:$I$77,7,0),"")</f>
        <v>106</v>
      </c>
      <c r="H182" s="128" t="str">
        <f>VLOOKUP('Програма-кодове'!I28,Списък!$A$1:$B$209,2,FALSE)</f>
        <v>Гинева</v>
      </c>
      <c r="I182" s="165">
        <f>IFERROR(VLOOKUP(H182,Списък!$B$3:$I$77,7,0),"")</f>
        <v>102</v>
      </c>
      <c r="J182" s="128" t="str">
        <f>VLOOKUP('Програма-кодове'!J28,Списък!$A$1:$B$209,2,FALSE)</f>
        <v>Пецова</v>
      </c>
      <c r="K182" s="160" t="str">
        <f>IFERROR(VLOOKUP(J182,Списък!$B$3:$I$77,7,0),"")</f>
        <v>102/105/111/112</v>
      </c>
    </row>
    <row r="183" spans="1:11" ht="11.95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2.95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1.95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1.95" customHeight="1">
      <c r="A186" s="129">
        <v>1</v>
      </c>
      <c r="B186" s="128" t="str">
        <f>VLOOKUP('Програма-кодове'!K23,Списък!$A$1:$B$209,2,FALSE)</f>
        <v>Киров</v>
      </c>
      <c r="C186" s="165" t="str">
        <f>IFERROR(VLOOKUP(B186,Списък!$B$3:$I$77,7,0),"")</f>
        <v>109/110/111/114/102/302</v>
      </c>
      <c r="D186" s="128" t="str">
        <f>VLOOKUP('Програма-кодове'!L23,Списък!$A$1:$B$209,2,FALSE)</f>
        <v>Влашинска</v>
      </c>
      <c r="E186" s="165" t="str">
        <f>IFERROR(VLOOKUP(D186,Списък!$B$3:$I$77,7,0),"")</f>
        <v>212/214/215/217</v>
      </c>
      <c r="F186" s="128" t="str">
        <f>VLOOKUP('Програма-кодове'!M23,Списък!$A$1:$B$209,2,FALSE)</f>
        <v>Славова</v>
      </c>
      <c r="G186" s="165">
        <f>IFERROR(VLOOKUP(F186,Списък!$B$3:$I$77,7,0),"")</f>
        <v>114</v>
      </c>
      <c r="H186" s="128" t="str">
        <f>VLOOKUP('Програма-кодове'!N23,Списък!$A$1:$B$209,2,FALSE)</f>
        <v>Трандев</v>
      </c>
      <c r="I186" s="165" t="str">
        <f>IFERROR(VLOOKUP(H186,Списък!$B$3:$I$77,7,0),"")</f>
        <v>ФС</v>
      </c>
      <c r="J186" s="128" t="str">
        <f>VLOOKUP('Програма-кодове'!O23,Списък!$A$1:$B$209,2,FALSE)</f>
        <v>Латева</v>
      </c>
      <c r="K186" s="160">
        <f>IFERROR(VLOOKUP(J186,Списък!$B$3:$I$77,7,0),"")</f>
        <v>110</v>
      </c>
    </row>
    <row r="187" spans="1:11" ht="11.95" customHeight="1">
      <c r="A187" s="129">
        <v>2</v>
      </c>
      <c r="B187" s="128" t="str">
        <f>VLOOKUP('Програма-кодове'!K24,Списък!$A$1:$B$209,2,FALSE)</f>
        <v>Влашинска</v>
      </c>
      <c r="C187" s="165" t="str">
        <f>IFERROR(VLOOKUP(B187,Списък!$B$3:$I$77,7,0),"")</f>
        <v>212/214/215/217</v>
      </c>
      <c r="D187" s="128" t="str">
        <f>VLOOKUP('Програма-кодове'!L24,Списък!$A$1:$B$209,2,FALSE)</f>
        <v>Трандев</v>
      </c>
      <c r="E187" s="165" t="str">
        <f>IFERROR(VLOOKUP(D187,Списък!$B$3:$I$77,7,0),"")</f>
        <v>ФС</v>
      </c>
      <c r="F187" s="128" t="str">
        <f>VLOOKUP('Програма-кодове'!M24,Списък!$A$1:$B$209,2,FALSE)</f>
        <v>Попова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Петров</v>
      </c>
      <c r="I187" s="165">
        <f>IFERROR(VLOOKUP(H187,Списък!$B$3:$I$77,7,0),"")</f>
        <v>112</v>
      </c>
      <c r="J187" s="128" t="str">
        <f>VLOOKUP('Програма-кодове'!O24,Списък!$A$1:$B$209,2,FALSE)</f>
        <v>Славова</v>
      </c>
      <c r="K187" s="160">
        <f>IFERROR(VLOOKUP(J187,Списък!$B$3:$I$77,7,0),"")</f>
        <v>114</v>
      </c>
    </row>
    <row r="188" spans="1:11" ht="11.95" customHeight="1">
      <c r="A188" s="129">
        <v>3</v>
      </c>
      <c r="B188" s="128" t="str">
        <f>VLOOKUP('Програма-кодове'!K25,Списък!$A$1:$B$209,2,FALSE)</f>
        <v>Трандев</v>
      </c>
      <c r="C188" s="165" t="str">
        <f>IFERROR(VLOOKUP(B188,Списък!$B$3:$I$77,7,0),"")</f>
        <v>ФС</v>
      </c>
      <c r="D188" s="128" t="str">
        <f>VLOOKUP('Програма-кодове'!L25,Списък!$A$1:$B$209,2,FALSE)</f>
        <v>Гочева</v>
      </c>
      <c r="E188" s="165">
        <f>IFERROR(VLOOKUP(D188,Списък!$B$3:$I$77,7,0),"")</f>
        <v>301</v>
      </c>
      <c r="F188" s="128" t="str">
        <f>VLOOKUP('Програма-кодове'!M25,Списък!$A$1:$B$209,2,FALSE)</f>
        <v>Краева</v>
      </c>
      <c r="G188" s="165">
        <f>IFERROR(VLOOKUP(F188,Списък!$B$3:$I$77,7,0),"")</f>
        <v>306</v>
      </c>
      <c r="H188" s="128" t="str">
        <f>VLOOKUP('Програма-кодове'!N25,Списък!$A$1:$B$209,2,FALSE)</f>
        <v>Попова</v>
      </c>
      <c r="I188" s="165" t="str">
        <f>IFERROR(VLOOKUP(H188,Списък!$B$3:$I$77,7,0),"")</f>
        <v>212/214/215/217</v>
      </c>
      <c r="J188" s="128" t="str">
        <f>VLOOKUP('Програма-кодове'!O25,Списък!$A$1:$B$209,2,FALSE)</f>
        <v>Стефанова</v>
      </c>
      <c r="K188" s="160" t="str">
        <f>IFERROR(VLOOKUP(J188,Списък!$B$3:$I$77,7,0),"")</f>
        <v>201/202/203/205/206</v>
      </c>
    </row>
    <row r="189" spans="1:11" ht="11.95" customHeight="1">
      <c r="A189" s="129">
        <v>4</v>
      </c>
      <c r="B189" s="128" t="str">
        <f>VLOOKUP('Програма-кодове'!K26,Списък!$A$1:$B$209,2,FALSE)</f>
        <v>Козалиева</v>
      </c>
      <c r="C189" s="165" t="str">
        <f>IFERROR(VLOOKUP(B189,Списък!$B$3:$I$77,7,0),"")</f>
        <v>212/214/215/217</v>
      </c>
      <c r="D189" s="128" t="str">
        <f>VLOOKUP('Програма-кодове'!L26,Списък!$A$1:$B$209,2,FALSE)</f>
        <v>Латева</v>
      </c>
      <c r="E189" s="165">
        <f>IFERROR(VLOOKUP(D189,Списък!$B$3:$I$77,7,0),"")</f>
        <v>110</v>
      </c>
      <c r="F189" s="128" t="str">
        <f>VLOOKUP('Програма-кодове'!M26,Списък!$A$1:$B$209,2,FALSE)</f>
        <v>Г. Петрова/Д. Иванова</v>
      </c>
      <c r="G189" s="165" t="str">
        <f>IFERROR(VLOOKUP(F189,Списък!$B$3:$I$77,7,0),"")</f>
        <v>КК5/КК2</v>
      </c>
      <c r="H189" s="128" t="str">
        <f>VLOOKUP('Програма-кодове'!N26,Списък!$A$1:$B$209,2,FALSE)</f>
        <v>Сапунджиева</v>
      </c>
      <c r="I189" s="165">
        <f>IFERROR(VLOOKUP(H189,Списък!$B$3:$I$77,7,0),"")</f>
        <v>104</v>
      </c>
      <c r="J189" s="128" t="str">
        <f>VLOOKUP('Програма-кодове'!O26,Списък!$A$1:$B$209,2,FALSE)</f>
        <v>Стефанова</v>
      </c>
      <c r="K189" s="160" t="str">
        <f>IFERROR(VLOOKUP(J189,Списък!$B$3:$I$77,7,0),"")</f>
        <v>201/202/203/205/206</v>
      </c>
    </row>
    <row r="190" spans="1:11" ht="11.95" customHeight="1">
      <c r="A190" s="129">
        <v>5</v>
      </c>
      <c r="B190" s="128" t="str">
        <f>VLOOKUP('Програма-кодове'!K27,Списък!$A$1:$B$209,2,FALSE)</f>
        <v>Латева</v>
      </c>
      <c r="C190" s="165">
        <f>IFERROR(VLOOKUP(B190,Списък!$B$3:$I$77,7,0),"")</f>
        <v>110</v>
      </c>
      <c r="D190" s="128" t="str">
        <f>VLOOKUP('Програма-кодове'!L27,Списък!$A$1:$B$209,2,FALSE)</f>
        <v>В. Иванова</v>
      </c>
      <c r="E190" s="165">
        <f>IFERROR(VLOOKUP(D190,Списък!$B$3:$I$77,7,0),"")</f>
        <v>109</v>
      </c>
      <c r="F190" s="128" t="str">
        <f>VLOOKUP('Програма-кодове'!M27,Списък!$A$1:$B$209,2,FALSE)</f>
        <v>Сапунджиева</v>
      </c>
      <c r="G190" s="165">
        <f>IFERROR(VLOOKUP(F190,Списък!$B$3:$I$77,7,0),"")</f>
        <v>104</v>
      </c>
      <c r="H190" s="128" t="str">
        <f>VLOOKUP('Програма-кодове'!N27,Списък!$A$1:$B$209,2,FALSE)</f>
        <v>Киров</v>
      </c>
      <c r="I190" s="165" t="str">
        <f>IFERROR(VLOOKUP(H190,Списък!$B$3:$I$77,7,0),"")</f>
        <v>109/110/111/114/102/302</v>
      </c>
      <c r="J190" s="128" t="str">
        <f>VLOOKUP('Програма-кодове'!O27,Списък!$A$1:$B$209,2,FALSE)</f>
        <v>Г. Петрова/Д. Иванова</v>
      </c>
      <c r="K190" s="160" t="str">
        <f>IFERROR(VLOOKUP(J190,Списък!$B$3:$I$77,7,0),"")</f>
        <v>КК5/КК2</v>
      </c>
    </row>
    <row r="191" spans="1:11" ht="11.95" customHeight="1">
      <c r="A191" s="129">
        <v>6</v>
      </c>
      <c r="B191" s="128" t="str">
        <f>VLOOKUP('Програма-кодове'!K28,Списък!$A$1:$B$209,2,FALSE)</f>
        <v>Сапунджиева</v>
      </c>
      <c r="C191" s="165">
        <f>IFERROR(VLOOKUP(B191,Списък!$B$3:$I$77,7,0),"")</f>
        <v>104</v>
      </c>
      <c r="D191" s="128" t="str">
        <f>VLOOKUP('Програма-кодове'!L28,Списък!$A$1:$B$209,2,FALSE)</f>
        <v>Никова</v>
      </c>
      <c r="E191" s="165">
        <f>IFERROR(VLOOKUP(D191,Списък!$B$3:$I$77,7,0),"")</f>
        <v>111</v>
      </c>
      <c r="F191" s="128" t="str">
        <f>VLOOKUP('Програма-кодове'!M28,Списък!$A$1:$B$209,2,FALSE)</f>
        <v>Латева</v>
      </c>
      <c r="G191" s="165">
        <f>IFERROR(VLOOKUP(F191,Списък!$B$3:$I$77,7,0),"")</f>
        <v>110</v>
      </c>
      <c r="H191" s="128" t="str">
        <f>VLOOKUP('Програма-кодове'!N28,Списък!$A$1:$B$209,2,FALSE)</f>
        <v>Д. Иванова</v>
      </c>
      <c r="I191" s="165" t="str">
        <f>IFERROR(VLOOKUP(H191,Списък!$B$3:$I$77,7,0),"")</f>
        <v>КК6</v>
      </c>
      <c r="J191" s="128" t="str">
        <f>VLOOKUP('Програма-кодове'!O28,Списък!$A$1:$B$209,2,FALSE)</f>
        <v>Батимов</v>
      </c>
      <c r="K191" s="160">
        <f>IFERROR(VLOOKUP(J191,Списък!$B$3:$I$77,7,0),"")</f>
        <v>303</v>
      </c>
    </row>
    <row r="192" spans="1:11" ht="11.95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2.95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1.95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1.95" customHeight="1">
      <c r="A195" s="129">
        <v>1</v>
      </c>
      <c r="B195" s="128" t="str">
        <f>VLOOKUP('Програма-кодове'!P23,Списък!$A$1:$B$209,2,FALSE)</f>
        <v>Краева</v>
      </c>
      <c r="C195" s="165">
        <f>IFERROR(VLOOKUP(B195,Списък!$B$3:$I$77,7,0),"")</f>
        <v>306</v>
      </c>
      <c r="D195" s="128" t="str">
        <f>VLOOKUP('Програма-кодове'!Q23,Списък!$A$1:$B$209,2,FALSE)</f>
        <v>Петкова/Димитрова</v>
      </c>
      <c r="E195" s="165" t="str">
        <f>IFERROR(VLOOKUP(D195,Списък!$B$3:$I$77,7,0),"")</f>
        <v>КК3/КК8</v>
      </c>
      <c r="F195" s="128" t="str">
        <f>VLOOKUP('Програма-кодове'!R23,Списък!$A$1:$B$209,2,FALSE)</f>
        <v>Гюлева</v>
      </c>
      <c r="G195" s="165">
        <f>IFERROR(VLOOKUP(F195,Списък!$B$3:$I$77,7,0),"")</f>
        <v>204</v>
      </c>
      <c r="H195" s="128" t="str">
        <f>VLOOKUP('Програма-кодове'!S23,Списък!$A$1:$B$209,2,FALSE)</f>
        <v>В. Иванова</v>
      </c>
      <c r="I195" s="165">
        <f>IFERROR(VLOOKUP(H195,Списък!$B$3:$I$77,7,0),"")</f>
        <v>109</v>
      </c>
      <c r="J195" s="128" t="str">
        <f>VLOOKUP('Програма-кодове'!T23,Списък!$A$1:$B$209,2,FALSE)</f>
        <v>Никова</v>
      </c>
      <c r="K195" s="160">
        <f>IFERROR(VLOOKUP(J195,Списък!$B$3:$I$77,7,0),"")</f>
        <v>111</v>
      </c>
    </row>
    <row r="196" spans="1:11" ht="11.95" customHeight="1">
      <c r="A196" s="129">
        <v>2</v>
      </c>
      <c r="B196" s="128" t="str">
        <f>VLOOKUP('Програма-кодове'!P24,Списък!$A$1:$B$209,2,FALSE)</f>
        <v>В. Иванова</v>
      </c>
      <c r="C196" s="165">
        <f>IFERROR(VLOOKUP(B196,Списък!$B$3:$I$77,7,0),"")</f>
        <v>109</v>
      </c>
      <c r="D196" s="128" t="str">
        <f>VLOOKUP('Програма-кодове'!Q24,Списък!$A$1:$B$209,2,FALSE)</f>
        <v>Латева</v>
      </c>
      <c r="E196" s="165">
        <f>IFERROR(VLOOKUP(D196,Списък!$B$3:$I$77,7,0),"")</f>
        <v>110</v>
      </c>
      <c r="F196" s="128" t="str">
        <f>VLOOKUP('Програма-кодове'!R24,Списък!$A$1:$B$209,2,FALSE)</f>
        <v>Петкова/Димитрова</v>
      </c>
      <c r="G196" s="165" t="str">
        <f>IFERROR(VLOOKUP(F196,Списък!$B$3:$I$77,7,0),"")</f>
        <v>КК3/КК8</v>
      </c>
      <c r="H196" s="128" t="str">
        <f>VLOOKUP('Програма-кодове'!S24,Списък!$A$1:$B$209,2,FALSE)</f>
        <v>Никова</v>
      </c>
      <c r="I196" s="165">
        <f>IFERROR(VLOOKUP(H196,Списък!$B$3:$I$77,7,0),"")</f>
        <v>111</v>
      </c>
      <c r="J196" s="128" t="str">
        <f>VLOOKUP('Програма-кодове'!T24,Списък!$A$1:$B$209,2,FALSE)</f>
        <v>Иванова</v>
      </c>
      <c r="K196" s="160">
        <f>IFERROR(VLOOKUP(J196,Списък!$B$3:$I$77,7,0),"")</f>
        <v>205</v>
      </c>
    </row>
    <row r="197" spans="1:11" ht="11.95" customHeight="1">
      <c r="A197" s="129">
        <v>3</v>
      </c>
      <c r="B197" s="128" t="str">
        <f>VLOOKUP('Програма-кодове'!P25,Списък!$A$1:$B$209,2,FALSE)</f>
        <v>Никова</v>
      </c>
      <c r="C197" s="165">
        <f>IFERROR(VLOOKUP(B197,Списък!$B$3:$I$77,7,0),"")</f>
        <v>111</v>
      </c>
      <c r="D197" s="128" t="str">
        <f>VLOOKUP('Програма-кодове'!Q25,Списък!$A$1:$B$209,2,FALSE)</f>
        <v>Козалиева</v>
      </c>
      <c r="E197" s="165" t="str">
        <f>IFERROR(VLOOKUP(D197,Списък!$B$3:$I$77,7,0),"")</f>
        <v>212/214/215/217</v>
      </c>
      <c r="F197" s="128" t="str">
        <f>VLOOKUP('Програма-кодове'!R25,Списък!$A$1:$B$209,2,FALSE)</f>
        <v>Петров</v>
      </c>
      <c r="G197" s="165">
        <f>IFERROR(VLOOKUP(F197,Списък!$B$3:$I$77,7,0),"")</f>
        <v>112</v>
      </c>
      <c r="H197" s="128" t="str">
        <f>VLOOKUP('Програма-кодове'!S25,Списък!$A$1:$B$209,2,FALSE)</f>
        <v>Гюлева</v>
      </c>
      <c r="I197" s="165">
        <f>IFERROR(VLOOKUP(H197,Списък!$B$3:$I$77,7,0),"")</f>
        <v>204</v>
      </c>
      <c r="J197" s="128" t="str">
        <f>VLOOKUP('Програма-кодове'!T25,Списък!$A$1:$B$209,2,FALSE)</f>
        <v>Латева</v>
      </c>
      <c r="K197" s="160">
        <f>IFERROR(VLOOKUP(J197,Списък!$B$3:$I$77,7,0),"")</f>
        <v>110</v>
      </c>
    </row>
    <row r="198" spans="1:11" ht="11.95" customHeight="1">
      <c r="A198" s="129">
        <v>4</v>
      </c>
      <c r="B198" s="128" t="str">
        <f>VLOOKUP('Програма-кодове'!P26,Списък!$A$1:$B$209,2,FALSE)</f>
        <v>Димитрова/Янева</v>
      </c>
      <c r="C198" s="165" t="str">
        <f>IFERROR(VLOOKUP(B198,Списък!$B$3:$I$77,7,0),"")</f>
        <v>КК4/102/109</v>
      </c>
      <c r="D198" s="128" t="str">
        <f>VLOOKUP('Програма-кодове'!Q26,Списък!$A$1:$B$209,2,FALSE)</f>
        <v>Гюлева</v>
      </c>
      <c r="E198" s="165">
        <f>IFERROR(VLOOKUP(D198,Списък!$B$3:$I$77,7,0),"")</f>
        <v>204</v>
      </c>
      <c r="F198" s="128" t="str">
        <f>VLOOKUP('Програма-кодове'!R26,Списък!$A$1:$B$209,2,FALSE)</f>
        <v>В. Иванова</v>
      </c>
      <c r="G198" s="165">
        <f>IFERROR(VLOOKUP(F198,Списък!$B$3:$I$77,7,0),"")</f>
        <v>109</v>
      </c>
      <c r="H198" s="128" t="str">
        <f>VLOOKUP('Програма-кодове'!S26,Списък!$A$1:$B$209,2,FALSE)</f>
        <v>Минчева</v>
      </c>
      <c r="I198" s="165" t="str">
        <f>IFERROR(VLOOKUP(H198,Списък!$B$3:$I$77,7,0),"")</f>
        <v>212/214/215/217</v>
      </c>
      <c r="J198" s="128" t="str">
        <f>VLOOKUP('Програма-кодове'!T26,Списък!$A$1:$B$209,2,FALSE)</f>
        <v>Филипова</v>
      </c>
      <c r="K198" s="160" t="str">
        <f>IFERROR(VLOOKUP(J198,Списък!$B$3:$I$77,7,0),"")</f>
        <v>109/110/301/302/306</v>
      </c>
    </row>
    <row r="199" spans="1:11" ht="11.95" customHeight="1">
      <c r="A199" s="129">
        <v>5</v>
      </c>
      <c r="B199" s="128" t="str">
        <f>VLOOKUP('Програма-кодове'!P27,Списък!$A$1:$B$209,2,FALSE)</f>
        <v>Гюлева</v>
      </c>
      <c r="C199" s="165">
        <f>IFERROR(VLOOKUP(B199,Списък!$B$3:$I$77,7,0),"")</f>
        <v>204</v>
      </c>
      <c r="D199" s="128" t="str">
        <f>VLOOKUP('Програма-кодове'!Q27,Списък!$A$1:$B$209,2,FALSE)</f>
        <v>Никова</v>
      </c>
      <c r="E199" s="165">
        <f>IFERROR(VLOOKUP(D199,Списък!$B$3:$I$77,7,0),"")</f>
        <v>111</v>
      </c>
      <c r="F199" s="128" t="str">
        <f>VLOOKUP('Програма-кодове'!R27,Списък!$A$1:$B$209,2,FALSE)</f>
        <v>Минчева</v>
      </c>
      <c r="G199" s="165" t="str">
        <f>IFERROR(VLOOKUP(F199,Списък!$B$3:$I$77,7,0),"")</f>
        <v>212/214/215/217</v>
      </c>
      <c r="H199" s="128" t="str">
        <f>VLOOKUP('Програма-кодове'!S27,Списък!$A$1:$B$209,2,FALSE)</f>
        <v>Димитрова/Янева</v>
      </c>
      <c r="I199" s="165" t="str">
        <f>IFERROR(VLOOKUP(H199,Списък!$B$3:$I$77,7,0),"")</f>
        <v>КК4/102/109</v>
      </c>
      <c r="J199" s="128" t="str">
        <f>VLOOKUP('Програма-кодове'!T27,Списък!$A$1:$B$209,2,FALSE)</f>
        <v>Коларова</v>
      </c>
      <c r="K199" s="160" t="str">
        <f>IFERROR(VLOOKUP(J199,Списък!$B$3:$I$77,7,0),"")</f>
        <v>212/214/215/217</v>
      </c>
    </row>
    <row r="200" spans="1:11" ht="11.95" customHeight="1">
      <c r="A200" s="129">
        <v>6</v>
      </c>
      <c r="B200" s="128" t="str">
        <f>VLOOKUP('Програма-кодове'!P28,Списък!$A$1:$B$209,2,FALSE)</f>
        <v>Минчева</v>
      </c>
      <c r="C200" s="165" t="str">
        <f>IFERROR(VLOOKUP(B200,Списък!$B$3:$I$77,7,0),"")</f>
        <v>212/214/215/217</v>
      </c>
      <c r="D200" s="128" t="str">
        <f>VLOOKUP('Програма-кодове'!Q28,Списък!$A$1:$B$209,2,FALSE)</f>
        <v>Тонева</v>
      </c>
      <c r="E200" s="165" t="str">
        <f>IFERROR(VLOOKUP(D200,Списък!$B$3:$I$77,7,0),"")</f>
        <v>ФС</v>
      </c>
      <c r="F200" s="128" t="str">
        <f>VLOOKUP('Програма-кодове'!R28,Списък!$A$1:$B$209,2,FALSE)</f>
        <v>Мерджанова</v>
      </c>
      <c r="G200" s="165">
        <f>IFERROR(VLOOKUP(F200,Списък!$B$3:$I$77,7,0),"")</f>
        <v>304</v>
      </c>
      <c r="H200" s="128" t="str">
        <f>VLOOKUP('Програма-кодове'!S28,Списък!$A$1:$B$209,2,FALSE)</f>
        <v>Краева</v>
      </c>
      <c r="I200" s="165">
        <f>IFERROR(VLOOKUP(H200,Списък!$B$3:$I$77,7,0),"")</f>
        <v>306</v>
      </c>
      <c r="J200" s="128" t="str">
        <f>VLOOKUP('Програма-кодове'!T28,Списък!$A$1:$B$209,2,FALSE)</f>
        <v>Гюлева</v>
      </c>
      <c r="K200" s="160">
        <f>IFERROR(VLOOKUP(J200,Списък!$B$3:$I$77,7,0),"")</f>
        <v>204</v>
      </c>
    </row>
    <row r="201" spans="1:11" ht="11.95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2.95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1.95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1.95" customHeight="1">
      <c r="A204" s="129">
        <v>1</v>
      </c>
      <c r="B204" s="128" t="str">
        <f>VLOOKUP('Програма-кодове'!U23,Списък!$A$1:$B$209,2,FALSE)</f>
        <v>Киркова/К. Петрова</v>
      </c>
      <c r="C204" s="165" t="str">
        <f>IFERROR(VLOOKUP(B204,Списък!$B$3:$I$77,7,0),"")</f>
        <v>КК7/КК1</v>
      </c>
      <c r="D204" s="128" t="str">
        <f>VLOOKUP('Програма-кодове'!V23,Списък!$A$1:$B$209,2,FALSE)</f>
        <v>Даскалова/Тодорова</v>
      </c>
      <c r="E204" s="165" t="str">
        <f>IFERROR(VLOOKUP(D204,Списък!$B$3:$I$77,7,0),"")</f>
        <v>107-108/101-105</v>
      </c>
      <c r="F204" s="128" t="str">
        <f>VLOOKUP('Програма-кодове'!W23,Списък!$A$1:$B$209,2,FALSE)</f>
        <v>Кирилова/Тодорова</v>
      </c>
      <c r="G204" s="165" t="str">
        <f>IFERROR(VLOOKUP(F204,Списък!$B$3:$I$77,7,0),"")</f>
        <v>108/101-105</v>
      </c>
      <c r="H204" s="128" t="str">
        <f>VLOOKUP('Програма-кодове'!X23,Списък!$A$1:$B$209,2,FALSE)</f>
        <v>Петров ФВС</v>
      </c>
      <c r="I204" s="165" t="str">
        <f>IFERROR(VLOOKUP(H204,Списък!$B$3:$I$77,7,0),"")</f>
        <v>ФС</v>
      </c>
      <c r="J204" s="128" t="str">
        <f>VLOOKUP('Програма-кодове'!Y23,Списък!$A$1:$B$209,2,FALSE)</f>
        <v>Коларова</v>
      </c>
      <c r="K204" s="160" t="str">
        <f>IFERROR(VLOOKUP(J204,Списък!$B$3:$I$77,7,0),"")</f>
        <v>212/214/215/217</v>
      </c>
    </row>
    <row r="205" spans="1:11" ht="11.95" customHeight="1">
      <c r="A205" s="129">
        <v>2</v>
      </c>
      <c r="B205" s="128" t="str">
        <f>VLOOKUP('Програма-кодове'!U24,Списък!$A$1:$B$209,2,FALSE)</f>
        <v>Ю. Делчева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Даскалова/Тодорова</v>
      </c>
      <c r="E205" s="165" t="str">
        <f>IFERROR(VLOOKUP(D205,Списък!$B$3:$I$77,7,0),"")</f>
        <v>107-108/101-105</v>
      </c>
      <c r="F205" s="128" t="str">
        <f>VLOOKUP('Програма-кодове'!W24,Списък!$A$1:$B$209,2,FALSE)</f>
        <v>Кирилова/Тодорова</v>
      </c>
      <c r="G205" s="165" t="str">
        <f>IFERROR(VLOOKUP(F205,Списък!$B$3:$I$77,7,0),"")</f>
        <v>108/101-105</v>
      </c>
      <c r="H205" s="128" t="str">
        <f>VLOOKUP('Програма-кодове'!X24,Списък!$A$1:$B$209,2,FALSE)</f>
        <v>Киркова/К. Петрова</v>
      </c>
      <c r="I205" s="165" t="str">
        <f>IFERROR(VLOOKUP(H205,Списък!$B$3:$I$77,7,0),"")</f>
        <v>КК7/КК1</v>
      </c>
      <c r="J205" s="128" t="str">
        <f>VLOOKUP('Програма-кодове'!Y24,Списък!$A$1:$B$209,2,FALSE)</f>
        <v>Коларова</v>
      </c>
      <c r="K205" s="160" t="str">
        <f>IFERROR(VLOOKUP(J205,Списък!$B$3:$I$77,7,0),"")</f>
        <v>212/214/215/217</v>
      </c>
    </row>
    <row r="206" spans="1:11" ht="11.95" customHeight="1">
      <c r="A206" s="129">
        <v>3</v>
      </c>
      <c r="B206" s="128" t="str">
        <f>VLOOKUP('Програма-кодове'!U25,Списък!$A$1:$B$209,2,FALSE)</f>
        <v>В. Иванова</v>
      </c>
      <c r="C206" s="165">
        <f>IFERROR(VLOOKUP(B206,Списък!$B$3:$I$77,7,0),"")</f>
        <v>109</v>
      </c>
      <c r="D206" s="128" t="str">
        <f>VLOOKUP('Програма-кодове'!V25,Списък!$A$1:$B$209,2,FALSE)</f>
        <v>Ю. Делчева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Киркова/К. Петрова</v>
      </c>
      <c r="G206" s="165" t="str">
        <f>IFERROR(VLOOKUP(F206,Списък!$B$3:$I$77,7,0),"")</f>
        <v>КК7/КК1</v>
      </c>
      <c r="H206" s="128" t="str">
        <f>VLOOKUP('Програма-кодове'!X25,Списък!$A$1:$B$209,2,FALSE)</f>
        <v>Вълчева</v>
      </c>
      <c r="I206" s="165">
        <f>IFERROR(VLOOKUP(H206,Списък!$B$3:$I$77,7,0),"")</f>
        <v>201</v>
      </c>
      <c r="J206" s="128" t="str">
        <f>VLOOKUP('Програма-кодове'!Y25,Списък!$A$1:$B$209,2,FALSE)</f>
        <v>Кирилова/Тодорова</v>
      </c>
      <c r="K206" s="160" t="str">
        <f>IFERROR(VLOOKUP(J206,Списък!$B$3:$I$77,7,0),"")</f>
        <v>108/101-105</v>
      </c>
    </row>
    <row r="207" spans="1:11" ht="11.95" customHeight="1">
      <c r="A207" s="129">
        <v>4</v>
      </c>
      <c r="B207" s="128" t="str">
        <f>VLOOKUP('Програма-кодове'!U26,Списък!$A$1:$B$209,2,FALSE)</f>
        <v>Клисарова</v>
      </c>
      <c r="C207" s="165">
        <f>IFERROR(VLOOKUP(B207,Списък!$B$3:$I$77,7,0),"")</f>
        <v>305</v>
      </c>
      <c r="D207" s="128" t="str">
        <f>VLOOKUP('Програма-кодове'!V26,Списък!$A$1:$B$209,2,FALSE)</f>
        <v>Киркова/К. Петрова</v>
      </c>
      <c r="E207" s="165" t="str">
        <f>IFERROR(VLOOKUP(D207,Списък!$B$3:$I$77,7,0),"")</f>
        <v>КК7/КК1</v>
      </c>
      <c r="F207" s="128" t="str">
        <f>VLOOKUP('Програма-кодове'!W26,Списък!$A$1:$B$209,2,FALSE)</f>
        <v>Коларова</v>
      </c>
      <c r="G207" s="165" t="str">
        <f>IFERROR(VLOOKUP(F207,Списък!$B$3:$I$77,7,0),"")</f>
        <v>212/214/215/217</v>
      </c>
      <c r="H207" s="128" t="str">
        <f>VLOOKUP('Програма-кодове'!X26,Списък!$A$1:$B$209,2,FALSE)</f>
        <v>Вълчева</v>
      </c>
      <c r="I207" s="165">
        <f>IFERROR(VLOOKUP(H207,Списък!$B$3:$I$77,7,0),"")</f>
        <v>201</v>
      </c>
      <c r="J207" s="128" t="str">
        <f>VLOOKUP('Програма-кодове'!Y26,Списък!$A$1:$B$209,2,FALSE)</f>
        <v>Кирилова/Тодорова</v>
      </c>
      <c r="K207" s="160" t="str">
        <f>IFERROR(VLOOKUP(J207,Списък!$B$3:$I$77,7,0),"")</f>
        <v>108/101-105</v>
      </c>
    </row>
    <row r="208" spans="1:11" ht="11.95" customHeight="1">
      <c r="A208" s="129">
        <v>5</v>
      </c>
      <c r="B208" s="128" t="str">
        <f>VLOOKUP('Програма-кодове'!U27,Списък!$A$1:$B$209,2,FALSE)</f>
        <v>Кирилова/Тодорова</v>
      </c>
      <c r="C208" s="165" t="str">
        <f>IFERROR(VLOOKUP(B208,Списък!$B$3:$I$77,7,0),"")</f>
        <v>108/101-105</v>
      </c>
      <c r="D208" s="128" t="str">
        <f>VLOOKUP('Програма-кодове'!V27,Списък!$A$1:$B$209,2,FALSE)</f>
        <v>Вълчева</v>
      </c>
      <c r="E208" s="165">
        <f>IFERROR(VLOOKUP(D208,Списък!$B$3:$I$77,7,0),"")</f>
        <v>201</v>
      </c>
      <c r="F208" s="128" t="str">
        <f>VLOOKUP('Програма-кодове'!W27,Списък!$A$1:$B$209,2,FALSE)</f>
        <v>Костова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Данева</v>
      </c>
      <c r="I208" s="165">
        <f>IFERROR(VLOOKUP(H208,Списък!$B$3:$I$77,7,0),"")</f>
        <v>101</v>
      </c>
      <c r="J208" s="128" t="str">
        <f>VLOOKUP('Програма-кодове'!Y27,Списък!$A$1:$B$209,2,FALSE)</f>
        <v>Петров ФВС</v>
      </c>
      <c r="K208" s="160" t="str">
        <f>IFERROR(VLOOKUP(J208,Списък!$B$3:$I$77,7,0),"")</f>
        <v>ФС</v>
      </c>
    </row>
    <row r="209" spans="1:11" ht="11.95" customHeight="1">
      <c r="A209" s="129">
        <v>6</v>
      </c>
      <c r="B209" s="128" t="str">
        <f>VLOOKUP('Програма-кодове'!U28,Списък!$A$1:$B$209,2,FALSE)</f>
        <v>Кирилова/Тодорова</v>
      </c>
      <c r="C209" s="165" t="str">
        <f>IFERROR(VLOOKUP(B209,Списък!$B$3:$I$77,7,0),"")</f>
        <v>108/101-105</v>
      </c>
      <c r="D209" s="128" t="str">
        <f>VLOOKUP('Програма-кодове'!V28,Списък!$A$1:$B$209,2,FALSE)</f>
        <v>Вълчева</v>
      </c>
      <c r="E209" s="165">
        <f>IFERROR(VLOOKUP(D209,Списък!$B$3:$I$77,7,0),"")</f>
        <v>201</v>
      </c>
      <c r="F209" s="128" t="str">
        <f>VLOOKUP('Програма-кодове'!W28,Списък!$A$1:$B$209,2,FALSE)</f>
        <v>Кръстева</v>
      </c>
      <c r="G209" s="165">
        <f>IFERROR(VLOOKUP(F209,Списък!$B$3:$I$77,7,0),"")</f>
        <v>302</v>
      </c>
      <c r="H209" s="128" t="str">
        <f>VLOOKUP('Програма-кодове'!X28,Списък!$A$1:$B$209,2,FALSE)</f>
        <v>Костова</v>
      </c>
      <c r="I209" s="165" t="str">
        <f>IFERROR(VLOOKUP(H209,Списък!$B$3:$I$77,7,0),"")</f>
        <v>212/214/215/217</v>
      </c>
      <c r="J209" s="128" t="str">
        <f>VLOOKUP('Програма-кодове'!Y28,Списък!$A$1:$B$209,2,FALSE)</f>
        <v>Данева</v>
      </c>
      <c r="K209" s="160">
        <f>IFERROR(VLOOKUP(J209,Списък!$B$3:$I$77,7,0),"")</f>
        <v>101</v>
      </c>
    </row>
    <row r="210" spans="1:11" ht="11.95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2.95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1.95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1.95" customHeight="1">
      <c r="A213" s="129">
        <v>1</v>
      </c>
      <c r="B213" s="128" t="str">
        <f>VLOOKUP('Програма-кодове'!Z23,Списък!$A$1:$B$209,2,FALSE)</f>
        <v>Н. Николова</v>
      </c>
      <c r="C213" s="165">
        <f>IFERROR(VLOOKUP(B213,Списък!$B$3:$I$77,7,0),"")</f>
        <v>202</v>
      </c>
      <c r="D213" s="128" t="str">
        <f>VLOOKUP('Програма-кодове'!AA23,Списък!$A$1:$B$209,2,FALSE)</f>
        <v>Христонова/Цветков</v>
      </c>
      <c r="E213" s="165" t="str">
        <f>IFERROR(VLOOKUP(D213,Списък!$B$3:$I$77,7,0),"")</f>
        <v>КК4/КК6</v>
      </c>
      <c r="F213" s="128" t="str">
        <f>VLOOKUP('Програма-кодове'!AB23,Списък!$A$1:$B$209,2,FALSE)</f>
        <v>Гочева</v>
      </c>
      <c r="G213" s="165">
        <f>IFERROR(VLOOKUP(F213,Списък!$B$3:$I$77,7,0),"")</f>
        <v>301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Минчева</v>
      </c>
      <c r="K213" s="160" t="str">
        <f>IFERROR(VLOOKUP(J213,Списък!$B$3:$I$77,7,0),"")</f>
        <v>212/214/215/217</v>
      </c>
    </row>
    <row r="214" spans="1:11" ht="11.95" customHeight="1">
      <c r="A214" s="129">
        <v>2</v>
      </c>
      <c r="B214" s="128" t="str">
        <f>VLOOKUP('Програма-кодове'!Z24,Списък!$A$1:$B$209,2,FALSE)</f>
        <v>Христонова/Цветков</v>
      </c>
      <c r="C214" s="165" t="str">
        <f>IFERROR(VLOOKUP(B214,Списък!$B$3:$I$77,7,0),"")</f>
        <v>КК4/КК6</v>
      </c>
      <c r="D214" s="128" t="str">
        <f>VLOOKUP('Програма-кодове'!AA24,Списък!$A$1:$B$209,2,FALSE)</f>
        <v>Чанкова</v>
      </c>
      <c r="E214" s="165">
        <f>IFERROR(VLOOKUP(D214,Списък!$B$3:$I$77,7,0),"")</f>
        <v>105</v>
      </c>
      <c r="F214" s="128" t="str">
        <f>VLOOKUP('Програма-кодове'!AB24,Списък!$A$1:$B$209,2,FALSE)</f>
        <v>Гочева</v>
      </c>
      <c r="G214" s="165">
        <f>IFERROR(VLOOKUP(F214,Списък!$B$3:$I$77,7,0),"")</f>
        <v>301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1.95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Чанкова</v>
      </c>
      <c r="E215" s="165">
        <f>IFERROR(VLOOKUP(D215,Списък!$B$3:$I$77,7,0),"")</f>
        <v>105</v>
      </c>
      <c r="F215" s="128" t="str">
        <f>VLOOKUP('Програма-кодове'!AB25,Списък!$A$1:$B$209,2,FALSE)</f>
        <v>Христонова/Цветков</v>
      </c>
      <c r="G215" s="165" t="str">
        <f>IFERROR(VLOOKUP(F215,Списък!$B$3:$I$77,7,0),"")</f>
        <v>КК4/КК6</v>
      </c>
      <c r="H215" s="128" t="str">
        <f>VLOOKUP('Програма-кодове'!AC25,Списък!$A$1:$B$209,2,FALSE)</f>
        <v>Киров</v>
      </c>
      <c r="I215" s="165" t="str">
        <f>IFERROR(VLOOKUP(H215,Списък!$B$3:$I$77,7,0),"")</f>
        <v>109/110/111/114/102/302</v>
      </c>
      <c r="J215" s="128" t="str">
        <f>VLOOKUP('Програма-кодове'!AD25,Списък!$A$1:$B$209,2,FALSE)</f>
        <v>Н. Николова</v>
      </c>
      <c r="K215" s="160">
        <f>IFERROR(VLOOKUP(J215,Списък!$B$3:$I$77,7,0),"")</f>
        <v>202</v>
      </c>
    </row>
    <row r="216" spans="1:11" ht="11.95" customHeight="1">
      <c r="A216" s="129">
        <v>4</v>
      </c>
      <c r="B216" s="128" t="str">
        <f>VLOOKUP('Програма-кодове'!Z26,Списък!$A$1:$B$209,2,FALSE)</f>
        <v>Батимов</v>
      </c>
      <c r="C216" s="165">
        <f>IFERROR(VLOOKUP(B216,Списък!$B$3:$I$77,7,0),"")</f>
        <v>303</v>
      </c>
      <c r="D216" s="128" t="str">
        <f>VLOOKUP('Програма-кодове'!AA26,Списък!$A$1:$B$209,2,FALSE)</f>
        <v>Гочева</v>
      </c>
      <c r="E216" s="165">
        <f>IFERROR(VLOOKUP(D216,Списък!$B$3:$I$77,7,0),"")</f>
        <v>301</v>
      </c>
      <c r="F216" s="128" t="str">
        <f>VLOOKUP('Програма-кодове'!AB26,Списък!$A$1:$B$209,2,FALSE)</f>
        <v>Конгалов</v>
      </c>
      <c r="G216" s="165" t="str">
        <f>IFERROR(VLOOKUP(F216,Списък!$B$3:$I$77,7,0),"")</f>
        <v>ФС</v>
      </c>
      <c r="H216" s="128" t="str">
        <f>VLOOKUP('Програма-кодове'!AC26,Списък!$A$1:$B$209,2,FALSE)</f>
        <v>Н. Николова</v>
      </c>
      <c r="I216" s="165">
        <f>IFERROR(VLOOKUP(H216,Списък!$B$3:$I$77,7,0),"")</f>
        <v>202</v>
      </c>
      <c r="J216" s="128" t="str">
        <f>VLOOKUP('Програма-кодове'!AD26,Списък!$A$1:$B$209,2,FALSE)</f>
        <v>Славова</v>
      </c>
      <c r="K216" s="160">
        <f>IFERROR(VLOOKUP(J216,Списък!$B$3:$I$77,7,0),"")</f>
        <v>114</v>
      </c>
    </row>
    <row r="217" spans="1:11" ht="11.95" customHeight="1">
      <c r="A217" s="129">
        <v>5</v>
      </c>
      <c r="B217" s="128" t="str">
        <f>VLOOKUP('Програма-кодове'!Z27,Списък!$A$1:$B$209,2,FALSE)</f>
        <v>Чанкова</v>
      </c>
      <c r="C217" s="165">
        <f>IFERROR(VLOOKUP(B217,Списък!$B$3:$I$77,7,0),"")</f>
        <v>105</v>
      </c>
      <c r="D217" s="128" t="str">
        <f>VLOOKUP('Програма-кодове'!AA27,Списък!$A$1:$B$209,2,FALSE)</f>
        <v>Конгалов</v>
      </c>
      <c r="E217" s="165" t="str">
        <f>IFERROR(VLOOKUP(D217,Списък!$B$3:$I$77,7,0),"")</f>
        <v>ФС</v>
      </c>
      <c r="F217" s="128" t="str">
        <f>VLOOKUP('Програма-кодове'!AB27,Списък!$A$1:$B$209,2,FALSE)</f>
        <v>Н. Николова</v>
      </c>
      <c r="G217" s="165">
        <f>IFERROR(VLOOKUP(F217,Списък!$B$3:$I$77,7,0),"")</f>
        <v>202</v>
      </c>
      <c r="H217" s="128" t="str">
        <f>VLOOKUP('Програма-кодове'!AC27,Списък!$A$1:$B$209,2,FALSE)</f>
        <v>Славова</v>
      </c>
      <c r="I217" s="165">
        <f>IFERROR(VLOOKUP(H217,Списък!$B$3:$I$77,7,0),"")</f>
        <v>114</v>
      </c>
      <c r="J217" s="128" t="str">
        <f>VLOOKUP('Програма-кодове'!AD27,Списък!$A$1:$B$209,2,FALSE)</f>
        <v>Козалиева</v>
      </c>
      <c r="K217" s="160" t="str">
        <f>IFERROR(VLOOKUP(J217,Списък!$B$3:$I$77,7,0),"")</f>
        <v>212/214/215/217</v>
      </c>
    </row>
    <row r="218" spans="1:11" ht="11.95" customHeight="1">
      <c r="A218" s="129">
        <v>6</v>
      </c>
      <c r="B218" s="128" t="str">
        <f>VLOOKUP('Програма-кодове'!Z28,Списък!$A$1:$B$209,2,FALSE)</f>
        <v>Чанкова</v>
      </c>
      <c r="C218" s="165">
        <f>IFERROR(VLOOKUP(B218,Списък!$B$3:$I$77,7,0),"")</f>
        <v>105</v>
      </c>
      <c r="D218" s="128" t="str">
        <f>VLOOKUP('Програма-кодове'!AA28,Списък!$A$1:$B$209,2,FALSE)</f>
        <v>Н. Николова</v>
      </c>
      <c r="E218" s="165">
        <f>IFERROR(VLOOKUP(D218,Списък!$B$3:$I$77,7,0),"")</f>
        <v>202</v>
      </c>
      <c r="F218" s="128" t="str">
        <f>VLOOKUP('Програма-кодове'!AB28,Списък!$A$1:$B$209,2,FALSE)</f>
        <v>Славова</v>
      </c>
      <c r="G218" s="165">
        <f>IFERROR(VLOOKUP(F218,Списък!$B$3:$I$77,7,0),"")</f>
        <v>114</v>
      </c>
      <c r="H218" s="128" t="str">
        <f>VLOOKUP('Програма-кодове'!AC28,Списък!$A$1:$B$209,2,FALSE)</f>
        <v>Конгалов</v>
      </c>
      <c r="I218" s="165" t="str">
        <f>IFERROR(VLOOKUP(H218,Списък!$B$3:$I$77,7,0),"")</f>
        <v>ФС</v>
      </c>
      <c r="J218" s="128" t="str">
        <f>VLOOKUP('Програма-кодове'!AD28,Списък!$A$1:$B$209,2,FALSE)</f>
        <v>Козалиева</v>
      </c>
      <c r="K218" s="160" t="str">
        <f>IFERROR(VLOOKUP(J218,Списък!$B$3:$I$77,7,0),"")</f>
        <v>212/214/215/217</v>
      </c>
    </row>
    <row r="219" spans="1:11" ht="11.95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29.95" customHeight="1">
      <c r="A221" s="429" t="s">
        <v>28</v>
      </c>
      <c r="B221" s="429"/>
      <c r="C221" s="429"/>
      <c r="D221" s="429"/>
      <c r="E221" s="429"/>
      <c r="F221" s="429"/>
      <c r="G221" s="429"/>
      <c r="H221" s="429"/>
      <c r="I221" s="429"/>
      <c r="J221" s="429"/>
      <c r="K221" s="429"/>
    </row>
    <row r="222" spans="1:11" ht="11.95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Димитрова/Пецова</v>
      </c>
      <c r="C223" s="165" t="str">
        <f>IFERROR(VLOOKUP(B223,Списък!$B$3:$I$77,7,0),"")</f>
        <v>КК2/105/111/112</v>
      </c>
      <c r="D223" s="128" t="str">
        <f>VLOOKUP('Програма-кодове'!D30,Списък!$A$1:$B$209,2,FALSE)</f>
        <v>Краева</v>
      </c>
      <c r="E223" s="165">
        <f>IFERROR(VLOOKUP(D223,Списък!$B$3:$I$77,7,0),"")</f>
        <v>306</v>
      </c>
      <c r="F223" s="128" t="str">
        <f>VLOOKUP('Програма-кодове'!E30,Списък!$A$1:$B$209,2,FALSE)</f>
        <v>Кръстева</v>
      </c>
      <c r="G223" s="165">
        <f>IFERROR(VLOOKUP(F223,Списък!$B$3:$I$77,7,0),"")</f>
        <v>302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Клисарова</v>
      </c>
      <c r="C224" s="165">
        <f>IFERROR(VLOOKUP(B224,Списък!$B$3:$I$77,7,0),"")</f>
        <v>305</v>
      </c>
      <c r="D224" s="128" t="str">
        <f>VLOOKUP('Програма-кодове'!D31,Списък!$A$1:$B$209,2,FALSE)</f>
        <v>Цветков/Пецова</v>
      </c>
      <c r="E224" s="165">
        <f>IFERROR(VLOOKUP(D224,Списък!$B$3:$I$77,7,0),"")</f>
        <v>0</v>
      </c>
      <c r="F224" s="128" t="str">
        <f>VLOOKUP('Програма-кодове'!E31,Списък!$A$1:$B$209,2,FALSE)</f>
        <v>Кръстева</v>
      </c>
      <c r="G224" s="165">
        <f>IFERROR(VLOOKUP(F224,Списък!$B$3:$I$77,7,0),"")</f>
        <v>302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Попова</v>
      </c>
      <c r="C225" s="165" t="str">
        <f>IFERROR(VLOOKUP(B225,Списък!$B$3:$I$77,7,0),"")</f>
        <v>212/214/215/217</v>
      </c>
      <c r="D225" s="128" t="str">
        <f>VLOOKUP('Програма-кодове'!D32,Списък!$A$1:$B$209,2,FALSE)</f>
        <v>Димитрова/Пецова</v>
      </c>
      <c r="E225" s="165" t="str">
        <f>IFERROR(VLOOKUP(D225,Списък!$B$3:$I$77,7,0),"")</f>
        <v>КК2/105/111/112</v>
      </c>
      <c r="F225" s="128" t="str">
        <f>VLOOKUP('Програма-кодове'!E32,Списък!$A$1:$B$209,2,FALSE)</f>
        <v>Никова</v>
      </c>
      <c r="G225" s="165">
        <f>IFERROR(VLOOKUP(F225,Списък!$B$3:$I$77,7,0),"")</f>
        <v>111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Христонова/Пецова</v>
      </c>
      <c r="C226" s="165" t="str">
        <f>IFERROR(VLOOKUP(B226,Списък!$B$3:$I$77,7,0),"")</f>
        <v>КК8/КК2</v>
      </c>
      <c r="D226" s="128" t="str">
        <f>VLOOKUP('Програма-кодове'!D33,Списък!$A$1:$B$209,2,FALSE)</f>
        <v>Н. Николова</v>
      </c>
      <c r="E226" s="165">
        <f>IFERROR(VLOOKUP(D226,Списък!$B$3:$I$77,7,0),"")</f>
        <v>202</v>
      </c>
      <c r="F226" s="128" t="str">
        <f>VLOOKUP('Програма-кодове'!E33,Списък!$A$1:$B$209,2,FALSE)</f>
        <v>Киров</v>
      </c>
      <c r="G226" s="165" t="str">
        <f>IFERROR(VLOOKUP(F226,Списък!$B$3:$I$77,7,0),"")</f>
        <v>109/110/111/114/102/302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Стефанова</v>
      </c>
      <c r="C227" s="165" t="str">
        <f>IFERROR(VLOOKUP(B227,Списък!$B$3:$I$77,7,0),"")</f>
        <v>201/202/203/205/206</v>
      </c>
      <c r="D227" s="128" t="str">
        <f>VLOOKUP('Програма-кодове'!D34,Списък!$A$1:$B$209,2,FALSE)</f>
        <v>Попова</v>
      </c>
      <c r="E227" s="165" t="str">
        <f>IFERROR(VLOOKUP(D227,Списък!$B$3:$I$77,7,0),"")</f>
        <v>212/214/215/217</v>
      </c>
      <c r="F227" s="128" t="str">
        <f>VLOOKUP('Програма-кодове'!E34,Списък!$A$1:$B$209,2,FALSE)</f>
        <v>Трифонова</v>
      </c>
      <c r="G227" s="165">
        <f>IFERROR(VLOOKUP(F227,Списък!$B$3:$I$77,7,0),"")</f>
        <v>203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Петров ФВС</v>
      </c>
      <c r="C228" s="165" t="str">
        <f>IFERROR(VLOOKUP(B228,Списък!$B$3:$I$77,7,0),"")</f>
        <v>ФС</v>
      </c>
      <c r="D228" s="128" t="str">
        <f>VLOOKUP('Програма-кодове'!D35,Списък!$A$1:$B$209,2,FALSE)</f>
        <v>Тонева</v>
      </c>
      <c r="E228" s="165" t="str">
        <f>IFERROR(VLOOKUP(D228,Списък!$B$3:$I$77,7,0),"")</f>
        <v>ФС</v>
      </c>
      <c r="F228" s="128" t="str">
        <f>VLOOKUP('Програма-кодове'!E35,Списък!$A$1:$B$209,2,FALSE)</f>
        <v>Пецова</v>
      </c>
      <c r="G228" s="165" t="str">
        <f>IFERROR(VLOOKUP(F228,Списък!$B$3:$I$77,7,0),"")</f>
        <v>102/105/111/112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2.95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1.95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1.95" customHeight="1">
      <c r="A231" s="129">
        <v>1</v>
      </c>
      <c r="B231" s="12" t="str">
        <f>VLOOKUP('Програма-кодове'!F30,Списък!$A$1:$B$209,2,FALSE)</f>
        <v>Спасова</v>
      </c>
      <c r="C231" s="165" t="str">
        <f>IFERROR(VLOOKUP(B231,Списък!$B$3:$I$77,7,0),"")</f>
        <v>106, 103, 104, 205, 206</v>
      </c>
      <c r="D231" s="128" t="str">
        <f>VLOOKUP('Програма-кодове'!G30,Списък!$A$1:$B$209,2,FALSE)</f>
        <v>Трифонова</v>
      </c>
      <c r="E231" s="165">
        <f>IFERROR(VLOOKUP(D231,Списък!$B$3:$I$77,7,0),"")</f>
        <v>203</v>
      </c>
      <c r="F231" s="128" t="str">
        <f>VLOOKUP('Програма-кодове'!H30,Списък!$A$1:$B$209,2,FALSE)</f>
        <v>Д. Николова</v>
      </c>
      <c r="G231" s="165">
        <f>IFERROR(VLOOKUP(F231,Списък!$B$3:$I$77,7,0),"")</f>
        <v>106</v>
      </c>
      <c r="H231" s="128" t="str">
        <f>VLOOKUP('Програма-кодове'!I30,Списък!$A$1:$B$209,2,FALSE)</f>
        <v>Мерджанова</v>
      </c>
      <c r="I231" s="165">
        <f>IFERROR(VLOOKUP(H231,Списък!$B$3:$I$77,7,0),"")</f>
        <v>304</v>
      </c>
      <c r="J231" s="128" t="str">
        <f>VLOOKUP('Програма-кодове'!J30,Списък!$A$1:$B$209,2,FALSE)</f>
        <v>Петкова/Янева</v>
      </c>
      <c r="K231" s="160" t="str">
        <f>IFERROR(VLOOKUP(J231,Списък!$B$3:$I$77,7,0),"")</f>
        <v>КК6/КК4</v>
      </c>
    </row>
    <row r="232" spans="1:11" ht="11.95" customHeight="1">
      <c r="A232" s="129">
        <v>2</v>
      </c>
      <c r="B232" s="12" t="str">
        <f>VLOOKUP('Програма-кодове'!F31,Списък!$A$1:$B$209,2,FALSE)</f>
        <v>Спасова</v>
      </c>
      <c r="C232" s="165" t="str">
        <f>IFERROR(VLOOKUP(B232,Списък!$B$3:$I$77,7,0),"")</f>
        <v>106, 103, 104, 205, 206</v>
      </c>
      <c r="D232" s="128" t="str">
        <f>VLOOKUP('Програма-кодове'!G31,Списък!$A$1:$B$209,2,FALSE)</f>
        <v>Мерджанова</v>
      </c>
      <c r="E232" s="165">
        <f>IFERROR(VLOOKUP(D232,Списък!$B$3:$I$77,7,0),"")</f>
        <v>304</v>
      </c>
      <c r="F232" s="128" t="str">
        <f>VLOOKUP('Програма-кодове'!H31,Списък!$A$1:$B$209,2,FALSE)</f>
        <v>Д. Николова</v>
      </c>
      <c r="G232" s="165">
        <f>IFERROR(VLOOKUP(F232,Списък!$B$3:$I$77,7,0),"")</f>
        <v>106</v>
      </c>
      <c r="H232" s="128" t="str">
        <f>VLOOKUP('Програма-кодове'!I31,Списък!$A$1:$B$209,2,FALSE)</f>
        <v>Петкова/Янева</v>
      </c>
      <c r="I232" s="165" t="str">
        <f>IFERROR(VLOOKUP(H232,Списък!$B$3:$I$77,7,0),"")</f>
        <v>КК6/КК4</v>
      </c>
      <c r="J232" s="128" t="str">
        <f>VLOOKUP('Програма-кодове'!J31,Списък!$A$1:$B$209,2,FALSE)</f>
        <v>Трифонова</v>
      </c>
      <c r="K232" s="160">
        <f>IFERROR(VLOOKUP(J232,Списък!$B$3:$I$77,7,0),"")</f>
        <v>203</v>
      </c>
    </row>
    <row r="233" spans="1:11" ht="11.95" customHeight="1">
      <c r="A233" s="129">
        <v>3</v>
      </c>
      <c r="B233" s="12" t="str">
        <f>VLOOKUP('Програма-кодове'!F32,Списък!$A$1:$B$209,2,FALSE)</f>
        <v>Спасова</v>
      </c>
      <c r="C233" s="165" t="str">
        <f>IFERROR(VLOOKUP(B233,Списък!$B$3:$I$77,7,0),"")</f>
        <v>106, 103, 104, 205, 206</v>
      </c>
      <c r="D233" s="128" t="str">
        <f>VLOOKUP('Програма-кодове'!G32,Списък!$A$1:$B$209,2,FALSE)</f>
        <v>Габарова</v>
      </c>
      <c r="E233" s="165">
        <f>IFERROR(VLOOKUP(D233,Списък!$B$3:$I$77,7,0),"")</f>
        <v>206</v>
      </c>
      <c r="F233" s="128" t="str">
        <f>VLOOKUP('Програма-кодове'!H32,Списък!$A$1:$B$209,2,FALSE)</f>
        <v>Д. Николова</v>
      </c>
      <c r="G233" s="165">
        <f>IFERROR(VLOOKUP(F233,Списък!$B$3:$I$77,7,0),"")</f>
        <v>106</v>
      </c>
      <c r="H233" s="128" t="str">
        <f>VLOOKUP('Програма-кодове'!I32,Списък!$A$1:$B$209,2,FALSE)</f>
        <v>Трифонова</v>
      </c>
      <c r="I233" s="165">
        <f>IFERROR(VLOOKUP(H233,Списък!$B$3:$I$77,7,0),"")</f>
        <v>203</v>
      </c>
      <c r="J233" s="128" t="str">
        <f>VLOOKUP('Програма-кодове'!J32,Списък!$A$1:$B$209,2,FALSE)</f>
        <v>Маркова</v>
      </c>
      <c r="K233" s="160">
        <f>IFERROR(VLOOKUP(J233,Списък!$B$3:$I$77,7,0),"")</f>
        <v>103</v>
      </c>
    </row>
    <row r="234" spans="1:11" ht="11.95" customHeight="1">
      <c r="A234" s="129">
        <v>4</v>
      </c>
      <c r="B234" s="12" t="str">
        <f>VLOOKUP('Програма-кодове'!F33,Списък!$A$1:$B$209,2,FALSE)</f>
        <v>Спасова</v>
      </c>
      <c r="C234" s="165" t="str">
        <f>IFERROR(VLOOKUP(B234,Списък!$B$3:$I$77,7,0),"")</f>
        <v>106, 103, 104, 205, 206</v>
      </c>
      <c r="D234" s="128" t="str">
        <f>VLOOKUP('Програма-кодове'!G33,Списък!$A$1:$B$209,2,FALSE)</f>
        <v>Петкова/Янева</v>
      </c>
      <c r="E234" s="165" t="str">
        <f>IFERROR(VLOOKUP(D234,Списък!$B$3:$I$77,7,0),"")</f>
        <v>КК6/КК4</v>
      </c>
      <c r="F234" s="128" t="str">
        <f>VLOOKUP('Програма-кодове'!H33,Списък!$A$1:$B$209,2,FALSE)</f>
        <v>Д. Николова</v>
      </c>
      <c r="G234" s="165">
        <f>IFERROR(VLOOKUP(F234,Списък!$B$3:$I$77,7,0),"")</f>
        <v>106</v>
      </c>
      <c r="H234" s="128" t="str">
        <f>VLOOKUP('Програма-кодове'!I33,Списък!$A$1:$B$209,2,FALSE)</f>
        <v>Гинева</v>
      </c>
      <c r="I234" s="165">
        <f>IFERROR(VLOOKUP(H234,Списък!$B$3:$I$77,7,0),"")</f>
        <v>102</v>
      </c>
      <c r="J234" s="128" t="str">
        <f>VLOOKUP('Програма-кодове'!J33,Списък!$A$1:$B$209,2,FALSE)</f>
        <v>Маркова</v>
      </c>
      <c r="K234" s="160">
        <f>IFERROR(VLOOKUP(J234,Списък!$B$3:$I$77,7,0),"")</f>
        <v>103</v>
      </c>
    </row>
    <row r="235" spans="1:11" ht="11.95" customHeight="1">
      <c r="A235" s="129">
        <v>5</v>
      </c>
      <c r="B235" s="12" t="str">
        <f>VLOOKUP('Програма-кодове'!F34,Списък!$A$1:$B$209,2,FALSE)</f>
        <v>Тонева</v>
      </c>
      <c r="C235" s="165" t="str">
        <f>IFERROR(VLOOKUP(B235,Списък!$B$3:$I$77,7,0),"")</f>
        <v>ФС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Петкова/Янева</v>
      </c>
      <c r="G235" s="165" t="str">
        <f>IFERROR(VLOOKUP(F235,Списък!$B$3:$I$77,7,0),"")</f>
        <v>КК6/КК4</v>
      </c>
      <c r="H235" s="128" t="str">
        <f>VLOOKUP('Програма-кодове'!I34,Списък!$A$1:$B$209,2,FALSE)</f>
        <v>Гинева</v>
      </c>
      <c r="I235" s="165">
        <f>IFERROR(VLOOKUP(H235,Списък!$B$3:$I$77,7,0),"")</f>
        <v>102</v>
      </c>
      <c r="J235" s="128" t="str">
        <f>VLOOKUP('Програма-кодове'!J34,Списък!$A$1:$B$209,2,FALSE)</f>
        <v>Маркова</v>
      </c>
      <c r="K235" s="160">
        <f>IFERROR(VLOOKUP(J235,Списък!$B$3:$I$77,7,0),"")</f>
        <v>103</v>
      </c>
    </row>
    <row r="236" spans="1:11" ht="11.95" customHeight="1">
      <c r="A236" s="129">
        <v>6</v>
      </c>
      <c r="B236" s="12" t="str">
        <f>VLOOKUP('Програма-кодове'!F35,Списък!$A$1:$B$209,2,FALSE)</f>
        <v>Петкова/Янева</v>
      </c>
      <c r="C236" s="165" t="str">
        <f>IFERROR(VLOOKUP(B236,Списък!$B$3:$I$77,7,0),"")</f>
        <v>КК6/КК4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Трифонова</v>
      </c>
      <c r="G236" s="165">
        <f>IFERROR(VLOOKUP(F236,Списък!$B$3:$I$77,7,0),"")</f>
        <v>203</v>
      </c>
      <c r="H236" s="128" t="str">
        <f>VLOOKUP('Програма-кодове'!I35,Списък!$A$1:$B$209,2,FALSE)</f>
        <v>Гинева</v>
      </c>
      <c r="I236" s="165">
        <f>IFERROR(VLOOKUP(H236,Списък!$B$3:$I$77,7,0),"")</f>
        <v>102</v>
      </c>
      <c r="J236" s="128" t="str">
        <f>VLOOKUP('Програма-кодове'!J35,Списък!$A$1:$B$209,2,FALSE)</f>
        <v>Маркова</v>
      </c>
      <c r="K236" s="160">
        <f>IFERROR(VLOOKUP(J236,Списък!$B$3:$I$77,7,0),"")</f>
        <v>103</v>
      </c>
    </row>
    <row r="237" spans="1:11" ht="11.95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2.95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1.95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В. Иванова</v>
      </c>
      <c r="C240" s="165">
        <f>IFERROR(VLOOKUP(B240,Списък!$B$3:$I$77,7,0),"")</f>
        <v>109</v>
      </c>
      <c r="D240" s="128" t="str">
        <f>VLOOKUP('Програма-кодове'!L30,Списък!$A$1:$B$209,2,FALSE)</f>
        <v>Сапунджиева</v>
      </c>
      <c r="E240" s="165">
        <f>IFERROR(VLOOKUP(D240,Списък!$B$3:$I$77,7,0),"")</f>
        <v>104</v>
      </c>
      <c r="F240" s="128" t="str">
        <f>VLOOKUP('Програма-кодове'!M30,Списък!$A$1:$B$209,2,FALSE)</f>
        <v>Коларова</v>
      </c>
      <c r="G240" s="165" t="str">
        <f>IFERROR(VLOOKUP(F240,Списък!$B$3:$I$77,7,0),"")</f>
        <v>212/214/215/217</v>
      </c>
      <c r="H240" s="128" t="str">
        <f>VLOOKUP('Програма-кодове'!N30,Списък!$A$1:$B$209,2,FALSE)</f>
        <v>Киркова/К. Петрова</v>
      </c>
      <c r="I240" s="165" t="str">
        <f>IFERROR(VLOOKUP(H240,Списък!$B$3:$I$77,7,0),"")</f>
        <v>КК7/КК1</v>
      </c>
      <c r="J240" s="128" t="str">
        <f>VLOOKUP('Програма-кодове'!O30,Списък!$A$1:$B$209,2,FALSE)</f>
        <v>Стефанова</v>
      </c>
      <c r="K240" s="160" t="str">
        <f>IFERROR(VLOOKUP(J240,Списък!$B$3:$I$77,7,0),"")</f>
        <v>201/202/203/205/206</v>
      </c>
    </row>
    <row r="241" spans="1:11">
      <c r="A241" s="129">
        <v>2</v>
      </c>
      <c r="B241" s="12" t="str">
        <f>VLOOKUP('Програма-кодове'!K31,Списък!$A$1:$B$209,2,FALSE)</f>
        <v>Стефанова</v>
      </c>
      <c r="C241" s="165" t="str">
        <f>IFERROR(VLOOKUP(B241,Списък!$B$3:$I$77,7,0),"")</f>
        <v>201/202/203/205/206</v>
      </c>
      <c r="D241" s="128" t="str">
        <f>VLOOKUP('Програма-кодове'!L31,Списък!$A$1:$B$209,2,FALSE)</f>
        <v>Киркова/К. Петрова</v>
      </c>
      <c r="E241" s="165" t="str">
        <f>IFERROR(VLOOKUP(D241,Списък!$B$3:$I$77,7,0),"")</f>
        <v>КК7/КК1</v>
      </c>
      <c r="F241" s="128" t="str">
        <f>VLOOKUP('Програма-кодове'!M31,Списък!$A$1:$B$209,2,FALSE)</f>
        <v>Краева</v>
      </c>
      <c r="G241" s="165">
        <f>IFERROR(VLOOKUP(F241,Списък!$B$3:$I$77,7,0),"")</f>
        <v>306</v>
      </c>
      <c r="H241" s="128" t="str">
        <f>VLOOKUP('Програма-кодове'!N31,Списък!$A$1:$B$209,2,FALSE)</f>
        <v>Минчева</v>
      </c>
      <c r="I241" s="165" t="str">
        <f>IFERROR(VLOOKUP(H241,Списък!$B$3:$I$77,7,0),"")</f>
        <v>212/214/215/217</v>
      </c>
      <c r="J241" s="128" t="str">
        <f>VLOOKUP('Програма-кодове'!O31,Списък!$A$1:$B$209,2,FALSE)</f>
        <v>Сапунджиева</v>
      </c>
      <c r="K241" s="160">
        <f>IFERROR(VLOOKUP(J241,Списък!$B$3:$I$77,7,0),"")</f>
        <v>104</v>
      </c>
    </row>
    <row r="242" spans="1:11">
      <c r="A242" s="129">
        <v>3</v>
      </c>
      <c r="B242" s="12" t="str">
        <f>VLOOKUP('Програма-кодове'!K32,Списък!$A$1:$B$209,2,FALSE)</f>
        <v>Батимов</v>
      </c>
      <c r="C242" s="165">
        <f>IFERROR(VLOOKUP(B242,Списък!$B$3:$I$77,7,0),"")</f>
        <v>303</v>
      </c>
      <c r="D242" s="128" t="str">
        <f>VLOOKUP('Програма-кодове'!L32,Списък!$A$1:$B$209,2,FALSE)</f>
        <v>Вълчева</v>
      </c>
      <c r="E242" s="165">
        <f>IFERROR(VLOOKUP(D242,Списък!$B$3:$I$77,7,0),"")</f>
        <v>201</v>
      </c>
      <c r="F242" s="128" t="str">
        <f>VLOOKUP('Програма-кодове'!M32,Списък!$A$1:$B$209,2,FALSE)</f>
        <v>Краева</v>
      </c>
      <c r="G242" s="165">
        <f>IFERROR(VLOOKUP(F242,Списък!$B$3:$I$77,7,0),"")</f>
        <v>306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Минчева</v>
      </c>
      <c r="K242" s="160" t="str">
        <f>IFERROR(VLOOKUP(J242,Списък!$B$3:$I$77,7,0),"")</f>
        <v>212/214/215/217</v>
      </c>
    </row>
    <row r="243" spans="1:11">
      <c r="A243" s="129">
        <v>4</v>
      </c>
      <c r="B243" s="12" t="str">
        <f>VLOOKUP('Програма-кодове'!K33,Списък!$A$1:$B$209,2,FALSE)</f>
        <v>Костова</v>
      </c>
      <c r="C243" s="165" t="str">
        <f>IFERROR(VLOOKUP(B243,Списък!$B$3:$I$77,7,0),"")</f>
        <v>212/214/215/217</v>
      </c>
      <c r="D243" s="128" t="str">
        <f>VLOOKUP('Програма-кодове'!L33,Списък!$A$1:$B$209,2,FALSE)</f>
        <v>Петров</v>
      </c>
      <c r="E243" s="165">
        <f>IFERROR(VLOOKUP(D243,Списък!$B$3:$I$77,7,0),"")</f>
        <v>112</v>
      </c>
      <c r="F243" s="128" t="str">
        <f>VLOOKUP('Програма-кодове'!M33,Списък!$A$1:$B$209,2,FALSE)</f>
        <v>Минчева</v>
      </c>
      <c r="G243" s="165" t="str">
        <f>IFERROR(VLOOKUP(F243,Списък!$B$3:$I$77,7,0),"")</f>
        <v>212/214/215/217</v>
      </c>
      <c r="H243" s="128" t="str">
        <f>VLOOKUP('Програма-кодове'!N33,Списък!$A$1:$B$209,2,FALSE)</f>
        <v>Стефанова</v>
      </c>
      <c r="I243" s="165" t="str">
        <f>IFERROR(VLOOKUP(H243,Списък!$B$3:$I$77,7,0),"")</f>
        <v>201/202/203/205/206</v>
      </c>
      <c r="J243" s="128" t="str">
        <f>VLOOKUP('Програма-кодове'!O33,Списък!$A$1:$B$209,2,FALSE)</f>
        <v>Коларова</v>
      </c>
      <c r="K243" s="160" t="str">
        <f>IFERROR(VLOOKUP(J243,Списък!$B$3:$I$77,7,0),"")</f>
        <v>212/214/215/217</v>
      </c>
    </row>
    <row r="244" spans="1:11">
      <c r="A244" s="129">
        <v>5</v>
      </c>
      <c r="B244" s="12" t="str">
        <f>VLOOKUP('Програма-кодове'!K34,Списък!$A$1:$B$209,2,FALSE)</f>
        <v>Киров</v>
      </c>
      <c r="C244" s="165" t="str">
        <f>IFERROR(VLOOKUP(B244,Списък!$B$3:$I$77,7,0),"")</f>
        <v>109/110/111/114/102/302</v>
      </c>
      <c r="D244" s="128" t="str">
        <f>VLOOKUP('Програма-кодове'!L34,Списък!$A$1:$B$209,2,FALSE)</f>
        <v>Костова</v>
      </c>
      <c r="E244" s="165" t="str">
        <f>IFERROR(VLOOKUP(D244,Списък!$B$3:$I$77,7,0),"")</f>
        <v>212/214/215/217</v>
      </c>
      <c r="F244" s="128" t="str">
        <f>VLOOKUP('Програма-кодове'!M34,Списък!$A$1:$B$209,2,FALSE)</f>
        <v>Трандев</v>
      </c>
      <c r="G244" s="165" t="str">
        <f>IFERROR(VLOOKUP(F244,Списък!$B$3:$I$77,7,0),"")</f>
        <v>ФС</v>
      </c>
      <c r="H244" s="128" t="str">
        <f>VLOOKUP('Програма-кодове'!N34,Списък!$A$1:$B$209,2,FALSE)</f>
        <v>Коларова</v>
      </c>
      <c r="I244" s="165" t="str">
        <f>IFERROR(VLOOKUP(H244,Списък!$B$3:$I$77,7,0),"")</f>
        <v>212/214/215/217</v>
      </c>
      <c r="J244" s="128" t="str">
        <f>VLOOKUP('Програма-кодове'!O34,Списък!$A$1:$B$209,2,FALSE)</f>
        <v>Петров</v>
      </c>
      <c r="K244" s="160">
        <f>IFERROR(VLOOKUP(J244,Списък!$B$3:$I$77,7,0),"")</f>
        <v>112</v>
      </c>
    </row>
    <row r="245" spans="1:11">
      <c r="A245" s="129">
        <v>6</v>
      </c>
      <c r="B245" s="12" t="str">
        <f>VLOOKUP('Програма-кодове'!K35,Списък!$A$1:$B$209,2,FALSE)</f>
        <v>Трандев</v>
      </c>
      <c r="C245" s="165" t="str">
        <f>IFERROR(VLOOKUP(B245,Списък!$B$3:$I$77,7,0),"")</f>
        <v>ФС</v>
      </c>
      <c r="D245" s="128" t="str">
        <f>VLOOKUP('Програма-кодове'!L35,Списък!$A$1:$B$209,2,FALSE)</f>
        <v>Никова</v>
      </c>
      <c r="E245" s="165">
        <f>IFERROR(VLOOKUP(D245,Списък!$B$3:$I$77,7,0),"")</f>
        <v>111</v>
      </c>
      <c r="F245" s="128" t="str">
        <f>VLOOKUP('Програма-кодове'!M35,Списък!$A$1:$B$209,2,FALSE)</f>
        <v>Стефанова</v>
      </c>
      <c r="G245" s="165" t="str">
        <f>IFERROR(VLOOKUP(F245,Списък!$B$3:$I$77,7,0),"")</f>
        <v>201/202/203/205/206</v>
      </c>
      <c r="H245" s="128" t="str">
        <f>VLOOKUP('Програма-кодове'!N35,Списък!$A$1:$B$209,2,FALSE)</f>
        <v>Киров</v>
      </c>
      <c r="I245" s="165" t="str">
        <f>IFERROR(VLOOKUP(H245,Списък!$B$3:$I$77,7,0),"")</f>
        <v>109/110/111/114/102/302</v>
      </c>
      <c r="J245" s="128" t="str">
        <f>VLOOKUP('Програма-кодове'!O35,Списък!$A$1:$B$209,2,FALSE)</f>
        <v>Попова</v>
      </c>
      <c r="K245" s="160" t="str">
        <f>IFERROR(VLOOKUP(J245,Списък!$B$3:$I$77,7,0),"")</f>
        <v>212/214/215/217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2.95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1.95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Латева</v>
      </c>
      <c r="C249" s="165">
        <f>IFERROR(VLOOKUP(B249,Списък!$B$3:$I$77,7,0),"")</f>
        <v>110</v>
      </c>
      <c r="D249" s="128" t="str">
        <f>VLOOKUP('Програма-кодове'!Q30,Списък!$A$1:$B$209,2,FALSE)</f>
        <v>Никова</v>
      </c>
      <c r="E249" s="165">
        <f>IFERROR(VLOOKUP(D249,Списък!$B$3:$I$77,7,0),"")</f>
        <v>111</v>
      </c>
      <c r="F249" s="128" t="str">
        <f>VLOOKUP('Програма-кодове'!R30,Списък!$A$1:$B$209,2,FALSE)</f>
        <v>Козалиева</v>
      </c>
      <c r="G249" s="165" t="str">
        <f>IFERROR(VLOOKUP(F249,Списък!$B$3:$I$77,7,0),"")</f>
        <v>212/214/215/217</v>
      </c>
      <c r="H249" s="128" t="str">
        <f>VLOOKUP('Програма-кодове'!S30,Списък!$A$1:$B$209,2,FALSE)</f>
        <v>Влашинска</v>
      </c>
      <c r="I249" s="165" t="str">
        <f>IFERROR(VLOOKUP(H249,Списък!$B$3:$I$77,7,0),"")</f>
        <v>212/214/215/217</v>
      </c>
      <c r="J249" s="128" t="str">
        <f>VLOOKUP('Програма-кодове'!T30,Списък!$A$1:$B$209,2,FALSE)</f>
        <v>Конгалов</v>
      </c>
      <c r="K249" s="160" t="str">
        <f>IFERROR(VLOOKUP(J249,Списък!$B$3:$I$77,7,0),"")</f>
        <v>ФС</v>
      </c>
    </row>
    <row r="250" spans="1:11">
      <c r="A250" s="129">
        <v>2</v>
      </c>
      <c r="B250" s="12" t="str">
        <f>VLOOKUP('Програма-кодове'!P31,Списък!$A$1:$B$209,2,FALSE)</f>
        <v>Козалиева</v>
      </c>
      <c r="C250" s="165" t="str">
        <f>IFERROR(VLOOKUP(B250,Списък!$B$3:$I$77,7,0),"")</f>
        <v>212/214/215/217</v>
      </c>
      <c r="D250" s="128" t="str">
        <f>VLOOKUP('Програма-кодове'!Q31,Списък!$A$1:$B$209,2,FALSE)</f>
        <v>Петров</v>
      </c>
      <c r="E250" s="165">
        <f>IFERROR(VLOOKUP(D250,Списък!$B$3:$I$77,7,0),"")</f>
        <v>112</v>
      </c>
      <c r="F250" s="128" t="str">
        <f>VLOOKUP('Програма-кодове'!R31,Списък!$A$1:$B$209,2,FALSE)</f>
        <v>Никова</v>
      </c>
      <c r="G250" s="165">
        <f>IFERROR(VLOOKUP(F250,Списък!$B$3:$I$77,7,0),"")</f>
        <v>111</v>
      </c>
      <c r="H250" s="128" t="str">
        <f>VLOOKUP('Програма-кодове'!S31,Списък!$A$1:$B$209,2,FALSE)</f>
        <v>Латева</v>
      </c>
      <c r="I250" s="165">
        <f>IFERROR(VLOOKUP(H250,Списък!$B$3:$I$77,7,0),"")</f>
        <v>110</v>
      </c>
      <c r="J250" s="128" t="str">
        <f>VLOOKUP('Програма-кодове'!T31,Списък!$A$1:$B$209,2,FALSE)</f>
        <v>Влашинска</v>
      </c>
      <c r="K250" s="160" t="str">
        <f>IFERROR(VLOOKUP(J250,Списък!$B$3:$I$77,7,0),"")</f>
        <v>212/214/215/217</v>
      </c>
    </row>
    <row r="251" spans="1:11">
      <c r="A251" s="129">
        <v>3</v>
      </c>
      <c r="B251" s="12" t="str">
        <f>VLOOKUP('Програма-кодове'!P32,Списък!$A$1:$B$209,2,FALSE)</f>
        <v>Иванова</v>
      </c>
      <c r="C251" s="165">
        <f>IFERROR(VLOOKUP(B251,Списък!$B$3:$I$77,7,0),"")</f>
        <v>205</v>
      </c>
      <c r="D251" s="128" t="str">
        <f>VLOOKUP('Програма-кодове'!Q32,Списък!$A$1:$B$209,2,FALSE)</f>
        <v>Мерджанова</v>
      </c>
      <c r="E251" s="165">
        <f>IFERROR(VLOOKUP(D251,Списък!$B$3:$I$77,7,0),"")</f>
        <v>304</v>
      </c>
      <c r="F251" s="128" t="str">
        <f>VLOOKUP('Програма-кодове'!R32,Списък!$A$1:$B$209,2,FALSE)</f>
        <v>Конгалов</v>
      </c>
      <c r="G251" s="165" t="str">
        <f>IFERROR(VLOOKUP(F251,Списък!$B$3:$I$77,7,0),"")</f>
        <v>ФС</v>
      </c>
      <c r="H251" s="128" t="str">
        <f>VLOOKUP('Програма-кодове'!S32,Списък!$A$1:$B$209,2,FALSE)</f>
        <v>Козалиева</v>
      </c>
      <c r="I251" s="165" t="str">
        <f>IFERROR(VLOOKUP(H251,Списък!$B$3:$I$77,7,0),"")</f>
        <v>212/214/215/217</v>
      </c>
      <c r="J251" s="128" t="str">
        <f>VLOOKUP('Програма-кодове'!T32,Списък!$A$1:$B$209,2,FALSE)</f>
        <v>Гюлева</v>
      </c>
      <c r="K251" s="160">
        <f>IFERROR(VLOOKUP(J251,Списък!$B$3:$I$77,7,0),"")</f>
        <v>204</v>
      </c>
    </row>
    <row r="252" spans="1:11">
      <c r="A252" s="129">
        <v>4</v>
      </c>
      <c r="B252" s="12" t="str">
        <f>VLOOKUP('Програма-кодове'!P33,Списък!$A$1:$B$209,2,FALSE)</f>
        <v>Никова</v>
      </c>
      <c r="C252" s="165">
        <f>IFERROR(VLOOKUP(B252,Списък!$B$3:$I$77,7,0),"")</f>
        <v>111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Латева</v>
      </c>
      <c r="G252" s="165">
        <f>IFERROR(VLOOKUP(F252,Списък!$B$3:$I$77,7,0),"")</f>
        <v>110</v>
      </c>
      <c r="H252" s="128" t="str">
        <f>VLOOKUP('Програма-кодове'!S33,Списък!$A$1:$B$209,2,FALSE)</f>
        <v>Иванова</v>
      </c>
      <c r="I252" s="165">
        <f>IFERROR(VLOOKUP(H252,Списък!$B$3:$I$77,7,0),"")</f>
        <v>205</v>
      </c>
      <c r="J252" s="128" t="str">
        <f>VLOOKUP('Програма-кодове'!T33,Списък!$A$1:$B$209,2,FALSE)</f>
        <v>Гюлева</v>
      </c>
      <c r="K252" s="160">
        <f>IFERROR(VLOOKUP(J252,Списък!$B$3:$I$77,7,0),"")</f>
        <v>204</v>
      </c>
    </row>
    <row r="253" spans="1:11">
      <c r="A253" s="129">
        <v>5</v>
      </c>
      <c r="B253" s="12" t="str">
        <f>VLOOKUP('Програма-кодове'!P34,Списък!$A$1:$B$209,2,FALSE)</f>
        <v>Гюлева</v>
      </c>
      <c r="C253" s="165">
        <f>IFERROR(VLOOKUP(B253,Списък!$B$3:$I$77,7,0),"")</f>
        <v>204</v>
      </c>
      <c r="D253" s="128" t="str">
        <f>VLOOKUP('Програма-кодове'!Q34,Списък!$A$1:$B$209,2,FALSE)</f>
        <v>Иванова</v>
      </c>
      <c r="E253" s="165">
        <f>IFERROR(VLOOKUP(D253,Списък!$B$3:$I$77,7,0),"")</f>
        <v>205</v>
      </c>
      <c r="F253" s="128" t="str">
        <f>VLOOKUP('Програма-кодове'!R34,Списък!$A$1:$B$209,2,FALSE)</f>
        <v>Влашинска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Никова</v>
      </c>
      <c r="I253" s="165">
        <f>IFERROR(VLOOKUP(H253,Списък!$B$3:$I$77,7,0),"")</f>
        <v>111</v>
      </c>
      <c r="J253" s="128" t="str">
        <f>VLOOKUP('Програма-кодове'!T34,Списък!$A$1:$B$209,2,FALSE)</f>
        <v>Латева</v>
      </c>
      <c r="K253" s="160">
        <f>IFERROR(VLOOKUP(J253,Списък!$B$3:$I$77,7,0),"")</f>
        <v>110</v>
      </c>
    </row>
    <row r="254" spans="1:11">
      <c r="A254" s="129">
        <v>6</v>
      </c>
      <c r="B254" s="12" t="str">
        <f>VLOOKUP('Програма-кодове'!P35,Списък!$A$1:$B$209,2,FALSE)</f>
        <v>Влашинска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Латева</v>
      </c>
      <c r="E254" s="165">
        <f>IFERROR(VLOOKUP(D254,Списък!$B$3:$I$77,7,0),"")</f>
        <v>110</v>
      </c>
      <c r="F254" s="128" t="str">
        <f>VLOOKUP('Програма-кодове'!R35,Списък!$A$1:$B$209,2,FALSE)</f>
        <v>Иванова</v>
      </c>
      <c r="G254" s="165">
        <f>IFERROR(VLOOKUP(F254,Списък!$B$3:$I$77,7,0),"")</f>
        <v>205</v>
      </c>
      <c r="H254" s="128" t="str">
        <f>VLOOKUP('Програма-кодове'!S35,Списък!$A$1:$B$209,2,FALSE)</f>
        <v>Гюлева</v>
      </c>
      <c r="I254" s="165">
        <f>IFERROR(VLOOKUP(H254,Списък!$B$3:$I$77,7,0),"")</f>
        <v>204</v>
      </c>
      <c r="J254" s="128" t="str">
        <f>VLOOKUP('Програма-кодове'!T35,Списък!$A$1:$B$209,2,FALSE)</f>
        <v>Кръстева</v>
      </c>
      <c r="K254" s="160">
        <f>IFERROR(VLOOKUP(J254,Списък!$B$3:$I$77,7,0),"")</f>
        <v>302</v>
      </c>
    </row>
    <row r="255" spans="1:11" ht="11.3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2.95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1.95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Вълчева</v>
      </c>
      <c r="C258" s="165">
        <f>IFERROR(VLOOKUP(B258,Списък!$B$3:$I$77,7,0),"")</f>
        <v>201</v>
      </c>
      <c r="D258" s="128" t="str">
        <f>VLOOKUP('Програма-кодове'!V30,Списък!$A$1:$B$210,2,FALSE)</f>
        <v>Габарова</v>
      </c>
      <c r="E258" s="165">
        <f>IFERROR(VLOOKUP(D258,Списък!$B$3:$I$77,7,0),"")</f>
        <v>206</v>
      </c>
      <c r="F258" s="128" t="str">
        <f>VLOOKUP('Програма-кодове'!W30,Списък!$A$1:$B$210,2,FALSE)</f>
        <v>Петров ФВС</v>
      </c>
      <c r="G258" s="165" t="str">
        <f>IFERROR(VLOOKUP(F258,Списък!$B$3:$I$77,7,0),"")</f>
        <v>ФС</v>
      </c>
      <c r="H258" s="128" t="str">
        <f>VLOOKUP('Програма-кодове'!X30,Списък!$A$1:$B$210,2,FALSE)</f>
        <v>Данева</v>
      </c>
      <c r="I258" s="165">
        <f>IFERROR(VLOOKUP(H258,Списък!$B$3:$I$77,7,0),"")</f>
        <v>101</v>
      </c>
      <c r="J258" s="128" t="str">
        <f>VLOOKUP('Програма-кодове'!Y30,Списък!$A$1:$B$210,2,FALSE)</f>
        <v>Славова</v>
      </c>
      <c r="K258" s="160">
        <f>IFERROR(VLOOKUP(J258,Списък!$B$3:$I$77,7,0),"")</f>
        <v>114</v>
      </c>
    </row>
    <row r="259" spans="1:11">
      <c r="A259" s="129">
        <v>2</v>
      </c>
      <c r="B259" s="12" t="str">
        <f>VLOOKUP('Програма-кодове'!U31,Списък!$A$1:$B$210,2,FALSE)</f>
        <v>Вълчева</v>
      </c>
      <c r="C259" s="165">
        <f>IFERROR(VLOOKUP(B259,Списък!$B$3:$I$77,7,0),"")</f>
        <v>201</v>
      </c>
      <c r="D259" s="128" t="str">
        <f>VLOOKUP('Програма-кодове'!V31,Списък!$A$1:$B$210,2,FALSE)</f>
        <v>Габарова</v>
      </c>
      <c r="E259" s="165">
        <f>IFERROR(VLOOKUP(D259,Списък!$B$3:$I$77,7,0),"")</f>
        <v>206</v>
      </c>
      <c r="F259" s="128" t="str">
        <f>VLOOKUP('Програма-кодове'!W31,Списък!$A$1:$B$210,2,FALSE)</f>
        <v>Славова</v>
      </c>
      <c r="G259" s="165">
        <f>IFERROR(VLOOKUP(F259,Списък!$B$3:$I$77,7,0),"")</f>
        <v>114</v>
      </c>
      <c r="H259" s="128" t="str">
        <f>VLOOKUP('Програма-кодове'!X31,Списък!$A$1:$B$210,2,FALSE)</f>
        <v>В. Иванова</v>
      </c>
      <c r="I259" s="165">
        <f>IFERROR(VLOOKUP(H259,Списък!$B$3:$I$77,7,0),"")</f>
        <v>109</v>
      </c>
      <c r="J259" s="128" t="str">
        <f>VLOOKUP('Програма-кодове'!Y31,Списък!$A$1:$B$210,2,FALSE)</f>
        <v>Костова</v>
      </c>
      <c r="K259" s="160" t="str">
        <f>IFERROR(VLOOKUP(J259,Списък!$B$3:$I$77,7,0),"")</f>
        <v>212/214/215/217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Славова</v>
      </c>
      <c r="E260" s="165">
        <f>IFERROR(VLOOKUP(D260,Списък!$B$3:$I$77,7,0),"")</f>
        <v>114</v>
      </c>
      <c r="F260" s="128" t="str">
        <f>VLOOKUP('Програма-кодове'!W32,Списък!$A$1:$B$210,2,FALSE)</f>
        <v>Костова</v>
      </c>
      <c r="G260" s="165" t="str">
        <f>IFERROR(VLOOKUP(F260,Списък!$B$3:$I$77,7,0),"")</f>
        <v>212/214/215/217</v>
      </c>
      <c r="H260" s="128" t="str">
        <f>VLOOKUP('Програма-кодове'!X32,Списък!$A$1:$B$210,2,FALSE)</f>
        <v>Коларова</v>
      </c>
      <c r="I260" s="165" t="str">
        <f>IFERROR(VLOOKUP(H260,Списък!$B$3:$I$77,7,0),"")</f>
        <v>212/214/215/217</v>
      </c>
      <c r="J260" s="128" t="str">
        <f>VLOOKUP('Програма-кодове'!Y32,Списък!$A$1:$B$210,2,FALSE)</f>
        <v>Клисарова</v>
      </c>
      <c r="K260" s="160">
        <f>IFERROR(VLOOKUP(J260,Списък!$B$3:$I$77,7,0),"")</f>
        <v>305</v>
      </c>
    </row>
    <row r="261" spans="1:11">
      <c r="A261" s="129">
        <v>4</v>
      </c>
      <c r="B261" s="12" t="str">
        <f>VLOOKUP('Програма-кодове'!U33,Списък!$A$1:$B$210,2,FALSE)</f>
        <v>Клисарова</v>
      </c>
      <c r="C261" s="165">
        <f>IFERROR(VLOOKUP(B261,Списък!$B$3:$I$77,7,0),"")</f>
        <v>305</v>
      </c>
      <c r="D261" s="128" t="str">
        <f>VLOOKUP('Програма-кодове'!V33,Списък!$A$1:$B$210,2,FALSE)</f>
        <v>Кръстева</v>
      </c>
      <c r="E261" s="165">
        <f>IFERROR(VLOOKUP(D261,Списък!$B$3:$I$77,7,0),"")</f>
        <v>302</v>
      </c>
      <c r="F261" s="128" t="str">
        <f>VLOOKUP('Програма-кодове'!W33,Списък!$A$1:$B$210,2,FALSE)</f>
        <v>В. Иванова</v>
      </c>
      <c r="G261" s="165">
        <f>IFERROR(VLOOKUP(F261,Списък!$B$3:$I$77,7,0),"")</f>
        <v>109</v>
      </c>
      <c r="H261" s="128" t="str">
        <f>VLOOKUP('Програма-кодове'!X33,Списък!$A$1:$B$210,2,FALSE)</f>
        <v>Кирилова</v>
      </c>
      <c r="I261" s="165" t="str">
        <f>IFERROR(VLOOKUP(H261,Списък!$B$3:$I$77,7,0),"")</f>
        <v>107/108</v>
      </c>
      <c r="J261" s="128" t="str">
        <f>VLOOKUP('Програма-кодове'!Y33,Списък!$A$1:$B$210,2,FALSE)</f>
        <v>Данева</v>
      </c>
      <c r="K261" s="160">
        <f>IFERROR(VLOOKUP(J261,Списък!$B$3:$I$77,7,0),"")</f>
        <v>101</v>
      </c>
    </row>
    <row r="262" spans="1:11">
      <c r="A262" s="129">
        <v>5</v>
      </c>
      <c r="B262" s="12" t="str">
        <f>VLOOKUP('Програма-кодове'!U34,Списък!$A$1:$B$210,2,FALSE)</f>
        <v>Клисарова</v>
      </c>
      <c r="C262" s="165">
        <f>IFERROR(VLOOKUP(B262,Списък!$B$3:$I$77,7,0),"")</f>
        <v>305</v>
      </c>
      <c r="D262" s="128" t="str">
        <f>VLOOKUP('Програма-кодове'!V34,Списък!$A$1:$B$210,2,FALSE)</f>
        <v>Кръстева</v>
      </c>
      <c r="E262" s="165">
        <f>IFERROR(VLOOKUP(D262,Списък!$B$3:$I$77,7,0),"")</f>
        <v>302</v>
      </c>
      <c r="F262" s="128" t="str">
        <f>VLOOKUP('Програма-кодове'!W34,Списък!$A$1:$B$210,2,FALSE)</f>
        <v>Данева</v>
      </c>
      <c r="G262" s="165">
        <f>IFERROR(VLOOKUP(F262,Списък!$B$3:$I$77,7,0),"")</f>
        <v>101</v>
      </c>
      <c r="H262" s="128" t="str">
        <f>VLOOKUP('Програма-кодове'!X34,Списък!$A$1:$B$210,2,FALSE)</f>
        <v>Славова</v>
      </c>
      <c r="I262" s="165">
        <f>IFERROR(VLOOKUP(H262,Списък!$B$3:$I$77,7,0),"")</f>
        <v>114</v>
      </c>
      <c r="J262" s="128" t="str">
        <f>VLOOKUP('Програма-кодове'!Y34,Списък!$A$1:$B$210,2,FALSE)</f>
        <v>В. Иванова</v>
      </c>
      <c r="K262" s="160">
        <f>IFERROR(VLOOKUP(J262,Списък!$B$3:$I$77,7,0),"")</f>
        <v>109</v>
      </c>
    </row>
    <row r="263" spans="1:11">
      <c r="A263" s="129">
        <v>6</v>
      </c>
      <c r="B263" s="12" t="str">
        <f>VLOOKUP('Програма-кодове'!U35,Списък!$A$1:$B$210,2,FALSE)</f>
        <v>Славова</v>
      </c>
      <c r="C263" s="165">
        <f>IFERROR(VLOOKUP(B263,Списък!$B$3:$I$77,7,0),"")</f>
        <v>114</v>
      </c>
      <c r="D263" s="128" t="str">
        <f>VLOOKUP('Програма-кодове'!V35,Списък!$A$1:$B$210,2,FALSE)</f>
        <v>В. Иванова</v>
      </c>
      <c r="E263" s="165">
        <f>IFERROR(VLOOKUP(D263,Списък!$B$3:$I$77,7,0),"")</f>
        <v>109</v>
      </c>
      <c r="F263" s="128" t="str">
        <f>VLOOKUP('Програма-кодове'!W35,Списък!$A$1:$B$210,2,FALSE)</f>
        <v>Данева</v>
      </c>
      <c r="G263" s="165">
        <f>IFERROR(VLOOKUP(F263,Списък!$B$3:$I$77,7,0),"")</f>
        <v>101</v>
      </c>
      <c r="H263" s="128" t="str">
        <f>VLOOKUP('Програма-кодове'!X35,Списък!$A$1:$B$210,2,FALSE)</f>
        <v>Клисарова</v>
      </c>
      <c r="I263" s="165">
        <f>IFERROR(VLOOKUP(H263,Списък!$B$3:$I$77,7,0),"")</f>
        <v>305</v>
      </c>
      <c r="J263" s="128" t="str">
        <f>VLOOKUP('Програма-кодове'!Y35,Списък!$A$1:$B$210,2,FALSE)</f>
        <v>Коларова</v>
      </c>
      <c r="K263" s="160" t="str">
        <f>IFERROR(VLOOKUP(J263,Списък!$B$3:$I$77,7,0),"")</f>
        <v>212/214/215/217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2.95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1.95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Батимов</v>
      </c>
      <c r="C267" s="165">
        <f>IFERROR(VLOOKUP(B267,Списък!$B$3:$I$77,7,0),"")</f>
        <v>303</v>
      </c>
      <c r="D267" s="128" t="str">
        <f>VLOOKUP('Програма-кодове'!AA30,Списък!$A$1:$B$209,2,FALSE)</f>
        <v>Гочева</v>
      </c>
      <c r="E267" s="165">
        <f>IFERROR(VLOOKUP(D267,Списък!$B$3:$I$77,7,0),"")</f>
        <v>301</v>
      </c>
      <c r="F267" s="128" t="str">
        <f>VLOOKUP('Програма-кодове'!AB30,Списък!$A$1:$B$209,2,FALSE)</f>
        <v>Н. Николова</v>
      </c>
      <c r="G267" s="165">
        <f>IFERROR(VLOOKUP(F267,Списък!$B$3:$I$77,7,0),"")</f>
        <v>202</v>
      </c>
      <c r="H267" s="128" t="str">
        <f>VLOOKUP('Програма-кодове'!AC30,Списък!$A$1:$B$209,2,FALSE)</f>
        <v>Даскалова</v>
      </c>
      <c r="I267" s="165">
        <f>IFERROR(VLOOKUP(H267,Списък!$B$3:$I$77,7,0),"")</f>
        <v>108</v>
      </c>
      <c r="J267" s="128" t="str">
        <f>VLOOKUP('Програма-кодове'!AD30,Списък!$A$1:$B$209,2,FALSE)</f>
        <v>Минчева</v>
      </c>
      <c r="K267" s="160" t="str">
        <f>IFERROR(VLOOKUP(J267,Списък!$B$3:$I$77,7,0),"")</f>
        <v>212/214/215/217</v>
      </c>
    </row>
    <row r="268" spans="1:11">
      <c r="A268" s="129">
        <v>2</v>
      </c>
      <c r="B268" s="12" t="str">
        <f>VLOOKUP('Програма-кодове'!Z31,Списък!$A$1:$B$209,2,FALSE)</f>
        <v>Конгалов</v>
      </c>
      <c r="C268" s="165" t="str">
        <f>IFERROR(VLOOKUP(B268,Списък!$B$3:$I$77,7,0),"")</f>
        <v>ФС</v>
      </c>
      <c r="D268" s="128" t="str">
        <f>VLOOKUP('Програма-кодове'!AA31,Списък!$A$1:$B$209,2,FALSE)</f>
        <v>Гочева</v>
      </c>
      <c r="E268" s="165">
        <f>IFERROR(VLOOKUP(D268,Списък!$B$3:$I$77,7,0),"")</f>
        <v>301</v>
      </c>
      <c r="F268" s="128" t="str">
        <f>VLOOKUP('Програма-кодове'!AB31,Списък!$A$1:$B$209,2,FALSE)</f>
        <v>Чанкова</v>
      </c>
      <c r="G268" s="165">
        <f>IFERROR(VLOOKUP(F268,Списък!$B$3:$I$77,7,0),"")</f>
        <v>105</v>
      </c>
      <c r="H268" s="128" t="str">
        <f>VLOOKUP('Програма-кодове'!AC31,Списък!$A$1:$B$209,2,FALSE)</f>
        <v>Даскалова</v>
      </c>
      <c r="I268" s="165">
        <f>IFERROR(VLOOKUP(H268,Списък!$B$3:$I$77,7,0),"")</f>
        <v>108</v>
      </c>
      <c r="J268" s="128" t="str">
        <f>VLOOKUP('Програма-кодове'!AD31,Списък!$A$1:$B$209,2,FALSE)</f>
        <v>Н. Николова</v>
      </c>
      <c r="K268" s="160">
        <f>IFERROR(VLOOKUP(J268,Списък!$B$3:$I$77,7,0),"")</f>
        <v>202</v>
      </c>
    </row>
    <row r="269" spans="1:11">
      <c r="A269" s="129">
        <v>3</v>
      </c>
      <c r="B269" s="12" t="str">
        <f>VLOOKUP('Програма-кодове'!Z32,Списък!$A$1:$B$209,2,FALSE)</f>
        <v>Даскалова/Тодорова</v>
      </c>
      <c r="C269" s="165" t="str">
        <f>IFERROR(VLOOKUP(B269,Списък!$B$3:$I$77,7,0),"")</f>
        <v>107-108/101-105</v>
      </c>
      <c r="D269" s="128" t="str">
        <f>VLOOKUP('Програма-кодове'!AA32,Списък!$A$1:$B$209,2,FALSE)</f>
        <v>Христонова/Цветков</v>
      </c>
      <c r="E269" s="165" t="str">
        <f>IFERROR(VLOOKUP(D269,Списък!$B$3:$I$77,7,0),"")</f>
        <v>КК4/КК6</v>
      </c>
      <c r="F269" s="128" t="str">
        <f>VLOOKUP('Програма-кодове'!AB32,Списък!$A$1:$B$209,2,FALSE)</f>
        <v>Даскалова/Тодорова</v>
      </c>
      <c r="G269" s="165" t="str">
        <f>IFERROR(VLOOKUP(F269,Списък!$B$3:$I$77,7,0),"")</f>
        <v>107-108/101-105</v>
      </c>
      <c r="H269" s="128" t="str">
        <f>VLOOKUP('Програма-кодове'!AC32,Списък!$A$1:$B$209,2,FALSE)</f>
        <v>Н. Николова</v>
      </c>
      <c r="I269" s="165">
        <f>IFERROR(VLOOKUP(H269,Списък!$B$3:$I$77,7,0),"")</f>
        <v>202</v>
      </c>
      <c r="J269" s="128" t="str">
        <f>VLOOKUP('Програма-кодове'!AD32,Списък!$A$1:$B$209,2,FALSE)</f>
        <v>Чанкова</v>
      </c>
      <c r="K269" s="160">
        <f>IFERROR(VLOOKUP(J269,Списък!$B$3:$I$77,7,0),"")</f>
        <v>105</v>
      </c>
    </row>
    <row r="270" spans="1:11">
      <c r="A270" s="129">
        <v>4</v>
      </c>
      <c r="B270" s="12" t="str">
        <f>VLOOKUP('Програма-кодове'!Z33,Списък!$A$1:$B$209,2,FALSE)</f>
        <v>Даскалова/Тодорова</v>
      </c>
      <c r="C270" s="165" t="str">
        <f>IFERROR(VLOOKUP(B270,Списък!$B$3:$I$77,7,0),"")</f>
        <v>107-108/101-105</v>
      </c>
      <c r="D270" s="128" t="str">
        <f>VLOOKUP('Програма-кодове'!AA33,Списък!$A$1:$B$209,2,FALSE)</f>
        <v>Чанкова</v>
      </c>
      <c r="E270" s="165">
        <f>IFERROR(VLOOKUP(D270,Списък!$B$3:$I$77,7,0),"")</f>
        <v>105</v>
      </c>
      <c r="F270" s="128" t="str">
        <f>VLOOKUP('Програма-кодове'!AB33,Списък!$A$1:$B$209,2,FALSE)</f>
        <v>Даскалова/Тодорова</v>
      </c>
      <c r="G270" s="165" t="str">
        <f>IFERROR(VLOOKUP(F270,Списък!$B$3:$I$77,7,0),"")</f>
        <v>107-108/101-105</v>
      </c>
      <c r="H270" s="128" t="str">
        <f>VLOOKUP('Програма-кодове'!AC33,Списък!$A$1:$B$209,2,FALSE)</f>
        <v>Батимов</v>
      </c>
      <c r="I270" s="165">
        <f>IFERROR(VLOOKUP(H270,Списък!$B$3:$I$77,7,0),"")</f>
        <v>303</v>
      </c>
      <c r="J270" s="128" t="str">
        <f>VLOOKUP('Програма-кодове'!AD33,Списък!$A$1:$B$209,2,FALSE)</f>
        <v>Гочева</v>
      </c>
      <c r="K270" s="160">
        <f>IFERROR(VLOOKUP(J270,Списък!$B$3:$I$77,7,0),"")</f>
        <v>301</v>
      </c>
    </row>
    <row r="271" spans="1:11">
      <c r="A271" s="129">
        <v>5</v>
      </c>
      <c r="B271" s="12" t="str">
        <f>VLOOKUP('Програма-кодове'!Z34,Списък!$A$1:$B$209,2,FALSE)</f>
        <v>Чанкова</v>
      </c>
      <c r="C271" s="165">
        <f>IFERROR(VLOOKUP(B271,Списък!$B$3:$I$77,7,0),"")</f>
        <v>105</v>
      </c>
      <c r="D271" s="128" t="str">
        <f>VLOOKUP('Програма-кодове'!AA34,Списък!$A$1:$B$209,2,FALSE)</f>
        <v>Кирилова/Тодорова</v>
      </c>
      <c r="E271" s="165" t="str">
        <f>IFERROR(VLOOKUP(D271,Списък!$B$3:$I$77,7,0),"")</f>
        <v>108/101-105</v>
      </c>
      <c r="F271" s="128" t="str">
        <f>VLOOKUP('Програма-кодове'!AB34,Списък!$A$1:$B$209,2,FALSE)</f>
        <v>Гочева</v>
      </c>
      <c r="G271" s="165">
        <f>IFERROR(VLOOKUP(F271,Списък!$B$3:$I$77,7,0),"")</f>
        <v>301</v>
      </c>
      <c r="H271" s="128" t="str">
        <f>VLOOKUP('Програма-кодове'!AC34,Списък!$A$1:$B$209,2,FALSE)</f>
        <v>Христонова/Цветков</v>
      </c>
      <c r="I271" s="165" t="str">
        <f>IFERROR(VLOOKUP(H271,Списък!$B$3:$I$77,7,0),"")</f>
        <v>КК4/КК6</v>
      </c>
      <c r="J271" s="128" t="str">
        <f>VLOOKUP('Програма-кодове'!AD34,Списък!$A$1:$B$209,2,FALSE)</f>
        <v>Даскалова/Тодорова</v>
      </c>
      <c r="K271" s="160" t="str">
        <f>IFERROR(VLOOKUP(J271,Списък!$B$3:$I$77,7,0),"")</f>
        <v>107-108/101-105</v>
      </c>
    </row>
    <row r="272" spans="1:11" ht="11.95" customHeight="1">
      <c r="A272" s="154">
        <v>6</v>
      </c>
      <c r="B272" s="18" t="str">
        <f>VLOOKUP('Програма-кодове'!Z35,Списък!$A$1:$B$209,2,FALSE)</f>
        <v>Христонова/Цветков</v>
      </c>
      <c r="C272" s="165" t="str">
        <f>IFERROR(VLOOKUP(B272,Списък!$B$3:$I$77,7,0),"")</f>
        <v>КК4/КК6</v>
      </c>
      <c r="D272" s="18" t="str">
        <f>VLOOKUP('Програма-кодове'!AA35,Списък!$A$1:$B$209,2,FALSE)</f>
        <v>Кирилова/Тодорова</v>
      </c>
      <c r="E272" s="165" t="str">
        <f>IFERROR(VLOOKUP(D272,Списък!$B$3:$I$77,7,0),"")</f>
        <v>108/101-105</v>
      </c>
      <c r="F272" s="18" t="str">
        <f>VLOOKUP('Програма-кодове'!AB35,Списък!$A$1:$B$209,2,FALSE)</f>
        <v>Гочева</v>
      </c>
      <c r="G272" s="165">
        <f>IFERROR(VLOOKUP(F272,Списък!$B$3:$I$77,7,0),"")</f>
        <v>301</v>
      </c>
      <c r="H272" s="18" t="str">
        <f>VLOOKUP('Програма-кодове'!AC35,Списък!$A$1:$B$209,2,FALSE)</f>
        <v>Чанкова</v>
      </c>
      <c r="I272" s="165">
        <f>IFERROR(VLOOKUP(H272,Списък!$B$3:$I$77,7,0),"")</f>
        <v>105</v>
      </c>
      <c r="J272" s="18" t="str">
        <f>VLOOKUP('Програма-кодове'!AD35,Списък!$A$1:$B$209,2,FALSE)</f>
        <v>Даскалова/Тодорова</v>
      </c>
      <c r="K272" s="160" t="str">
        <f>IFERROR(VLOOKUP(J272,Списък!$B$3:$I$77,7,0),"")</f>
        <v>107-108/101-105</v>
      </c>
    </row>
    <row r="273" spans="1:11" ht="11.95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7 D3:D27 J74:J92 H74:H92 F74:F92 D74:D92 J129:J164 H129:H141 F129:F135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 F144:F164 H144:H164 F138:F14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Q284"/>
  <sheetViews>
    <sheetView zoomScale="110" zoomScaleNormal="110" workbookViewId="0">
      <selection activeCell="F8" sqref="F8"/>
    </sheetView>
  </sheetViews>
  <sheetFormatPr defaultColWidth="23.75" defaultRowHeight="20.95" customHeight="1"/>
  <cols>
    <col min="1" max="1" width="2.625" style="262" customWidth="1"/>
    <col min="2" max="2" width="2.75" style="262" customWidth="1"/>
    <col min="3" max="3" width="18.75" style="262" customWidth="1"/>
    <col min="4" max="4" width="6.75" style="277" customWidth="1"/>
    <col min="5" max="5" width="2.625" style="262" customWidth="1"/>
    <col min="6" max="6" width="19.375" style="262" customWidth="1"/>
    <col min="7" max="7" width="5.375" style="277" customWidth="1"/>
    <col min="8" max="8" width="2.875" style="262" customWidth="1"/>
    <col min="9" max="9" width="19" style="262" customWidth="1"/>
    <col min="10" max="10" width="6.375" style="277" customWidth="1"/>
    <col min="11" max="11" width="3.125" style="262" customWidth="1"/>
    <col min="12" max="12" width="19.75" style="262" customWidth="1"/>
    <col min="13" max="13" width="6" style="277" customWidth="1"/>
    <col min="14" max="14" width="2.875" style="262" customWidth="1"/>
    <col min="15" max="15" width="18.25" style="262" customWidth="1"/>
    <col min="16" max="16" width="5.625" style="277" customWidth="1"/>
    <col min="17" max="17" width="1.625" style="262" customWidth="1"/>
    <col min="18" max="16384" width="23.75" style="262"/>
  </cols>
  <sheetData>
    <row r="2" spans="1:17" s="263" customFormat="1" ht="20.95" customHeight="1">
      <c r="A2" s="432" t="s">
        <v>128</v>
      </c>
      <c r="B2" s="255"/>
      <c r="C2" s="256" t="s">
        <v>24</v>
      </c>
      <c r="D2" s="257"/>
      <c r="E2" s="256"/>
      <c r="F2" s="256" t="s">
        <v>25</v>
      </c>
      <c r="G2" s="258" t="s">
        <v>209</v>
      </c>
      <c r="H2" s="259"/>
      <c r="I2" s="260" t="s">
        <v>26</v>
      </c>
      <c r="J2" s="258" t="s">
        <v>209</v>
      </c>
      <c r="K2" s="261"/>
      <c r="L2" s="261" t="s">
        <v>27</v>
      </c>
      <c r="M2" s="258" t="s">
        <v>209</v>
      </c>
      <c r="N2" s="259"/>
      <c r="O2" s="260" t="s">
        <v>28</v>
      </c>
      <c r="P2" s="300" t="s">
        <v>209</v>
      </c>
      <c r="Q2" s="262"/>
    </row>
    <row r="3" spans="1:17" ht="20.95" customHeight="1">
      <c r="A3" s="432"/>
      <c r="B3" s="264">
        <v>1</v>
      </c>
      <c r="C3" s="265" t="str">
        <f>'Програма-имена+кабинети'!B3</f>
        <v>Клисарова</v>
      </c>
      <c r="D3" s="266">
        <f>'Програма-имена+кабинети'!C3</f>
        <v>305</v>
      </c>
      <c r="E3" s="267">
        <v>1</v>
      </c>
      <c r="F3" s="265" t="str">
        <f>'Програма-имена+кабинети'!B58</f>
        <v>Стефанова</v>
      </c>
      <c r="G3" s="266" t="str">
        <f>'Програма-имена+кабинети'!C58</f>
        <v>201/202/203/205/206</v>
      </c>
      <c r="H3" s="268">
        <v>1</v>
      </c>
      <c r="I3" s="265" t="str">
        <f>'Програма-имена+кабинети'!B113</f>
        <v>Даскалова</v>
      </c>
      <c r="J3" s="266">
        <f>'Програма-имена+кабинети'!C113</f>
        <v>108</v>
      </c>
      <c r="K3" s="264">
        <v>1</v>
      </c>
      <c r="L3" s="265" t="str">
        <f>'Програма-имена+кабинети'!B168</f>
        <v>Стефанова</v>
      </c>
      <c r="M3" s="266" t="str">
        <f>'Програма-имена+кабинети'!C168</f>
        <v>201/202/203/205/206</v>
      </c>
      <c r="N3" s="268">
        <v>1</v>
      </c>
      <c r="O3" s="265" t="str">
        <f>'Програма-имена+кабинети'!B223</f>
        <v>Димитрова/Пецова</v>
      </c>
      <c r="P3" s="266" t="str">
        <f>'Програма-имена+кабинети'!C223</f>
        <v>КК2/105/111/112</v>
      </c>
    </row>
    <row r="4" spans="1:17" ht="20.95" customHeight="1">
      <c r="A4" s="432"/>
      <c r="B4" s="264">
        <v>2</v>
      </c>
      <c r="C4" s="269" t="str">
        <f>'Програма-имена+кабинети'!B4</f>
        <v>Клисарова</v>
      </c>
      <c r="D4" s="270">
        <f>'Програма-имена+кабинети'!C4</f>
        <v>305</v>
      </c>
      <c r="E4" s="267">
        <v>2</v>
      </c>
      <c r="F4" s="269" t="str">
        <f>'Програма-имена+кабинети'!B59</f>
        <v>Попова</v>
      </c>
      <c r="G4" s="270" t="str">
        <f>'Програма-имена+кабинети'!C59</f>
        <v>212/214/215/217</v>
      </c>
      <c r="H4" s="268">
        <v>2</v>
      </c>
      <c r="I4" s="269" t="str">
        <f>'Програма-имена+кабинети'!B114</f>
        <v>Киров</v>
      </c>
      <c r="J4" s="270" t="str">
        <f>'Програма-имена+кабинети'!C114</f>
        <v>109/110/111/114/102/302</v>
      </c>
      <c r="K4" s="264">
        <v>2</v>
      </c>
      <c r="L4" s="269" t="str">
        <f>'Програма-имена+кабинети'!B169</f>
        <v>Стефанова</v>
      </c>
      <c r="M4" s="270" t="str">
        <f>'Програма-имена+кабинети'!C169</f>
        <v>201/202/203/205/206</v>
      </c>
      <c r="N4" s="268">
        <v>2</v>
      </c>
      <c r="O4" s="269" t="str">
        <f>'Програма-имена+кабинети'!B224</f>
        <v>Клисарова</v>
      </c>
      <c r="P4" s="270">
        <f>'Програма-имена+кабинети'!C224</f>
        <v>305</v>
      </c>
    </row>
    <row r="5" spans="1:17" ht="20.95" customHeight="1">
      <c r="A5" s="432"/>
      <c r="B5" s="264">
        <v>3</v>
      </c>
      <c r="C5" s="269" t="str">
        <f>'Програма-имена+кабинети'!B5</f>
        <v>Даскалова</v>
      </c>
      <c r="D5" s="270">
        <f>'Програма-имена+кабинети'!C5</f>
        <v>108</v>
      </c>
      <c r="E5" s="267">
        <v>3</v>
      </c>
      <c r="F5" s="269" t="str">
        <f>'Програма-имена+кабинети'!B60</f>
        <v>Димитрова/Пецова</v>
      </c>
      <c r="G5" s="270" t="str">
        <f>'Програма-имена+кабинети'!C60</f>
        <v>КК2/105/111/112</v>
      </c>
      <c r="H5" s="268">
        <v>3</v>
      </c>
      <c r="I5" s="269" t="str">
        <f>'Програма-имена+кабинети'!B115</f>
        <v>Стефанова</v>
      </c>
      <c r="J5" s="270" t="str">
        <f>'Програма-имена+кабинети'!C115</f>
        <v>201/202/203/205/206</v>
      </c>
      <c r="K5" s="264">
        <v>3</v>
      </c>
      <c r="L5" s="269" t="str">
        <f>'Програма-имена+кабинети'!B170</f>
        <v>Даскалова</v>
      </c>
      <c r="M5" s="270">
        <f>'Програма-имена+кабинети'!C170</f>
        <v>108</v>
      </c>
      <c r="N5" s="268">
        <v>3</v>
      </c>
      <c r="O5" s="269" t="str">
        <f>'Програма-имена+кабинети'!B225</f>
        <v>Попова</v>
      </c>
      <c r="P5" s="270" t="str">
        <f>'Програма-имена+кабинети'!C225</f>
        <v>212/214/215/217</v>
      </c>
    </row>
    <row r="6" spans="1:17" ht="20.95" customHeight="1">
      <c r="A6" s="432"/>
      <c r="B6" s="264">
        <v>4</v>
      </c>
      <c r="C6" s="269" t="str">
        <f>'Програма-имена+кабинети'!B6</f>
        <v>Петров</v>
      </c>
      <c r="D6" s="270">
        <f>'Програма-имена+кабинети'!C6</f>
        <v>112</v>
      </c>
      <c r="E6" s="267">
        <v>4</v>
      </c>
      <c r="F6" s="269" t="str">
        <f>'Програма-имена+кабинети'!B61</f>
        <v>Петров</v>
      </c>
      <c r="G6" s="270">
        <f>'Програма-имена+кабинети'!C61</f>
        <v>112</v>
      </c>
      <c r="H6" s="268">
        <v>4</v>
      </c>
      <c r="I6" s="269" t="str">
        <f>'Програма-имена+кабинети'!B116</f>
        <v>Петров ФВС</v>
      </c>
      <c r="J6" s="270" t="str">
        <f>'Програма-имена+кабинети'!C116</f>
        <v>ФС</v>
      </c>
      <c r="K6" s="264">
        <v>4</v>
      </c>
      <c r="L6" s="269" t="str">
        <f>'Програма-имена+кабинети'!B171</f>
        <v>Киров</v>
      </c>
      <c r="M6" s="270" t="str">
        <f>'Програма-имена+кабинети'!C171</f>
        <v>109/110/111/114/102/302</v>
      </c>
      <c r="N6" s="268">
        <v>4</v>
      </c>
      <c r="O6" s="269" t="str">
        <f>'Програма-имена+кабинети'!B226</f>
        <v>Христонова/Пецова</v>
      </c>
      <c r="P6" s="270" t="str">
        <f>'Програма-имена+кабинети'!C226</f>
        <v>КК8/КК2</v>
      </c>
    </row>
    <row r="7" spans="1:17" ht="20.95" customHeight="1">
      <c r="A7" s="432"/>
      <c r="B7" s="264">
        <v>5</v>
      </c>
      <c r="C7" s="269" t="str">
        <f>'Програма-имена+кабинети'!B7</f>
        <v>Латева</v>
      </c>
      <c r="D7" s="270">
        <f>'Програма-имена+кабинети'!C7</f>
        <v>110</v>
      </c>
      <c r="E7" s="267">
        <v>5</v>
      </c>
      <c r="F7" s="269" t="str">
        <f>'Програма-имена+кабинети'!B62</f>
        <v>Христонова/Пецова</v>
      </c>
      <c r="G7" s="270" t="str">
        <f>'Програма-имена+кабинети'!C62</f>
        <v>КК8/КК2</v>
      </c>
      <c r="H7" s="268">
        <v>5</v>
      </c>
      <c r="I7" s="269" t="str">
        <f>'Програма-имена+кабинети'!B117</f>
        <v>Пецова</v>
      </c>
      <c r="J7" s="270" t="str">
        <f>'Програма-имена+кабинети'!C117</f>
        <v>102/105/111/112</v>
      </c>
      <c r="K7" s="264">
        <v>5</v>
      </c>
      <c r="L7" s="269" t="str">
        <f>'Програма-имена+кабинети'!B172</f>
        <v>Пецова</v>
      </c>
      <c r="M7" s="270" t="str">
        <f>'Програма-имена+кабинети'!C172</f>
        <v>102/105/111/112</v>
      </c>
      <c r="N7" s="268">
        <v>5</v>
      </c>
      <c r="O7" s="269" t="str">
        <f>'Програма-имена+кабинети'!B227</f>
        <v>Стефанова</v>
      </c>
      <c r="P7" s="270" t="str">
        <f>'Програма-имена+кабинети'!C227</f>
        <v>201/202/203/205/206</v>
      </c>
    </row>
    <row r="8" spans="1:17" ht="20.95" customHeight="1">
      <c r="A8" s="432"/>
      <c r="B8" s="264">
        <v>6</v>
      </c>
      <c r="C8" s="269" t="str">
        <f>'Програма-имена+кабинети'!B8</f>
        <v>Попова</v>
      </c>
      <c r="D8" s="270" t="str">
        <f>'Програма-имена+кабинети'!C8</f>
        <v>212/214/215/217</v>
      </c>
      <c r="E8" s="267">
        <v>6</v>
      </c>
      <c r="F8" s="269" t="str">
        <f>'Програма-имена+кабинети'!B63</f>
        <v>Клисарова</v>
      </c>
      <c r="G8" s="270">
        <f>'Програма-имена+кабинети'!C63</f>
        <v>305</v>
      </c>
      <c r="H8" s="268">
        <v>6</v>
      </c>
      <c r="I8" s="269" t="str">
        <f>'Програма-имена+кабинети'!B118</f>
        <v>Клисарова</v>
      </c>
      <c r="J8" s="270">
        <f>'Програма-имена+кабинети'!C118</f>
        <v>305</v>
      </c>
      <c r="K8" s="264">
        <v>6</v>
      </c>
      <c r="L8" s="269" t="str">
        <f>'Програма-имена+кабинети'!B173</f>
        <v>Клисарова</v>
      </c>
      <c r="M8" s="270">
        <f>'Програма-имена+кабинети'!C173</f>
        <v>305</v>
      </c>
      <c r="N8" s="268">
        <v>6</v>
      </c>
      <c r="O8" s="269" t="str">
        <f>'Програма-имена+кабинети'!B228</f>
        <v>Петров ФВС</v>
      </c>
      <c r="P8" s="270" t="str">
        <f>'Програма-имена+кабинети'!C228</f>
        <v>ФС</v>
      </c>
    </row>
    <row r="9" spans="1:17" ht="20.95" customHeight="1">
      <c r="A9" s="432"/>
      <c r="B9" s="271">
        <v>7</v>
      </c>
      <c r="C9" s="272">
        <f>'Програма-имена+кабинети'!B9</f>
        <v>0</v>
      </c>
      <c r="D9" s="273" t="str">
        <f>'Програма-имена+кабинети'!C9</f>
        <v/>
      </c>
      <c r="E9" s="274">
        <v>7</v>
      </c>
      <c r="F9" s="272">
        <f>'Програма-имена+кабинети'!B64</f>
        <v>0</v>
      </c>
      <c r="G9" s="273" t="str">
        <f>'Програма-имена+кабинети'!C64</f>
        <v/>
      </c>
      <c r="H9" s="275">
        <v>7</v>
      </c>
      <c r="I9" s="272" t="str">
        <f>'Програма-имена+кабинети'!B119</f>
        <v>Клисарова</v>
      </c>
      <c r="J9" s="273">
        <f>'Програма-имена+кабинети'!C119</f>
        <v>305</v>
      </c>
      <c r="K9" s="271">
        <v>7</v>
      </c>
      <c r="L9" s="272">
        <f>'Програма-имена+кабинети'!B174</f>
        <v>0</v>
      </c>
      <c r="M9" s="276" t="str">
        <f>'Програма-имена+кабинети'!C174</f>
        <v/>
      </c>
      <c r="N9" s="275">
        <v>7</v>
      </c>
      <c r="O9" s="272">
        <f>'Програма-имена+кабинети'!B229</f>
        <v>0</v>
      </c>
      <c r="P9" s="273" t="str">
        <f>'Програма-имена+кабинети'!C229</f>
        <v/>
      </c>
    </row>
    <row r="11" spans="1:17" ht="20.95" customHeight="1">
      <c r="A11" s="432" t="s">
        <v>130</v>
      </c>
      <c r="B11" s="255"/>
      <c r="C11" s="256" t="s">
        <v>24</v>
      </c>
      <c r="D11" s="257"/>
      <c r="E11" s="256"/>
      <c r="F11" s="256" t="s">
        <v>25</v>
      </c>
      <c r="G11" s="258" t="s">
        <v>209</v>
      </c>
      <c r="H11" s="259"/>
      <c r="I11" s="260" t="s">
        <v>26</v>
      </c>
      <c r="J11" s="258" t="s">
        <v>209</v>
      </c>
      <c r="K11" s="261"/>
      <c r="L11" s="261" t="s">
        <v>27</v>
      </c>
      <c r="M11" s="258" t="s">
        <v>209</v>
      </c>
      <c r="N11" s="259"/>
      <c r="O11" s="260" t="s">
        <v>28</v>
      </c>
      <c r="P11" s="300" t="s">
        <v>209</v>
      </c>
    </row>
    <row r="12" spans="1:17" ht="20.95" customHeight="1">
      <c r="A12" s="432"/>
      <c r="B12" s="264">
        <v>1</v>
      </c>
      <c r="C12" s="265" t="str">
        <f>'Програма-имена+кабинети'!D3</f>
        <v>Киров</v>
      </c>
      <c r="D12" s="266" t="str">
        <f>'Програма-имена+кабинети'!E3</f>
        <v>109/110/111/114/102/302</v>
      </c>
      <c r="E12" s="267">
        <v>1</v>
      </c>
      <c r="F12" s="265" t="str">
        <f>'Програма-имена+кабинети'!D58</f>
        <v>Иванова</v>
      </c>
      <c r="G12" s="266">
        <f>'Програма-имена+кабинети'!E58</f>
        <v>205</v>
      </c>
      <c r="H12" s="267">
        <v>1</v>
      </c>
      <c r="I12" s="265" t="str">
        <f>'Програма-имена+кабинети'!D113</f>
        <v>Петров</v>
      </c>
      <c r="J12" s="266">
        <f>'Програма-имена+кабинети'!E113</f>
        <v>112</v>
      </c>
      <c r="K12" s="267">
        <v>1</v>
      </c>
      <c r="L12" s="278" t="str">
        <f>'Програма-имена+кабинети'!D168</f>
        <v>Иванова</v>
      </c>
      <c r="M12" s="279">
        <f>'Програма-имена+кабинети'!E168</f>
        <v>205</v>
      </c>
      <c r="N12" s="264">
        <v>1</v>
      </c>
      <c r="O12" s="278" t="str">
        <f>'Програма-имена+кабинети'!D223</f>
        <v>Краева</v>
      </c>
      <c r="P12" s="279">
        <f>'Програма-имена+кабинети'!E223</f>
        <v>306</v>
      </c>
    </row>
    <row r="13" spans="1:17" ht="20.95" customHeight="1">
      <c r="A13" s="432"/>
      <c r="B13" s="264">
        <v>2</v>
      </c>
      <c r="C13" s="269" t="str">
        <f>'Програма-имена+кабинети'!D4</f>
        <v>Никова</v>
      </c>
      <c r="D13" s="270">
        <f>'Програма-имена+кабинети'!E4</f>
        <v>111</v>
      </c>
      <c r="E13" s="267">
        <v>2</v>
      </c>
      <c r="F13" s="269" t="str">
        <f>'Програма-имена+кабинети'!D59</f>
        <v>Никова</v>
      </c>
      <c r="G13" s="270">
        <f>'Програма-имена+кабинети'!E59</f>
        <v>111</v>
      </c>
      <c r="H13" s="267">
        <v>2</v>
      </c>
      <c r="I13" s="269" t="str">
        <f>'Програма-имена+кабинети'!D114</f>
        <v>Н. Николова</v>
      </c>
      <c r="J13" s="270">
        <f>'Програма-имена+кабинети'!E114</f>
        <v>202</v>
      </c>
      <c r="K13" s="267">
        <v>2</v>
      </c>
      <c r="L13" s="250" t="str">
        <f>'Програма-имена+кабинети'!D169</f>
        <v>Н. Николова</v>
      </c>
      <c r="M13" s="252">
        <f>'Програма-имена+кабинети'!E169</f>
        <v>202</v>
      </c>
      <c r="N13" s="264">
        <v>2</v>
      </c>
      <c r="O13" s="250" t="str">
        <f>'Програма-имена+кабинети'!D224</f>
        <v>Цветков/Пецова</v>
      </c>
      <c r="P13" s="252">
        <f>'Програма-имена+кабинети'!E224</f>
        <v>0</v>
      </c>
    </row>
    <row r="14" spans="1:17" ht="20.95" customHeight="1">
      <c r="A14" s="432"/>
      <c r="B14" s="264">
        <v>3</v>
      </c>
      <c r="C14" s="269" t="str">
        <f>'Програма-имена+кабинети'!D5</f>
        <v>Иванова</v>
      </c>
      <c r="D14" s="270">
        <f>'Програма-имена+кабинети'!E5</f>
        <v>205</v>
      </c>
      <c r="E14" s="267">
        <v>3</v>
      </c>
      <c r="F14" s="269" t="str">
        <f>'Програма-имена+кабинети'!D60</f>
        <v>Краева</v>
      </c>
      <c r="G14" s="270">
        <f>'Програма-имена+кабинети'!E60</f>
        <v>306</v>
      </c>
      <c r="H14" s="267">
        <v>3</v>
      </c>
      <c r="I14" s="269" t="str">
        <f>'Програма-имена+кабинети'!D115</f>
        <v>Н. Николова</v>
      </c>
      <c r="J14" s="270">
        <f>'Програма-имена+кабинети'!E115</f>
        <v>202</v>
      </c>
      <c r="K14" s="267">
        <v>3</v>
      </c>
      <c r="L14" s="250" t="str">
        <f>'Програма-имена+кабинети'!D170</f>
        <v>Пецова</v>
      </c>
      <c r="M14" s="252" t="str">
        <f>'Програма-имена+кабинети'!E170</f>
        <v>102/105/111/112</v>
      </c>
      <c r="N14" s="264">
        <v>3</v>
      </c>
      <c r="O14" s="250" t="str">
        <f>'Програма-имена+кабинети'!D225</f>
        <v>Димитрова/Пецова</v>
      </c>
      <c r="P14" s="252" t="str">
        <f>'Програма-имена+кабинети'!E225</f>
        <v>КК2/105/111/112</v>
      </c>
    </row>
    <row r="15" spans="1:17" ht="20.95" customHeight="1">
      <c r="A15" s="432"/>
      <c r="B15" s="264">
        <v>4</v>
      </c>
      <c r="C15" s="269" t="str">
        <f>'Програма-имена+кабинети'!D6</f>
        <v>Краева</v>
      </c>
      <c r="D15" s="270">
        <f>'Програма-имена+кабинети'!E6</f>
        <v>306</v>
      </c>
      <c r="E15" s="267">
        <v>4</v>
      </c>
      <c r="F15" s="269" t="str">
        <f>'Програма-имена+кабинети'!D61</f>
        <v>Димитрова/Пецова</v>
      </c>
      <c r="G15" s="270" t="str">
        <f>'Програма-имена+кабинети'!E61</f>
        <v>КК2/105/111/112</v>
      </c>
      <c r="H15" s="267">
        <v>4</v>
      </c>
      <c r="I15" s="269" t="str">
        <f>'Програма-имена+кабинети'!D116</f>
        <v>Пецова</v>
      </c>
      <c r="J15" s="270" t="str">
        <f>'Програма-имена+кабинети'!E116</f>
        <v>102/105/111/112</v>
      </c>
      <c r="K15" s="267">
        <v>4</v>
      </c>
      <c r="L15" s="250" t="str">
        <f>'Програма-имена+кабинети'!D171</f>
        <v>Краева</v>
      </c>
      <c r="M15" s="252">
        <f>'Програма-имена+кабинети'!E171</f>
        <v>306</v>
      </c>
      <c r="N15" s="264">
        <v>4</v>
      </c>
      <c r="O15" s="250" t="str">
        <f>'Програма-имена+кабинети'!D226</f>
        <v>Н. Николова</v>
      </c>
      <c r="P15" s="252">
        <f>'Програма-имена+кабинети'!E226</f>
        <v>202</v>
      </c>
    </row>
    <row r="16" spans="1:17" ht="20.95" customHeight="1">
      <c r="A16" s="432"/>
      <c r="B16" s="264">
        <v>5</v>
      </c>
      <c r="C16" s="269" t="str">
        <f>'Програма-имена+кабинети'!D7</f>
        <v>Н. Николова</v>
      </c>
      <c r="D16" s="270">
        <f>'Програма-имена+кабинети'!E7</f>
        <v>202</v>
      </c>
      <c r="E16" s="267">
        <v>5</v>
      </c>
      <c r="F16" s="269" t="str">
        <f>'Програма-имена+кабинети'!D62</f>
        <v>Тонева</v>
      </c>
      <c r="G16" s="270" t="str">
        <f>'Програма-имена+кабинети'!E62</f>
        <v>ФС</v>
      </c>
      <c r="H16" s="267">
        <v>5</v>
      </c>
      <c r="I16" s="269" t="str">
        <f>'Програма-имена+кабинети'!D117</f>
        <v>Попова</v>
      </c>
      <c r="J16" s="270" t="str">
        <f>'Програма-имена+кабинети'!E117</f>
        <v>212/214/215/217</v>
      </c>
      <c r="K16" s="267">
        <v>5</v>
      </c>
      <c r="L16" s="250" t="str">
        <f>'Програма-имена+кабинети'!D172</f>
        <v>Краева</v>
      </c>
      <c r="M16" s="252">
        <f>'Програма-имена+кабинети'!E172</f>
        <v>306</v>
      </c>
      <c r="N16" s="264">
        <v>5</v>
      </c>
      <c r="O16" s="250" t="str">
        <f>'Програма-имена+кабинети'!D227</f>
        <v>Попова</v>
      </c>
      <c r="P16" s="252" t="str">
        <f>'Програма-имена+кабинети'!E227</f>
        <v>212/214/215/217</v>
      </c>
    </row>
    <row r="17" spans="1:17" ht="20.95" customHeight="1">
      <c r="A17" s="432"/>
      <c r="B17" s="264">
        <v>6</v>
      </c>
      <c r="C17" s="269" t="str">
        <f>'Програма-имена+кабинети'!D8</f>
        <v>Петров</v>
      </c>
      <c r="D17" s="270">
        <f>'Програма-имена+кабинети'!E8</f>
        <v>112</v>
      </c>
      <c r="E17" s="267">
        <v>6</v>
      </c>
      <c r="F17" s="269" t="str">
        <f>'Програма-имена+кабинети'!D63</f>
        <v>Цветков/Пецова</v>
      </c>
      <c r="G17" s="270">
        <f>'Програма-имена+кабинети'!E63</f>
        <v>0</v>
      </c>
      <c r="H17" s="267">
        <v>6</v>
      </c>
      <c r="I17" s="269" t="str">
        <f>'Програма-имена+кабинети'!D118</f>
        <v>Краева</v>
      </c>
      <c r="J17" s="270">
        <f>'Програма-имена+кабинети'!E118</f>
        <v>306</v>
      </c>
      <c r="K17" s="267">
        <v>6</v>
      </c>
      <c r="L17" s="250" t="str">
        <f>'Програма-имена+кабинети'!D173</f>
        <v>Киров</v>
      </c>
      <c r="M17" s="252" t="str">
        <f>'Програма-имена+кабинети'!E173</f>
        <v>109/110/111/114/102/302</v>
      </c>
      <c r="N17" s="264">
        <v>6</v>
      </c>
      <c r="O17" s="250" t="str">
        <f>'Програма-имена+кабинети'!D228</f>
        <v>Тонева</v>
      </c>
      <c r="P17" s="252" t="str">
        <f>'Програма-имена+кабинети'!E228</f>
        <v>ФС</v>
      </c>
    </row>
    <row r="18" spans="1:17" ht="20.95" customHeight="1">
      <c r="A18" s="432"/>
      <c r="B18" s="271">
        <v>7</v>
      </c>
      <c r="C18" s="272">
        <f>'Програма-имена+кабинети'!D9</f>
        <v>0</v>
      </c>
      <c r="D18" s="273" t="str">
        <f>'Програма-имена+кабинети'!E9</f>
        <v/>
      </c>
      <c r="E18" s="274">
        <v>7</v>
      </c>
      <c r="F18" s="272">
        <f>'Програма-имена+кабинети'!D64</f>
        <v>0</v>
      </c>
      <c r="G18" s="273" t="str">
        <f>'Програма-имена+кабинети'!E64</f>
        <v/>
      </c>
      <c r="H18" s="274">
        <v>7</v>
      </c>
      <c r="I18" s="272" t="str">
        <f>'Програма-имена+кабинети'!D119</f>
        <v>Пецова</v>
      </c>
      <c r="J18" s="273" t="str">
        <f>'Програма-имена+кабинети'!E119</f>
        <v>102/105/111/112</v>
      </c>
      <c r="K18" s="274">
        <v>7</v>
      </c>
      <c r="L18" s="251">
        <f>'Програма-имена+кабинети'!D174</f>
        <v>0</v>
      </c>
      <c r="M18" s="253" t="str">
        <f>'Програма-имена+кабинети'!E174</f>
        <v/>
      </c>
      <c r="N18" s="271">
        <v>7</v>
      </c>
      <c r="O18" s="251">
        <f>'Програма-имена+кабинети'!D229</f>
        <v>0</v>
      </c>
      <c r="P18" s="253" t="str">
        <f>'Програма-имена+кабинети'!E229</f>
        <v/>
      </c>
    </row>
    <row r="20" spans="1:17" ht="20.95" customHeight="1">
      <c r="A20" s="432" t="s">
        <v>157</v>
      </c>
      <c r="B20" s="255"/>
      <c r="C20" s="256" t="s">
        <v>24</v>
      </c>
      <c r="D20" s="257"/>
      <c r="E20" s="256"/>
      <c r="F20" s="256" t="s">
        <v>25</v>
      </c>
      <c r="G20" s="258" t="s">
        <v>209</v>
      </c>
      <c r="H20" s="259"/>
      <c r="I20" s="260" t="s">
        <v>26</v>
      </c>
      <c r="J20" s="258" t="s">
        <v>209</v>
      </c>
      <c r="K20" s="261"/>
      <c r="L20" s="261" t="s">
        <v>27</v>
      </c>
      <c r="M20" s="258" t="s">
        <v>209</v>
      </c>
      <c r="N20" s="259"/>
      <c r="O20" s="260" t="s">
        <v>28</v>
      </c>
      <c r="P20" s="300" t="s">
        <v>209</v>
      </c>
    </row>
    <row r="21" spans="1:17" ht="20.95" customHeight="1">
      <c r="A21" s="432"/>
      <c r="B21" s="280">
        <v>1</v>
      </c>
      <c r="C21" s="278" t="str">
        <f>'Програма-имена+кабинети'!F3</f>
        <v>Гинева</v>
      </c>
      <c r="D21" s="279">
        <f>'Програма-имена+кабинети'!G3</f>
        <v>102</v>
      </c>
      <c r="E21" s="264">
        <v>1</v>
      </c>
      <c r="F21" s="278" t="str">
        <f>'Програма-имена+кабинети'!F58</f>
        <v>Коларова</v>
      </c>
      <c r="G21" s="279" t="str">
        <f>'Програма-имена+кабинети'!G58</f>
        <v>212/214/215/217</v>
      </c>
      <c r="H21" s="264">
        <v>1</v>
      </c>
      <c r="I21" s="278" t="str">
        <f>'Програма-имена+кабинети'!F113</f>
        <v>Трандев</v>
      </c>
      <c r="J21" s="279" t="str">
        <f>'Програма-имена+кабинети'!G113</f>
        <v>ФС</v>
      </c>
      <c r="K21" s="264">
        <v>1</v>
      </c>
      <c r="L21" s="278" t="str">
        <f>'Програма-имена+кабинети'!F168</f>
        <v>Трифонова</v>
      </c>
      <c r="M21" s="279">
        <f>'Програма-имена+кабинети'!G168</f>
        <v>203</v>
      </c>
      <c r="N21" s="264">
        <v>1</v>
      </c>
      <c r="O21" s="278" t="str">
        <f>'Програма-имена+кабинети'!F223</f>
        <v>Кръстева</v>
      </c>
      <c r="P21" s="279">
        <f>'Програма-имена+кабинети'!G223</f>
        <v>302</v>
      </c>
    </row>
    <row r="22" spans="1:17" ht="20.95" customHeight="1">
      <c r="A22" s="432"/>
      <c r="B22" s="280">
        <v>2</v>
      </c>
      <c r="C22" s="250" t="str">
        <f>'Програма-имена+кабинети'!F4</f>
        <v>Костова</v>
      </c>
      <c r="D22" s="252" t="str">
        <f>'Програма-имена+кабинети'!G4</f>
        <v>212/214/215/217</v>
      </c>
      <c r="E22" s="264">
        <v>2</v>
      </c>
      <c r="F22" s="250" t="str">
        <f>'Програма-имена+кабинети'!F59</f>
        <v>Петров</v>
      </c>
      <c r="G22" s="252">
        <f>'Програма-имена+кабинети'!G59</f>
        <v>112</v>
      </c>
      <c r="H22" s="264">
        <v>2</v>
      </c>
      <c r="I22" s="250" t="str">
        <f>'Програма-имена+кабинети'!F114</f>
        <v>Янева/Пецова</v>
      </c>
      <c r="J22" s="252" t="str">
        <f>'Програма-имена+кабинети'!G114</f>
        <v>КК8/112</v>
      </c>
      <c r="K22" s="264">
        <v>2</v>
      </c>
      <c r="L22" s="250" t="str">
        <f>'Програма-имена+кабинети'!F169</f>
        <v>Трифонова</v>
      </c>
      <c r="M22" s="252">
        <f>'Програма-имена+кабинети'!G169</f>
        <v>203</v>
      </c>
      <c r="N22" s="264">
        <v>2</v>
      </c>
      <c r="O22" s="250" t="str">
        <f>'Програма-имена+кабинети'!F224</f>
        <v>Кръстева</v>
      </c>
      <c r="P22" s="252">
        <f>'Програма-имена+кабинети'!G224</f>
        <v>302</v>
      </c>
    </row>
    <row r="23" spans="1:17" ht="20.95" customHeight="1">
      <c r="A23" s="432"/>
      <c r="B23" s="280">
        <v>3</v>
      </c>
      <c r="C23" s="250" t="str">
        <f>'Програма-имена+кабинети'!F5</f>
        <v>Трандев</v>
      </c>
      <c r="D23" s="252" t="str">
        <f>'Програма-имена+кабинети'!G5</f>
        <v>ФС</v>
      </c>
      <c r="E23" s="264">
        <v>3</v>
      </c>
      <c r="F23" s="269" t="str">
        <f>'Програма-имена+кабинети'!F60</f>
        <v>Никова</v>
      </c>
      <c r="G23" s="252">
        <f>'Програма-имена+кабинети'!G60</f>
        <v>111</v>
      </c>
      <c r="H23" s="264">
        <v>3</v>
      </c>
      <c r="I23" s="250" t="str">
        <f>'Програма-имена+кабинети'!F115</f>
        <v>Кръстева</v>
      </c>
      <c r="J23" s="252">
        <f>'Програма-имена+кабинети'!G115</f>
        <v>302</v>
      </c>
      <c r="K23" s="264">
        <v>3</v>
      </c>
      <c r="L23" s="250" t="str">
        <f>'Програма-имена+кабинети'!F170</f>
        <v>Гинева</v>
      </c>
      <c r="M23" s="252">
        <f>'Програма-имена+кабинети'!G170</f>
        <v>102</v>
      </c>
      <c r="N23" s="264">
        <v>3</v>
      </c>
      <c r="O23" s="250" t="str">
        <f>'Програма-имена+кабинети'!F225</f>
        <v>Никова</v>
      </c>
      <c r="P23" s="252">
        <f>'Програма-имена+кабинети'!G225</f>
        <v>111</v>
      </c>
    </row>
    <row r="24" spans="1:17" ht="20.95" customHeight="1">
      <c r="A24" s="432"/>
      <c r="B24" s="280">
        <v>4</v>
      </c>
      <c r="C24" s="250" t="str">
        <f>'Програма-имена+кабинети'!F6</f>
        <v>Коларова</v>
      </c>
      <c r="D24" s="252" t="str">
        <f>'Програма-имена+кабинети'!G6</f>
        <v>212/214/215/217</v>
      </c>
      <c r="E24" s="264">
        <v>4</v>
      </c>
      <c r="F24" s="250" t="str">
        <f>'Програма-имена+кабинети'!F61</f>
        <v>Кръстева</v>
      </c>
      <c r="G24" s="252">
        <f>'Програма-имена+кабинети'!G61</f>
        <v>302</v>
      </c>
      <c r="H24" s="264">
        <v>4</v>
      </c>
      <c r="I24" s="250" t="str">
        <f>'Програма-имена+кабинети'!F116</f>
        <v>Киров</v>
      </c>
      <c r="J24" s="252" t="str">
        <f>'Програма-имена+кабинети'!G116</f>
        <v>109/110/111/114/102/302</v>
      </c>
      <c r="K24" s="264">
        <v>4</v>
      </c>
      <c r="L24" s="250" t="str">
        <f>'Програма-имена+кабинети'!F171</f>
        <v>Костова</v>
      </c>
      <c r="M24" s="252" t="str">
        <f>'Програма-имена+кабинети'!G171</f>
        <v>212/214/215/217</v>
      </c>
      <c r="N24" s="264">
        <v>4</v>
      </c>
      <c r="O24" s="250" t="str">
        <f>'Програма-имена+кабинети'!F226</f>
        <v>Киров</v>
      </c>
      <c r="P24" s="252" t="str">
        <f>'Програма-имена+кабинети'!G226</f>
        <v>109/110/111/114/102/302</v>
      </c>
    </row>
    <row r="25" spans="1:17" ht="20.95" customHeight="1">
      <c r="A25" s="432"/>
      <c r="B25" s="280">
        <v>5</v>
      </c>
      <c r="C25" s="250" t="str">
        <f>'Програма-имена+кабинети'!F7</f>
        <v>Трифонова</v>
      </c>
      <c r="D25" s="252">
        <f>'Програма-имена+кабинети'!G7</f>
        <v>203</v>
      </c>
      <c r="E25" s="264">
        <v>5</v>
      </c>
      <c r="F25" s="250" t="str">
        <f>'Програма-имена+кабинети'!F62</f>
        <v>Трифонова</v>
      </c>
      <c r="G25" s="252">
        <f>'Програма-имена+кабинети'!G62</f>
        <v>203</v>
      </c>
      <c r="H25" s="264">
        <v>5</v>
      </c>
      <c r="I25" s="250" t="str">
        <f>'Програма-имена+кабинети'!F117</f>
        <v>Трифонова</v>
      </c>
      <c r="J25" s="252">
        <f>'Програма-имена+кабинети'!G117</f>
        <v>203</v>
      </c>
      <c r="K25" s="264">
        <v>5</v>
      </c>
      <c r="L25" s="250" t="str">
        <f>'Програма-имена+кабинети'!F172</f>
        <v>Кръстева</v>
      </c>
      <c r="M25" s="252">
        <f>'Програма-имена+кабинети'!G172</f>
        <v>302</v>
      </c>
      <c r="N25" s="264">
        <v>5</v>
      </c>
      <c r="O25" s="250" t="str">
        <f>'Програма-имена+кабинети'!F227</f>
        <v>Трифонова</v>
      </c>
      <c r="P25" s="252">
        <f>'Програма-имена+кабинети'!G227</f>
        <v>203</v>
      </c>
    </row>
    <row r="26" spans="1:17" ht="20.95" customHeight="1">
      <c r="A26" s="432"/>
      <c r="B26" s="280">
        <v>6</v>
      </c>
      <c r="C26" s="250" t="str">
        <f>'Програма-имена+кабинети'!F8</f>
        <v>Влашинска</v>
      </c>
      <c r="D26" s="252" t="str">
        <f>'Програма-имена+кабинети'!G8</f>
        <v>212/214/215/217</v>
      </c>
      <c r="E26" s="264">
        <v>6</v>
      </c>
      <c r="F26" s="250" t="str">
        <f>'Програма-имена+кабинети'!F63</f>
        <v>Гинева</v>
      </c>
      <c r="G26" s="252">
        <f>'Програма-имена+кабинети'!G63</f>
        <v>102</v>
      </c>
      <c r="H26" s="264">
        <v>6</v>
      </c>
      <c r="I26" s="250" t="str">
        <f>'Програма-имена+кабинети'!F118</f>
        <v>Димитрова/Пецова</v>
      </c>
      <c r="J26" s="252" t="str">
        <f>'Програма-имена+кабинети'!G118</f>
        <v>КК2/105/111/112</v>
      </c>
      <c r="K26" s="264">
        <v>6</v>
      </c>
      <c r="L26" s="250" t="str">
        <f>'Програма-имена+кабинети'!F173</f>
        <v>Петров</v>
      </c>
      <c r="M26" s="252">
        <f>'Програма-имена+кабинети'!G173</f>
        <v>112</v>
      </c>
      <c r="N26" s="264">
        <v>6</v>
      </c>
      <c r="O26" s="250" t="str">
        <f>'Програма-имена+кабинети'!F228</f>
        <v>Пецова</v>
      </c>
      <c r="P26" s="252" t="str">
        <f>'Програма-имена+кабинети'!G228</f>
        <v>102/105/111/112</v>
      </c>
    </row>
    <row r="27" spans="1:17" s="263" customFormat="1" ht="20.95" customHeight="1">
      <c r="A27" s="432"/>
      <c r="B27" s="281">
        <v>7</v>
      </c>
      <c r="C27" s="251" t="str">
        <f>'Програма-имена+кабинети'!F9</f>
        <v>Кръстева</v>
      </c>
      <c r="D27" s="253">
        <f>'Програма-имена+кабинети'!G9</f>
        <v>302</v>
      </c>
      <c r="E27" s="271">
        <v>7</v>
      </c>
      <c r="F27" s="251">
        <f>'Програма-имена+кабинети'!F64</f>
        <v>0</v>
      </c>
      <c r="G27" s="253" t="str">
        <f>'Програма-имена+кабинети'!G64</f>
        <v/>
      </c>
      <c r="H27" s="271">
        <v>7</v>
      </c>
      <c r="I27" s="251" t="str">
        <f>'Програма-имена+кабинети'!F119</f>
        <v>Никова</v>
      </c>
      <c r="J27" s="253">
        <f>'Програма-имена+кабинети'!G119</f>
        <v>111</v>
      </c>
      <c r="K27" s="271">
        <v>7</v>
      </c>
      <c r="L27" s="251">
        <f>'Програма-имена+кабинети'!F174</f>
        <v>0</v>
      </c>
      <c r="M27" s="253" t="str">
        <f>'Програма-имена+кабинети'!G174</f>
        <v/>
      </c>
      <c r="N27" s="271">
        <v>7</v>
      </c>
      <c r="O27" s="251">
        <f>'Програма-имена+кабинети'!F229</f>
        <v>0</v>
      </c>
      <c r="P27" s="253" t="str">
        <f>'Програма-имена+кабинети'!G229</f>
        <v/>
      </c>
      <c r="Q27" s="262"/>
    </row>
    <row r="29" spans="1:17" ht="20.95" customHeight="1">
      <c r="A29" s="432" t="s">
        <v>0</v>
      </c>
      <c r="B29" s="282"/>
      <c r="C29" s="256" t="s">
        <v>24</v>
      </c>
      <c r="D29" s="257"/>
      <c r="E29" s="256"/>
      <c r="F29" s="256" t="s">
        <v>25</v>
      </c>
      <c r="G29" s="258" t="s">
        <v>209</v>
      </c>
      <c r="H29" s="259"/>
      <c r="I29" s="260" t="s">
        <v>26</v>
      </c>
      <c r="J29" s="258" t="s">
        <v>209</v>
      </c>
      <c r="K29" s="261"/>
      <c r="L29" s="261" t="s">
        <v>27</v>
      </c>
      <c r="M29" s="258" t="s">
        <v>209</v>
      </c>
      <c r="N29" s="259"/>
      <c r="O29" s="260" t="s">
        <v>28</v>
      </c>
      <c r="P29" s="300" t="s">
        <v>209</v>
      </c>
    </row>
    <row r="30" spans="1:17" ht="20.95" customHeight="1">
      <c r="A30" s="432"/>
      <c r="B30" s="280">
        <v>1</v>
      </c>
      <c r="C30" s="278" t="str">
        <f>'Програма-имена+кабинети'!B12</f>
        <v>Стефанова</v>
      </c>
      <c r="D30" s="279" t="str">
        <f>'Програма-имена+кабинети'!C12</f>
        <v>201/202/203/205/206</v>
      </c>
      <c r="E30" s="264">
        <v>1</v>
      </c>
      <c r="F30" s="278" t="str">
        <f>'Програма-имена+кабинети'!B67</f>
        <v>Петкова/Янева</v>
      </c>
      <c r="G30" s="279" t="str">
        <f>'Програма-имена+кабинети'!C67</f>
        <v>КК6/КК4</v>
      </c>
      <c r="H30" s="280">
        <v>1</v>
      </c>
      <c r="I30" s="265" t="str">
        <f>'Програма-имена+кабинети'!B122</f>
        <v>Пецова</v>
      </c>
      <c r="J30" s="266" t="str">
        <f>'Програма-имена+кабинети'!C122</f>
        <v>102/105/111/112</v>
      </c>
      <c r="K30" s="264">
        <v>1</v>
      </c>
      <c r="L30" s="278" t="str">
        <f>'Програма-имена+кабинети'!B177</f>
        <v>Спасова</v>
      </c>
      <c r="M30" s="279" t="str">
        <f>'Програма-имена+кабинети'!C177</f>
        <v>106, 103, 104, 205, 206</v>
      </c>
      <c r="N30" s="280">
        <v>1</v>
      </c>
      <c r="O30" s="265" t="str">
        <f>'Програма-имена+кабинети'!B231</f>
        <v>Спасова</v>
      </c>
      <c r="P30" s="266" t="str">
        <f>'Програма-имена+кабинети'!C231</f>
        <v>106, 103, 104, 205, 206</v>
      </c>
    </row>
    <row r="31" spans="1:17" ht="20.95" customHeight="1">
      <c r="A31" s="432"/>
      <c r="B31" s="280">
        <v>2</v>
      </c>
      <c r="C31" s="250" t="str">
        <f>'Програма-имена+кабинети'!B13</f>
        <v>Стефанова</v>
      </c>
      <c r="D31" s="252" t="str">
        <f>'Програма-имена+кабинети'!C13</f>
        <v>201/202/203/205/206</v>
      </c>
      <c r="E31" s="264">
        <v>2</v>
      </c>
      <c r="F31" s="250" t="str">
        <f>'Програма-имена+кабинети'!B68</f>
        <v>Стефанова</v>
      </c>
      <c r="G31" s="252" t="str">
        <f>'Програма-имена+кабинети'!C68</f>
        <v>201/202/203/205/206</v>
      </c>
      <c r="H31" s="280">
        <v>2</v>
      </c>
      <c r="I31" s="269" t="str">
        <f>'Програма-имена+кабинети'!B123</f>
        <v>Петкова/Димитрова</v>
      </c>
      <c r="J31" s="270" t="str">
        <f>'Програма-имена+кабинети'!C123</f>
        <v>КК3/КК8</v>
      </c>
      <c r="K31" s="264">
        <v>2</v>
      </c>
      <c r="L31" s="250" t="str">
        <f>'Програма-имена+кабинети'!B178</f>
        <v>Спасова</v>
      </c>
      <c r="M31" s="252" t="str">
        <f>'Програма-имена+кабинети'!C178</f>
        <v>106, 103, 104, 205, 206</v>
      </c>
      <c r="N31" s="280">
        <v>2</v>
      </c>
      <c r="O31" s="269" t="str">
        <f>'Програма-имена+кабинети'!B232</f>
        <v>Спасова</v>
      </c>
      <c r="P31" s="270" t="str">
        <f>'Програма-имена+кабинети'!C232</f>
        <v>106, 103, 104, 205, 206</v>
      </c>
    </row>
    <row r="32" spans="1:17" ht="20.95" customHeight="1">
      <c r="A32" s="432"/>
      <c r="B32" s="280">
        <v>3</v>
      </c>
      <c r="C32" s="250" t="str">
        <f>'Програма-имена+кабинети'!B14</f>
        <v>Спасова</v>
      </c>
      <c r="D32" s="252" t="str">
        <f>'Програма-имена+кабинети'!C14</f>
        <v>106, 103, 104, 205, 206</v>
      </c>
      <c r="E32" s="264">
        <v>3</v>
      </c>
      <c r="F32" s="250" t="str">
        <f>'Програма-имена+кабинети'!B69</f>
        <v>Мерджанова</v>
      </c>
      <c r="G32" s="252">
        <f>'Програма-имена+кабинети'!C69</f>
        <v>304</v>
      </c>
      <c r="H32" s="280">
        <v>3</v>
      </c>
      <c r="I32" s="269" t="str">
        <f>'Програма-имена+кабинети'!B124</f>
        <v>Мерджанова</v>
      </c>
      <c r="J32" s="270">
        <f>'Програма-имена+кабинети'!C124</f>
        <v>304</v>
      </c>
      <c r="K32" s="264">
        <v>3</v>
      </c>
      <c r="L32" s="250" t="str">
        <f>'Програма-имена+кабинети'!B179</f>
        <v>Спасова</v>
      </c>
      <c r="M32" s="252" t="str">
        <f>'Програма-имена+кабинети'!C179</f>
        <v>106, 103, 104, 205, 206</v>
      </c>
      <c r="N32" s="280">
        <v>3</v>
      </c>
      <c r="O32" s="269" t="str">
        <f>'Програма-имена+кабинети'!B233</f>
        <v>Спасова</v>
      </c>
      <c r="P32" s="270" t="str">
        <f>'Програма-имена+кабинети'!C233</f>
        <v>106, 103, 104, 205, 206</v>
      </c>
    </row>
    <row r="33" spans="1:17" ht="20.95" customHeight="1">
      <c r="A33" s="432"/>
      <c r="B33" s="280">
        <v>4</v>
      </c>
      <c r="C33" s="250" t="str">
        <f>'Програма-имена+кабинети'!B15</f>
        <v>Спасова</v>
      </c>
      <c r="D33" s="252" t="str">
        <f>'Програма-имена+кабинети'!C15</f>
        <v>106, 103, 104, 205, 206</v>
      </c>
      <c r="E33" s="264">
        <v>4</v>
      </c>
      <c r="F33" s="250" t="str">
        <f>'Програма-имена+кабинети'!B70</f>
        <v>Спасова</v>
      </c>
      <c r="G33" s="252" t="str">
        <f>'Програма-имена+кабинети'!C70</f>
        <v>106, 103, 104, 205, 206</v>
      </c>
      <c r="H33" s="280">
        <v>4</v>
      </c>
      <c r="I33" s="269" t="str">
        <f>'Програма-имена+кабинети'!B125</f>
        <v>Спасова</v>
      </c>
      <c r="J33" s="270" t="str">
        <f>'Програма-имена+кабинети'!C125</f>
        <v>106, 103, 104, 205, 206</v>
      </c>
      <c r="K33" s="264">
        <v>4</v>
      </c>
      <c r="L33" s="250" t="str">
        <f>'Програма-имена+кабинети'!B180</f>
        <v>Мерджанова</v>
      </c>
      <c r="M33" s="252">
        <f>'Програма-имена+кабинети'!C180</f>
        <v>304</v>
      </c>
      <c r="N33" s="280">
        <v>4</v>
      </c>
      <c r="O33" s="269" t="str">
        <f>'Програма-имена+кабинети'!B234</f>
        <v>Спасова</v>
      </c>
      <c r="P33" s="270" t="str">
        <f>'Програма-имена+кабинети'!C234</f>
        <v>106, 103, 104, 205, 206</v>
      </c>
    </row>
    <row r="34" spans="1:17" ht="20.95" customHeight="1">
      <c r="A34" s="432"/>
      <c r="B34" s="280">
        <v>5</v>
      </c>
      <c r="C34" s="250" t="str">
        <f>'Програма-имена+кабинети'!B16</f>
        <v>Тонева</v>
      </c>
      <c r="D34" s="252" t="str">
        <f>'Програма-имена+кабинети'!C16</f>
        <v>ФС</v>
      </c>
      <c r="E34" s="264">
        <v>5</v>
      </c>
      <c r="F34" s="250" t="str">
        <f>'Програма-имена+кабинети'!B71</f>
        <v>Спасова</v>
      </c>
      <c r="G34" s="252" t="str">
        <f>'Програма-имена+кабинети'!C71</f>
        <v>106, 103, 104, 205, 206</v>
      </c>
      <c r="H34" s="280">
        <v>5</v>
      </c>
      <c r="I34" s="269" t="str">
        <f>'Програма-имена+кабинети'!B126</f>
        <v>Спасова</v>
      </c>
      <c r="J34" s="270" t="str">
        <f>'Програма-имена+кабинети'!C126</f>
        <v>106, 103, 104, 205, 206</v>
      </c>
      <c r="K34" s="264">
        <v>5</v>
      </c>
      <c r="L34" s="250" t="str">
        <f>'Програма-имена+кабинети'!B181</f>
        <v>Филипова</v>
      </c>
      <c r="M34" s="252" t="str">
        <f>'Програма-имена+кабинети'!C181</f>
        <v>109/110/301/302/306</v>
      </c>
      <c r="N34" s="280">
        <v>5</v>
      </c>
      <c r="O34" s="269" t="str">
        <f>'Програма-имена+кабинети'!B235</f>
        <v>Тонева</v>
      </c>
      <c r="P34" s="270" t="str">
        <f>'Програма-имена+кабинети'!C235</f>
        <v>ФС</v>
      </c>
    </row>
    <row r="35" spans="1:17" s="263" customFormat="1" ht="20.95" customHeight="1">
      <c r="A35" s="432"/>
      <c r="B35" s="280">
        <v>6</v>
      </c>
      <c r="C35" s="250" t="str">
        <f>'Програма-имена+кабинети'!B17</f>
        <v>Спасова</v>
      </c>
      <c r="D35" s="252" t="str">
        <f>'Програма-имена+кабинети'!C17</f>
        <v>106, 103, 104, 205, 206</v>
      </c>
      <c r="E35" s="264">
        <v>6</v>
      </c>
      <c r="F35" s="250" t="str">
        <f>'Програма-имена+кабинети'!B72</f>
        <v>Спасова</v>
      </c>
      <c r="G35" s="252" t="str">
        <f>'Програма-имена+кабинети'!C72</f>
        <v>106, 103, 104, 205, 206</v>
      </c>
      <c r="H35" s="280">
        <v>6</v>
      </c>
      <c r="I35" s="269" t="str">
        <f>'Програма-имена+кабинети'!B127</f>
        <v>Спасова</v>
      </c>
      <c r="J35" s="270" t="str">
        <f>'Програма-имена+кабинети'!C127</f>
        <v>106, 103, 104, 205, 206</v>
      </c>
      <c r="K35" s="264">
        <v>6</v>
      </c>
      <c r="L35" s="250" t="str">
        <f>'Програма-имена+кабинети'!B182</f>
        <v>Стефанова</v>
      </c>
      <c r="M35" s="252" t="str">
        <f>'Програма-имена+кабинети'!C182</f>
        <v>201/202/203/205/206</v>
      </c>
      <c r="N35" s="280">
        <v>6</v>
      </c>
      <c r="O35" s="269" t="str">
        <f>'Програма-имена+кабинети'!B236</f>
        <v>Петкова/Янева</v>
      </c>
      <c r="P35" s="270" t="str">
        <f>'Програма-имена+кабинети'!C236</f>
        <v>КК6/КК4</v>
      </c>
      <c r="Q35" s="262"/>
    </row>
    <row r="36" spans="1:17" ht="20.95" customHeight="1">
      <c r="A36" s="432"/>
      <c r="B36" s="281">
        <v>7</v>
      </c>
      <c r="C36" s="251" t="str">
        <f>'Програма-имена+кабинети'!B18</f>
        <v>Спасова</v>
      </c>
      <c r="D36" s="283" t="str">
        <f>'Програма-имена+кабинети'!C18</f>
        <v>106, 103, 104, 205, 206</v>
      </c>
      <c r="E36" s="281">
        <v>7</v>
      </c>
      <c r="F36" s="284" t="str">
        <f>'Програма-имена+кабинети'!B73</f>
        <v>Спасова</v>
      </c>
      <c r="G36" s="253" t="str">
        <f>'Програма-имена+кабинети'!C73</f>
        <v>106, 103, 104, 205, 206</v>
      </c>
      <c r="H36" s="275">
        <v>7</v>
      </c>
      <c r="I36" s="272" t="str">
        <f>'Програма-имена+кабинети'!B128</f>
        <v>Спасова</v>
      </c>
      <c r="J36" s="273" t="str">
        <f>'Програма-имена+кабинети'!C128</f>
        <v>106, 103, 104, 205, 206</v>
      </c>
      <c r="K36" s="271">
        <v>7</v>
      </c>
      <c r="L36" s="251">
        <f>'Програма-имена+кабинети'!B183</f>
        <v>0</v>
      </c>
      <c r="M36" s="253" t="str">
        <f>'Програма-имена+кабинети'!C183</f>
        <v/>
      </c>
      <c r="N36" s="281">
        <v>7</v>
      </c>
      <c r="O36" s="272">
        <f>'Програма-имена+кабинети'!B237</f>
        <v>0</v>
      </c>
      <c r="P36" s="273" t="str">
        <f>'Програма-имена+кабинети'!C237</f>
        <v/>
      </c>
    </row>
    <row r="38" spans="1:17" ht="20.95" customHeight="1">
      <c r="A38" s="432" t="s">
        <v>1</v>
      </c>
      <c r="B38" s="282"/>
      <c r="C38" s="256" t="s">
        <v>24</v>
      </c>
      <c r="D38" s="257"/>
      <c r="E38" s="256"/>
      <c r="F38" s="256" t="s">
        <v>25</v>
      </c>
      <c r="G38" s="258" t="s">
        <v>209</v>
      </c>
      <c r="H38" s="259"/>
      <c r="I38" s="260" t="s">
        <v>26</v>
      </c>
      <c r="J38" s="258" t="s">
        <v>209</v>
      </c>
      <c r="K38" s="261"/>
      <c r="L38" s="261" t="s">
        <v>27</v>
      </c>
      <c r="M38" s="258" t="s">
        <v>209</v>
      </c>
      <c r="N38" s="259"/>
      <c r="O38" s="260" t="s">
        <v>28</v>
      </c>
      <c r="P38" s="300" t="s">
        <v>209</v>
      </c>
    </row>
    <row r="39" spans="1:17" ht="20.95" customHeight="1">
      <c r="A39" s="432"/>
      <c r="B39" s="280">
        <v>1</v>
      </c>
      <c r="C39" s="278" t="str">
        <f>'Програма-имена+кабинети'!D12</f>
        <v>Трифонова</v>
      </c>
      <c r="D39" s="279">
        <f>'Програма-имена+кабинети'!E12</f>
        <v>203</v>
      </c>
      <c r="E39" s="264">
        <v>1</v>
      </c>
      <c r="F39" s="278" t="str">
        <f>'Програма-имена+кабинети'!D67</f>
        <v>Габарова</v>
      </c>
      <c r="G39" s="279">
        <f>'Програма-имена+кабинети'!E67</f>
        <v>206</v>
      </c>
      <c r="H39" s="264">
        <v>1</v>
      </c>
      <c r="I39" s="278" t="str">
        <f>'Програма-имена+кабинети'!D122</f>
        <v>Габарова</v>
      </c>
      <c r="J39" s="279">
        <f>'Програма-имена+кабинети'!E122</f>
        <v>206</v>
      </c>
      <c r="K39" s="264">
        <v>1</v>
      </c>
      <c r="L39" s="278" t="str">
        <f>'Програма-имена+кабинети'!D177</f>
        <v>Габарова</v>
      </c>
      <c r="M39" s="279">
        <f>'Програма-имена+кабинети'!E177</f>
        <v>206</v>
      </c>
      <c r="N39" s="264">
        <v>1</v>
      </c>
      <c r="O39" s="278" t="str">
        <f>'Програма-имена+кабинети'!D231</f>
        <v>Трифонова</v>
      </c>
      <c r="P39" s="279">
        <f>'Програма-имена+кабинети'!E231</f>
        <v>203</v>
      </c>
    </row>
    <row r="40" spans="1:17" ht="20.95" customHeight="1">
      <c r="A40" s="432"/>
      <c r="B40" s="280">
        <v>2</v>
      </c>
      <c r="C40" s="250" t="str">
        <f>'Програма-имена+кабинети'!D13</f>
        <v>Трифонова</v>
      </c>
      <c r="D40" s="252">
        <f>'Програма-имена+кабинети'!E13</f>
        <v>203</v>
      </c>
      <c r="E40" s="264">
        <v>2</v>
      </c>
      <c r="F40" s="250" t="str">
        <f>'Програма-имена+кабинети'!D68</f>
        <v>Габарова</v>
      </c>
      <c r="G40" s="252">
        <f>'Програма-имена+кабинети'!E68</f>
        <v>206</v>
      </c>
      <c r="H40" s="264">
        <v>2</v>
      </c>
      <c r="I40" s="250" t="str">
        <f>'Програма-имена+кабинети'!D123</f>
        <v>Габарова</v>
      </c>
      <c r="J40" s="252">
        <f>'Програма-имена+кабинети'!E123</f>
        <v>206</v>
      </c>
      <c r="K40" s="264">
        <v>2</v>
      </c>
      <c r="L40" s="250" t="str">
        <f>'Програма-имена+кабинети'!D178</f>
        <v>Габарова</v>
      </c>
      <c r="M40" s="252">
        <f>'Програма-имена+кабинети'!E178</f>
        <v>206</v>
      </c>
      <c r="N40" s="264">
        <v>2</v>
      </c>
      <c r="O40" s="250" t="str">
        <f>'Програма-имена+кабинети'!D232</f>
        <v>Мерджанова</v>
      </c>
      <c r="P40" s="252">
        <f>'Програма-имена+кабинети'!E232</f>
        <v>304</v>
      </c>
    </row>
    <row r="41" spans="1:17" ht="20.95" customHeight="1">
      <c r="A41" s="432"/>
      <c r="B41" s="280">
        <v>3</v>
      </c>
      <c r="C41" s="250" t="str">
        <f>'Програма-имена+кабинети'!D14</f>
        <v>Тонева</v>
      </c>
      <c r="D41" s="252" t="str">
        <f>'Програма-имена+кабинети'!E14</f>
        <v>ФС</v>
      </c>
      <c r="E41" s="264">
        <v>3</v>
      </c>
      <c r="F41" s="250" t="str">
        <f>'Програма-имена+кабинети'!D69</f>
        <v>Габарова</v>
      </c>
      <c r="G41" s="252">
        <f>'Програма-имена+кабинети'!E69</f>
        <v>206</v>
      </c>
      <c r="H41" s="264">
        <v>3</v>
      </c>
      <c r="I41" s="250" t="str">
        <f>'Програма-имена+кабинети'!D124</f>
        <v>Габарова</v>
      </c>
      <c r="J41" s="252">
        <f>'Програма-имена+кабинети'!E124</f>
        <v>206</v>
      </c>
      <c r="K41" s="264">
        <v>3</v>
      </c>
      <c r="L41" s="250" t="str">
        <f>'Програма-имена+кабинети'!D179</f>
        <v>Габарова</v>
      </c>
      <c r="M41" s="252">
        <f>'Програма-имена+кабинети'!E179</f>
        <v>206</v>
      </c>
      <c r="N41" s="264">
        <v>3</v>
      </c>
      <c r="O41" s="250" t="str">
        <f>'Програма-имена+кабинети'!D233</f>
        <v>Габарова</v>
      </c>
      <c r="P41" s="252">
        <f>'Програма-имена+кабинети'!E233</f>
        <v>206</v>
      </c>
    </row>
    <row r="42" spans="1:17" ht="20.95" customHeight="1">
      <c r="A42" s="432"/>
      <c r="B42" s="280">
        <v>4</v>
      </c>
      <c r="C42" s="250" t="str">
        <f>'Програма-имена+кабинети'!D15</f>
        <v>Габарова</v>
      </c>
      <c r="D42" s="252">
        <f>'Програма-имена+кабинети'!E15</f>
        <v>206</v>
      </c>
      <c r="E42" s="264">
        <v>4</v>
      </c>
      <c r="F42" s="250" t="str">
        <f>'Програма-имена+кабинети'!D70</f>
        <v>Габарова</v>
      </c>
      <c r="G42" s="252">
        <f>'Програма-имена+кабинети'!E70</f>
        <v>206</v>
      </c>
      <c r="H42" s="264">
        <v>4</v>
      </c>
      <c r="I42" s="250" t="str">
        <f>'Програма-имена+кабинети'!D125</f>
        <v>Петкова/Димитрова</v>
      </c>
      <c r="J42" s="252" t="str">
        <f>'Програма-имена+кабинети'!E125</f>
        <v>КК3/КК8</v>
      </c>
      <c r="K42" s="264">
        <v>4</v>
      </c>
      <c r="L42" s="250" t="str">
        <f>'Програма-имена+кабинети'!D180</f>
        <v>Габарова</v>
      </c>
      <c r="M42" s="252">
        <f>'Програма-имена+кабинети'!E180</f>
        <v>206</v>
      </c>
      <c r="N42" s="264">
        <v>4</v>
      </c>
      <c r="O42" s="250" t="str">
        <f>'Програма-имена+кабинети'!D234</f>
        <v>Петкова/Янева</v>
      </c>
      <c r="P42" s="252" t="str">
        <f>'Програма-имена+кабинети'!E234</f>
        <v>КК6/КК4</v>
      </c>
    </row>
    <row r="43" spans="1:17" s="263" customFormat="1" ht="20.95" customHeight="1">
      <c r="A43" s="432"/>
      <c r="B43" s="280">
        <v>5</v>
      </c>
      <c r="C43" s="250" t="str">
        <f>'Програма-имена+кабинети'!D16</f>
        <v>Габарова</v>
      </c>
      <c r="D43" s="252">
        <f>'Програма-имена+кабинети'!E16</f>
        <v>206</v>
      </c>
      <c r="E43" s="264">
        <v>5</v>
      </c>
      <c r="F43" s="250" t="str">
        <f>'Програма-имена+кабинети'!D71</f>
        <v>Мерджанова</v>
      </c>
      <c r="G43" s="252">
        <f>'Програма-имена+кабинети'!E71</f>
        <v>304</v>
      </c>
      <c r="H43" s="264">
        <v>5</v>
      </c>
      <c r="I43" s="250" t="str">
        <f>'Програма-имена+кабинети'!D126</f>
        <v>Мерджанова</v>
      </c>
      <c r="J43" s="252">
        <f>'Програма-имена+кабинети'!E126</f>
        <v>304</v>
      </c>
      <c r="K43" s="264">
        <v>5</v>
      </c>
      <c r="L43" s="250" t="str">
        <f>'Програма-имена+кабинети'!D181</f>
        <v>Тонева</v>
      </c>
      <c r="M43" s="252" t="str">
        <f>'Програма-имена+кабинети'!E181</f>
        <v>ФС</v>
      </c>
      <c r="N43" s="264">
        <v>5</v>
      </c>
      <c r="O43" s="250" t="str">
        <f>'Програма-имена+кабинети'!D235</f>
        <v>Габарова</v>
      </c>
      <c r="P43" s="252">
        <f>'Програма-имена+кабинети'!E235</f>
        <v>206</v>
      </c>
      <c r="Q43" s="262"/>
    </row>
    <row r="44" spans="1:17" ht="20.95" customHeight="1">
      <c r="A44" s="432"/>
      <c r="B44" s="280">
        <v>6</v>
      </c>
      <c r="C44" s="250" t="str">
        <f>'Програма-имена+кабинети'!D17</f>
        <v>Габарова</v>
      </c>
      <c r="D44" s="252">
        <f>'Програма-имена+кабинети'!E17</f>
        <v>206</v>
      </c>
      <c r="E44" s="264">
        <v>6</v>
      </c>
      <c r="F44" s="250" t="str">
        <f>'Програма-имена+кабинети'!D72</f>
        <v>Петкова/Янева</v>
      </c>
      <c r="G44" s="252" t="str">
        <f>'Програма-имена+кабинети'!E72</f>
        <v>КК6/КК4</v>
      </c>
      <c r="H44" s="264">
        <v>6</v>
      </c>
      <c r="I44" s="250" t="str">
        <f>'Програма-имена+кабинети'!D127</f>
        <v>Трифонова</v>
      </c>
      <c r="J44" s="252">
        <f>'Програма-имена+кабинети'!E127</f>
        <v>203</v>
      </c>
      <c r="K44" s="264">
        <v>6</v>
      </c>
      <c r="L44" s="250" t="str">
        <f>'Програма-имена+кабинети'!D182</f>
        <v>Филипова</v>
      </c>
      <c r="M44" s="252" t="str">
        <f>'Програма-имена+кабинети'!E182</f>
        <v>109/110/301/302/306</v>
      </c>
      <c r="N44" s="264">
        <v>6</v>
      </c>
      <c r="O44" s="250" t="str">
        <f>'Програма-имена+кабинети'!D236</f>
        <v>Габарова</v>
      </c>
      <c r="P44" s="252">
        <f>'Програма-имена+кабинети'!E236</f>
        <v>206</v>
      </c>
    </row>
    <row r="45" spans="1:17" ht="20.95" customHeight="1">
      <c r="A45" s="432"/>
      <c r="B45" s="281">
        <v>7</v>
      </c>
      <c r="C45" s="251" t="str">
        <f>'Програма-имена+кабинети'!D18</f>
        <v>Габарова</v>
      </c>
      <c r="D45" s="253">
        <f>'Програма-имена+кабинети'!E18</f>
        <v>206</v>
      </c>
      <c r="E45" s="271">
        <v>7</v>
      </c>
      <c r="F45" s="251" t="str">
        <f>'Програма-имена+кабинети'!D73</f>
        <v>Пецова</v>
      </c>
      <c r="G45" s="283" t="str">
        <f>'Програма-имена+кабинети'!E73</f>
        <v>102/105/111/112</v>
      </c>
      <c r="H45" s="281">
        <v>7</v>
      </c>
      <c r="I45" s="284" t="str">
        <f>'Програма-имена+кабинети'!D128</f>
        <v>Трифонова</v>
      </c>
      <c r="J45" s="273">
        <f>'Програма-имена+кабинети'!E128</f>
        <v>203</v>
      </c>
      <c r="K45" s="274">
        <v>7</v>
      </c>
      <c r="L45" s="251">
        <f>'Програма-имена+кабинети'!D183</f>
        <v>0</v>
      </c>
      <c r="M45" s="253" t="str">
        <f>'Програма-имена+кабинети'!E183</f>
        <v/>
      </c>
      <c r="N45" s="271">
        <v>7</v>
      </c>
      <c r="O45" s="251">
        <f>'Програма-имена+кабинети'!D237</f>
        <v>0</v>
      </c>
      <c r="P45" s="253" t="str">
        <f>'Програма-имена+кабинети'!E237</f>
        <v/>
      </c>
    </row>
    <row r="47" spans="1:17" ht="20.95" customHeight="1">
      <c r="A47" s="432" t="s">
        <v>2</v>
      </c>
      <c r="B47" s="282"/>
      <c r="C47" s="256" t="s">
        <v>24</v>
      </c>
      <c r="D47" s="257"/>
      <c r="E47" s="256"/>
      <c r="F47" s="256" t="s">
        <v>25</v>
      </c>
      <c r="G47" s="258" t="s">
        <v>209</v>
      </c>
      <c r="H47" s="259"/>
      <c r="I47" s="260" t="s">
        <v>26</v>
      </c>
      <c r="J47" s="258" t="s">
        <v>209</v>
      </c>
      <c r="K47" s="261"/>
      <c r="L47" s="261" t="s">
        <v>27</v>
      </c>
      <c r="M47" s="258" t="s">
        <v>209</v>
      </c>
      <c r="N47" s="259"/>
      <c r="O47" s="260" t="s">
        <v>28</v>
      </c>
      <c r="P47" s="300" t="s">
        <v>209</v>
      </c>
    </row>
    <row r="48" spans="1:17" ht="20.95" customHeight="1">
      <c r="A48" s="432"/>
      <c r="B48" s="280">
        <v>1</v>
      </c>
      <c r="C48" s="278" t="str">
        <f>'Програма-имена+кабинети'!F12</f>
        <v>Д. Иванова</v>
      </c>
      <c r="D48" s="279" t="str">
        <f>'Програма-имена+кабинети'!G12</f>
        <v>КК6</v>
      </c>
      <c r="E48" s="264">
        <v>1</v>
      </c>
      <c r="F48" s="278" t="str">
        <f>'Програма-имена+кабинети'!F67</f>
        <v>Д. Иванова</v>
      </c>
      <c r="G48" s="279" t="str">
        <f>'Програма-имена+кабинети'!G67</f>
        <v>КК6</v>
      </c>
      <c r="H48" s="264">
        <v>1</v>
      </c>
      <c r="I48" s="278" t="str">
        <f>'Програма-имена+кабинети'!F122</f>
        <v>Трифонова</v>
      </c>
      <c r="J48" s="279">
        <f>'Програма-имена+кабинети'!G122</f>
        <v>203</v>
      </c>
      <c r="K48" s="264">
        <v>1</v>
      </c>
      <c r="L48" s="278" t="str">
        <f>'Програма-имена+кабинети'!F177</f>
        <v>Д. Иванова</v>
      </c>
      <c r="M48" s="279" t="str">
        <f>'Програма-имена+кабинети'!G177</f>
        <v>КК6</v>
      </c>
      <c r="N48" s="264">
        <v>1</v>
      </c>
      <c r="O48" s="278" t="str">
        <f>'Програма-имена+кабинети'!F231</f>
        <v>Д. Николова</v>
      </c>
      <c r="P48" s="279">
        <f>'Програма-имена+кабинети'!G231</f>
        <v>106</v>
      </c>
    </row>
    <row r="49" spans="1:17" ht="20.95" customHeight="1">
      <c r="A49" s="432"/>
      <c r="B49" s="280">
        <v>2</v>
      </c>
      <c r="C49" s="250" t="str">
        <f>'Програма-имена+кабинети'!F13</f>
        <v>Пецова</v>
      </c>
      <c r="D49" s="252" t="str">
        <f>'Програма-имена+кабинети'!G13</f>
        <v>102/105/111/112</v>
      </c>
      <c r="E49" s="264">
        <v>2</v>
      </c>
      <c r="F49" s="250" t="str">
        <f>'Програма-имена+кабинети'!F68</f>
        <v>Тонева</v>
      </c>
      <c r="G49" s="252" t="str">
        <f>'Програма-имена+кабинети'!G68</f>
        <v>ФС</v>
      </c>
      <c r="H49" s="264">
        <v>2</v>
      </c>
      <c r="I49" s="250" t="str">
        <f>'Програма-имена+кабинети'!F123</f>
        <v>Д. Николова</v>
      </c>
      <c r="J49" s="252">
        <f>'Програма-имена+кабинети'!G123</f>
        <v>106</v>
      </c>
      <c r="K49" s="264">
        <v>2</v>
      </c>
      <c r="L49" s="250" t="str">
        <f>'Програма-имена+кабинети'!F178</f>
        <v>Филипова</v>
      </c>
      <c r="M49" s="252" t="str">
        <f>'Програма-имена+кабинети'!G178</f>
        <v>109/110/301/302/306</v>
      </c>
      <c r="N49" s="264">
        <v>2</v>
      </c>
      <c r="O49" s="250" t="str">
        <f>'Програма-имена+кабинети'!F232</f>
        <v>Д. Николова</v>
      </c>
      <c r="P49" s="252">
        <f>'Програма-имена+кабинети'!G232</f>
        <v>106</v>
      </c>
    </row>
    <row r="50" spans="1:17" ht="20.95" customHeight="1">
      <c r="A50" s="432"/>
      <c r="B50" s="280">
        <v>3</v>
      </c>
      <c r="C50" s="250" t="str">
        <f>'Програма-имена+кабинети'!F14</f>
        <v>Трифонова</v>
      </c>
      <c r="D50" s="252">
        <f>'Програма-имена+кабинети'!G14</f>
        <v>203</v>
      </c>
      <c r="E50" s="264">
        <v>3</v>
      </c>
      <c r="F50" s="250" t="str">
        <f>'Програма-имена+кабинети'!F69</f>
        <v>Петкова/Янева</v>
      </c>
      <c r="G50" s="252" t="str">
        <f>'Програма-имена+кабинети'!G69</f>
        <v>КК6/КК4</v>
      </c>
      <c r="H50" s="264">
        <v>3</v>
      </c>
      <c r="I50" s="250" t="str">
        <f>'Програма-имена+кабинети'!F124</f>
        <v>Д. Николова</v>
      </c>
      <c r="J50" s="252">
        <f>'Програма-имена+кабинети'!G124</f>
        <v>106</v>
      </c>
      <c r="K50" s="264">
        <v>3</v>
      </c>
      <c r="L50" s="250" t="str">
        <f>'Програма-имена+кабинети'!F179</f>
        <v>Д. Николова</v>
      </c>
      <c r="M50" s="252">
        <f>'Програма-имена+кабинети'!G179</f>
        <v>106</v>
      </c>
      <c r="N50" s="264">
        <v>3</v>
      </c>
      <c r="O50" s="250" t="str">
        <f>'Програма-имена+кабинети'!F233</f>
        <v>Д. Николова</v>
      </c>
      <c r="P50" s="252">
        <f>'Програма-имена+кабинети'!G233</f>
        <v>106</v>
      </c>
    </row>
    <row r="51" spans="1:17" ht="20.95" customHeight="1">
      <c r="A51" s="432"/>
      <c r="B51" s="280">
        <v>4</v>
      </c>
      <c r="C51" s="250" t="str">
        <f>'Програма-имена+кабинети'!F15</f>
        <v>Трифонова</v>
      </c>
      <c r="D51" s="252">
        <f>'Програма-имена+кабинети'!G15</f>
        <v>203</v>
      </c>
      <c r="E51" s="264">
        <v>4</v>
      </c>
      <c r="F51" s="250" t="str">
        <f>'Програма-имена+кабинети'!F70</f>
        <v>Д. Николова</v>
      </c>
      <c r="G51" s="252">
        <f>'Програма-имена+кабинети'!G70</f>
        <v>106</v>
      </c>
      <c r="H51" s="264">
        <v>4</v>
      </c>
      <c r="I51" s="250" t="str">
        <f>'Програма-имена+кабинети'!F125</f>
        <v>Д. Николова</v>
      </c>
      <c r="J51" s="252">
        <f>'Програма-имена+кабинети'!G125</f>
        <v>106</v>
      </c>
      <c r="K51" s="264">
        <v>4</v>
      </c>
      <c r="L51" s="250" t="str">
        <f>'Програма-имена+кабинети'!F180</f>
        <v>Д. Николова</v>
      </c>
      <c r="M51" s="252">
        <f>'Програма-имена+кабинети'!G180</f>
        <v>106</v>
      </c>
      <c r="N51" s="264">
        <v>4</v>
      </c>
      <c r="O51" s="250" t="str">
        <f>'Програма-имена+кабинети'!F234</f>
        <v>Д. Николова</v>
      </c>
      <c r="P51" s="252">
        <f>'Програма-имена+кабинети'!G234</f>
        <v>106</v>
      </c>
    </row>
    <row r="52" spans="1:17" s="263" customFormat="1" ht="20.95" customHeight="1">
      <c r="A52" s="432"/>
      <c r="B52" s="280">
        <v>5</v>
      </c>
      <c r="C52" s="250" t="str">
        <f>'Програма-имена+кабинети'!F16</f>
        <v>Д. Николова</v>
      </c>
      <c r="D52" s="252">
        <f>'Програма-имена+кабинети'!G16</f>
        <v>106</v>
      </c>
      <c r="E52" s="264">
        <v>5</v>
      </c>
      <c r="F52" s="250" t="str">
        <f>'Програма-имена+кабинети'!F71</f>
        <v>Д. Николова</v>
      </c>
      <c r="G52" s="252">
        <f>'Програма-имена+кабинети'!G71</f>
        <v>106</v>
      </c>
      <c r="H52" s="264">
        <v>5</v>
      </c>
      <c r="I52" s="250" t="str">
        <f>'Програма-имена+кабинети'!F126</f>
        <v>Петкова/Димитрова</v>
      </c>
      <c r="J52" s="252" t="str">
        <f>'Програма-имена+кабинети'!G126</f>
        <v>КК3/КК8</v>
      </c>
      <c r="K52" s="264">
        <v>5</v>
      </c>
      <c r="L52" s="250" t="str">
        <f>'Програма-имена+кабинети'!F181</f>
        <v>Д. Николова</v>
      </c>
      <c r="M52" s="252">
        <f>'Програма-имена+кабинети'!G181</f>
        <v>106</v>
      </c>
      <c r="N52" s="264">
        <v>5</v>
      </c>
      <c r="O52" s="250" t="str">
        <f>'Програма-имена+кабинети'!F235</f>
        <v>Петкова/Янева</v>
      </c>
      <c r="P52" s="252" t="str">
        <f>'Програма-имена+кабинети'!G235</f>
        <v>КК6/КК4</v>
      </c>
      <c r="Q52" s="262"/>
    </row>
    <row r="53" spans="1:17" ht="20.95" customHeight="1">
      <c r="A53" s="432"/>
      <c r="B53" s="280">
        <v>6</v>
      </c>
      <c r="C53" s="250" t="str">
        <f>'Програма-имена+кабинети'!F17</f>
        <v>Д. Николова</v>
      </c>
      <c r="D53" s="252">
        <f>'Програма-имена+кабинети'!G17</f>
        <v>106</v>
      </c>
      <c r="E53" s="264">
        <v>6</v>
      </c>
      <c r="F53" s="250" t="str">
        <f>'Програма-имена+кабинети'!F72</f>
        <v>Д. Николова</v>
      </c>
      <c r="G53" s="252">
        <f>'Програма-имена+кабинети'!G72</f>
        <v>106</v>
      </c>
      <c r="H53" s="264">
        <v>6</v>
      </c>
      <c r="I53" s="250" t="str">
        <f>'Програма-имена+кабинети'!F127</f>
        <v>Тонева</v>
      </c>
      <c r="J53" s="252" t="str">
        <f>'Програма-имена+кабинети'!G127</f>
        <v>ФС</v>
      </c>
      <c r="K53" s="264">
        <v>6</v>
      </c>
      <c r="L53" s="250" t="str">
        <f>'Програма-имена+кабинети'!F182</f>
        <v>Д. Николова</v>
      </c>
      <c r="M53" s="252">
        <f>'Програма-имена+кабинети'!G182</f>
        <v>106</v>
      </c>
      <c r="N53" s="264">
        <v>6</v>
      </c>
      <c r="O53" s="250" t="str">
        <f>'Програма-имена+кабинети'!F236</f>
        <v>Трифонова</v>
      </c>
      <c r="P53" s="252">
        <f>'Програма-имена+кабинети'!G236</f>
        <v>203</v>
      </c>
    </row>
    <row r="54" spans="1:17" ht="20.95" customHeight="1">
      <c r="A54" s="432"/>
      <c r="B54" s="281">
        <v>7</v>
      </c>
      <c r="C54" s="251" t="str">
        <f>'Програма-имена+кабинети'!F18</f>
        <v>Д. Николова</v>
      </c>
      <c r="D54" s="253">
        <f>'Програма-имена+кабинети'!G18</f>
        <v>106</v>
      </c>
      <c r="E54" s="271">
        <v>7</v>
      </c>
      <c r="F54" s="251" t="str">
        <f>'Програма-имена+кабинети'!F73</f>
        <v>Д. Николова</v>
      </c>
      <c r="G54" s="253">
        <f>'Програма-имена+кабинети'!G73</f>
        <v>106</v>
      </c>
      <c r="H54" s="271">
        <v>7</v>
      </c>
      <c r="I54" s="251" t="str">
        <f>'Програма-имена+кабинети'!F128</f>
        <v>Д. Николова</v>
      </c>
      <c r="J54" s="253">
        <f>'Програма-имена+кабинети'!G128</f>
        <v>106</v>
      </c>
      <c r="K54" s="271">
        <v>7</v>
      </c>
      <c r="L54" s="251">
        <f>'Програма-имена+кабинети'!F183</f>
        <v>0</v>
      </c>
      <c r="M54" s="253" t="str">
        <f>'Програма-имена+кабинети'!G183</f>
        <v/>
      </c>
      <c r="N54" s="271">
        <v>7</v>
      </c>
      <c r="O54" s="251">
        <f>'Програма-имена+кабинети'!F237</f>
        <v>0</v>
      </c>
      <c r="P54" s="253" t="str">
        <f>'Програма-имена+кабинети'!G237</f>
        <v/>
      </c>
    </row>
    <row r="55" spans="1:17" s="285" customFormat="1" ht="20.95" customHeight="1">
      <c r="D55" s="286"/>
      <c r="G55" s="286"/>
      <c r="H55" s="287"/>
      <c r="J55" s="288" t="s">
        <v>209</v>
      </c>
      <c r="M55" s="288" t="s">
        <v>209</v>
      </c>
      <c r="N55" s="287"/>
      <c r="P55" s="288" t="s">
        <v>209</v>
      </c>
    </row>
    <row r="56" spans="1:17" ht="20.95" customHeight="1">
      <c r="A56" s="432" t="s">
        <v>3</v>
      </c>
      <c r="B56" s="282"/>
      <c r="C56" s="256" t="s">
        <v>24</v>
      </c>
      <c r="D56" s="257"/>
      <c r="E56" s="256"/>
      <c r="F56" s="256" t="s">
        <v>25</v>
      </c>
      <c r="G56" s="258" t="s">
        <v>209</v>
      </c>
      <c r="H56" s="259"/>
      <c r="I56" s="260" t="s">
        <v>26</v>
      </c>
      <c r="J56" s="258" t="s">
        <v>209</v>
      </c>
      <c r="K56" s="261"/>
      <c r="L56" s="261" t="s">
        <v>27</v>
      </c>
      <c r="M56" s="258" t="s">
        <v>209</v>
      </c>
      <c r="N56" s="259"/>
      <c r="O56" s="260" t="s">
        <v>28</v>
      </c>
      <c r="P56" s="300" t="s">
        <v>209</v>
      </c>
    </row>
    <row r="57" spans="1:17" ht="20.95" customHeight="1">
      <c r="A57" s="432"/>
      <c r="B57" s="280">
        <v>1</v>
      </c>
      <c r="C57" s="278" t="str">
        <f>'Програма-имена+кабинети'!H12</f>
        <v>Пецова</v>
      </c>
      <c r="D57" s="279" t="str">
        <f>'Програма-имена+кабинети'!I12</f>
        <v>102/105/111/112</v>
      </c>
      <c r="E57" s="264">
        <v>1</v>
      </c>
      <c r="F57" s="278" t="str">
        <f>'Програма-имена+кабинети'!H67</f>
        <v>Тонева</v>
      </c>
      <c r="G57" s="279" t="str">
        <f>'Програма-имена+кабинети'!I67</f>
        <v>ФС</v>
      </c>
      <c r="H57" s="264">
        <v>1</v>
      </c>
      <c r="I57" s="278" t="str">
        <f>'Програма-имена+кабинети'!H122</f>
        <v>Петкова/Димитрова</v>
      </c>
      <c r="J57" s="279" t="str">
        <f>'Програма-имена+кабинети'!I122</f>
        <v>КК3/КК8</v>
      </c>
      <c r="K57" s="264">
        <v>1</v>
      </c>
      <c r="L57" s="278" t="str">
        <f>'Програма-имена+кабинети'!H177</f>
        <v>Филипова</v>
      </c>
      <c r="M57" s="279" t="str">
        <f>'Програма-имена+кабинети'!I177</f>
        <v>109/110/301/302/306</v>
      </c>
      <c r="N57" s="264">
        <v>1</v>
      </c>
      <c r="O57" s="278" t="str">
        <f>'Програма-имена+кабинети'!H231</f>
        <v>Мерджанова</v>
      </c>
      <c r="P57" s="279">
        <f>'Програма-имена+кабинети'!I231</f>
        <v>304</v>
      </c>
    </row>
    <row r="58" spans="1:17" ht="20.95" customHeight="1">
      <c r="A58" s="432"/>
      <c r="B58" s="280">
        <v>2</v>
      </c>
      <c r="C58" s="250" t="str">
        <f>'Програма-имена+кабинети'!H13</f>
        <v>Гинева</v>
      </c>
      <c r="D58" s="252">
        <f>'Програма-имена+кабинети'!I13</f>
        <v>102</v>
      </c>
      <c r="E58" s="264">
        <v>2</v>
      </c>
      <c r="F58" s="250" t="str">
        <f>'Програма-имена+кабинети'!H68</f>
        <v>Петкова/Янева</v>
      </c>
      <c r="G58" s="252" t="str">
        <f>'Програма-имена+кабинети'!I68</f>
        <v>КК6/КК4</v>
      </c>
      <c r="H58" s="264">
        <v>2</v>
      </c>
      <c r="I58" s="250" t="str">
        <f>'Програма-имена+кабинети'!H123</f>
        <v>Мерджанова</v>
      </c>
      <c r="J58" s="252">
        <f>'Програма-имена+кабинети'!I123</f>
        <v>304</v>
      </c>
      <c r="K58" s="264">
        <v>2</v>
      </c>
      <c r="L58" s="250" t="str">
        <f>'Програма-имена+кабинети'!H178</f>
        <v>Гинева</v>
      </c>
      <c r="M58" s="252">
        <f>'Програма-имена+кабинети'!I178</f>
        <v>102</v>
      </c>
      <c r="N58" s="264">
        <v>2</v>
      </c>
      <c r="O58" s="250" t="str">
        <f>'Програма-имена+кабинети'!H232</f>
        <v>Петкова/Янева</v>
      </c>
      <c r="P58" s="252" t="str">
        <f>'Програма-имена+кабинети'!I232</f>
        <v>КК6/КК4</v>
      </c>
    </row>
    <row r="59" spans="1:17" ht="20.95" customHeight="1">
      <c r="A59" s="432"/>
      <c r="B59" s="280">
        <v>3</v>
      </c>
      <c r="C59" s="250" t="str">
        <f>'Програма-имена+кабинети'!H14</f>
        <v>Гинева</v>
      </c>
      <c r="D59" s="252">
        <f>'Програма-имена+кабинети'!I14</f>
        <v>102</v>
      </c>
      <c r="E59" s="264">
        <v>3</v>
      </c>
      <c r="F59" s="250" t="str">
        <f>'Програма-имена+кабинети'!H69</f>
        <v>Гинева</v>
      </c>
      <c r="G59" s="252">
        <f>'Програма-имена+кабинети'!I69</f>
        <v>102</v>
      </c>
      <c r="H59" s="264">
        <v>3</v>
      </c>
      <c r="I59" s="250" t="str">
        <f>'Програма-имена+кабинети'!H124</f>
        <v>Трифонова</v>
      </c>
      <c r="J59" s="252">
        <f>'Програма-имена+кабинети'!I124</f>
        <v>203</v>
      </c>
      <c r="K59" s="264">
        <v>3</v>
      </c>
      <c r="L59" s="250" t="str">
        <f>'Програма-имена+кабинети'!H179</f>
        <v>Тонева</v>
      </c>
      <c r="M59" s="252" t="str">
        <f>'Програма-имена+кабинети'!I179</f>
        <v>ФС</v>
      </c>
      <c r="N59" s="264">
        <v>3</v>
      </c>
      <c r="O59" s="250" t="str">
        <f>'Програма-имена+кабинети'!H233</f>
        <v>Трифонова</v>
      </c>
      <c r="P59" s="252">
        <f>'Програма-имена+кабинети'!I233</f>
        <v>203</v>
      </c>
    </row>
    <row r="60" spans="1:17" ht="20.95" customHeight="1">
      <c r="A60" s="432"/>
      <c r="B60" s="280">
        <v>4</v>
      </c>
      <c r="C60" s="250" t="str">
        <f>'Програма-имена+кабинети'!H15</f>
        <v>Гинева</v>
      </c>
      <c r="D60" s="252">
        <f>'Програма-имена+кабинети'!I15</f>
        <v>102</v>
      </c>
      <c r="E60" s="264">
        <v>4</v>
      </c>
      <c r="F60" s="250" t="str">
        <f>'Програма-имена+кабинети'!H70</f>
        <v>Гинева</v>
      </c>
      <c r="G60" s="252">
        <f>'Програма-имена+кабинети'!I70</f>
        <v>102</v>
      </c>
      <c r="H60" s="264">
        <v>4</v>
      </c>
      <c r="I60" s="250" t="str">
        <f>'Програма-имена+кабинети'!H125</f>
        <v>Гинева</v>
      </c>
      <c r="J60" s="252">
        <f>'Програма-имена+кабинети'!I125</f>
        <v>102</v>
      </c>
      <c r="K60" s="264">
        <v>4</v>
      </c>
      <c r="L60" s="250" t="str">
        <f>'Програма-имена+кабинети'!H180</f>
        <v>Гинева</v>
      </c>
      <c r="M60" s="252">
        <f>'Програма-имена+кабинети'!I180</f>
        <v>102</v>
      </c>
      <c r="N60" s="264">
        <v>4</v>
      </c>
      <c r="O60" s="250" t="str">
        <f>'Програма-имена+кабинети'!H234</f>
        <v>Гинева</v>
      </c>
      <c r="P60" s="252">
        <f>'Програма-имена+кабинети'!I234</f>
        <v>102</v>
      </c>
    </row>
    <row r="61" spans="1:17" ht="20.95" customHeight="1">
      <c r="A61" s="432"/>
      <c r="B61" s="280">
        <v>5</v>
      </c>
      <c r="C61" s="250" t="str">
        <f>'Програма-имена+кабинети'!H16</f>
        <v>Гинева</v>
      </c>
      <c r="D61" s="252">
        <f>'Програма-имена+кабинети'!I16</f>
        <v>102</v>
      </c>
      <c r="E61" s="264">
        <v>5</v>
      </c>
      <c r="F61" s="250" t="str">
        <f>'Програма-имена+кабинети'!H71</f>
        <v>Гинева</v>
      </c>
      <c r="G61" s="252">
        <f>'Програма-имена+кабинети'!I71</f>
        <v>102</v>
      </c>
      <c r="H61" s="264">
        <v>5</v>
      </c>
      <c r="I61" s="250" t="str">
        <f>'Програма-имена+кабинети'!H126</f>
        <v>Гинева</v>
      </c>
      <c r="J61" s="252">
        <f>'Програма-имена+кабинети'!I126</f>
        <v>102</v>
      </c>
      <c r="K61" s="264">
        <v>5</v>
      </c>
      <c r="L61" s="250" t="str">
        <f>'Програма-имена+кабинети'!H181</f>
        <v>Гинева</v>
      </c>
      <c r="M61" s="252">
        <f>'Програма-имена+кабинети'!I181</f>
        <v>102</v>
      </c>
      <c r="N61" s="264">
        <v>5</v>
      </c>
      <c r="O61" s="250" t="str">
        <f>'Програма-имена+кабинети'!H235</f>
        <v>Гинева</v>
      </c>
      <c r="P61" s="252">
        <f>'Програма-имена+кабинети'!I235</f>
        <v>102</v>
      </c>
    </row>
    <row r="62" spans="1:17" ht="20.95" customHeight="1">
      <c r="A62" s="432"/>
      <c r="B62" s="280">
        <v>6</v>
      </c>
      <c r="C62" s="250" t="str">
        <f>'Програма-имена+кабинети'!H17</f>
        <v>Трифонова</v>
      </c>
      <c r="D62" s="252">
        <f>'Програма-имена+кабинети'!I17</f>
        <v>203</v>
      </c>
      <c r="E62" s="264">
        <v>6</v>
      </c>
      <c r="F62" s="250" t="str">
        <f>'Програма-имена+кабинети'!H72</f>
        <v>Мерджанова</v>
      </c>
      <c r="G62" s="252">
        <f>'Програма-имена+кабинети'!I72</f>
        <v>304</v>
      </c>
      <c r="H62" s="264">
        <v>6</v>
      </c>
      <c r="I62" s="250" t="str">
        <f>'Програма-имена+кабинети'!H127</f>
        <v>Гинева</v>
      </c>
      <c r="J62" s="252">
        <f>'Програма-имена+кабинети'!I127</f>
        <v>102</v>
      </c>
      <c r="K62" s="264">
        <v>6</v>
      </c>
      <c r="L62" s="250" t="str">
        <f>'Програма-имена+кабинети'!H182</f>
        <v>Гинева</v>
      </c>
      <c r="M62" s="252">
        <f>'Програма-имена+кабинети'!I182</f>
        <v>102</v>
      </c>
      <c r="N62" s="264">
        <v>6</v>
      </c>
      <c r="O62" s="250" t="str">
        <f>'Програма-имена+кабинети'!H236</f>
        <v>Гинева</v>
      </c>
      <c r="P62" s="252">
        <f>'Програма-имена+кабинети'!I236</f>
        <v>102</v>
      </c>
    </row>
    <row r="63" spans="1:17" ht="20.95" customHeight="1">
      <c r="A63" s="432"/>
      <c r="B63" s="281">
        <v>7</v>
      </c>
      <c r="C63" s="251" t="str">
        <f>'Програма-имена+кабинети'!H18</f>
        <v>Трифонова</v>
      </c>
      <c r="D63" s="253">
        <f>'Програма-имена+кабинети'!I18</f>
        <v>203</v>
      </c>
      <c r="E63" s="271">
        <v>7</v>
      </c>
      <c r="F63" s="251" t="str">
        <f>'Програма-имена+кабинети'!H73</f>
        <v>Гинева</v>
      </c>
      <c r="G63" s="253">
        <f>'Програма-имена+кабинети'!I73</f>
        <v>102</v>
      </c>
      <c r="H63" s="271">
        <v>7</v>
      </c>
      <c r="I63" s="251" t="str">
        <f>'Програма-имена+кабинети'!H128</f>
        <v>Гинева</v>
      </c>
      <c r="J63" s="253">
        <f>'Програма-имена+кабинети'!I128</f>
        <v>102</v>
      </c>
      <c r="K63" s="271">
        <v>7</v>
      </c>
      <c r="L63" s="251">
        <f>'Програма-имена+кабинети'!H183</f>
        <v>0</v>
      </c>
      <c r="M63" s="253" t="str">
        <f>'Програма-имена+кабинети'!I183</f>
        <v/>
      </c>
      <c r="N63" s="271">
        <v>7</v>
      </c>
      <c r="O63" s="251">
        <f>'Програма-имена+кабинети'!H237</f>
        <v>0</v>
      </c>
      <c r="P63" s="253" t="str">
        <f>'Програма-имена+кабинети'!I237</f>
        <v/>
      </c>
    </row>
    <row r="64" spans="1:17" s="285" customFormat="1" ht="20.95" customHeight="1">
      <c r="D64" s="286"/>
      <c r="G64" s="286"/>
      <c r="H64" s="287"/>
      <c r="J64" s="288" t="s">
        <v>209</v>
      </c>
      <c r="M64" s="288" t="s">
        <v>209</v>
      </c>
      <c r="N64" s="287"/>
      <c r="P64" s="288" t="s">
        <v>209</v>
      </c>
    </row>
    <row r="65" spans="1:17" ht="20.95" customHeight="1">
      <c r="A65" s="432" t="s">
        <v>4</v>
      </c>
      <c r="B65" s="282"/>
      <c r="C65" s="256" t="s">
        <v>24</v>
      </c>
      <c r="D65" s="257"/>
      <c r="E65" s="256"/>
      <c r="F65" s="256" t="s">
        <v>25</v>
      </c>
      <c r="G65" s="258" t="s">
        <v>209</v>
      </c>
      <c r="H65" s="259"/>
      <c r="I65" s="260" t="s">
        <v>26</v>
      </c>
      <c r="J65" s="258" t="s">
        <v>209</v>
      </c>
      <c r="K65" s="261"/>
      <c r="L65" s="261" t="s">
        <v>27</v>
      </c>
      <c r="M65" s="258" t="s">
        <v>209</v>
      </c>
      <c r="N65" s="259"/>
      <c r="O65" s="260" t="s">
        <v>28</v>
      </c>
      <c r="P65" s="300" t="s">
        <v>209</v>
      </c>
    </row>
    <row r="66" spans="1:17" ht="20.95" customHeight="1">
      <c r="A66" s="432"/>
      <c r="B66" s="280">
        <v>1</v>
      </c>
      <c r="C66" s="278" t="str">
        <f>'Програма-имена+кабинети'!J12</f>
        <v>Маркова</v>
      </c>
      <c r="D66" s="279">
        <f>'Програма-имена+кабинети'!K12</f>
        <v>103</v>
      </c>
      <c r="E66" s="264">
        <v>1</v>
      </c>
      <c r="F66" s="278" t="str">
        <f>'Програма-имена+кабинети'!J67</f>
        <v>Маркова</v>
      </c>
      <c r="G66" s="279">
        <f>'Програма-имена+кабинети'!K67</f>
        <v>103</v>
      </c>
      <c r="H66" s="280">
        <v>1</v>
      </c>
      <c r="I66" s="278" t="str">
        <f>'Програма-имена+кабинети'!J122</f>
        <v>Мерджанова</v>
      </c>
      <c r="J66" s="266">
        <f>'Програма-имена+кабинети'!K122</f>
        <v>304</v>
      </c>
      <c r="K66" s="264">
        <v>1</v>
      </c>
      <c r="L66" s="278" t="str">
        <f>'Програма-имена+кабинети'!J177</f>
        <v>Маркова</v>
      </c>
      <c r="M66" s="279">
        <f>'Програма-имена+кабинети'!K177</f>
        <v>103</v>
      </c>
      <c r="N66" s="264">
        <v>1</v>
      </c>
      <c r="O66" s="278" t="str">
        <f>'Програма-имена+кабинети'!J231</f>
        <v>Петкова/Янева</v>
      </c>
      <c r="P66" s="279" t="str">
        <f>'Програма-имена+кабинети'!K231</f>
        <v>КК6/КК4</v>
      </c>
    </row>
    <row r="67" spans="1:17" ht="20.95" customHeight="1">
      <c r="A67" s="432"/>
      <c r="B67" s="280">
        <v>2</v>
      </c>
      <c r="C67" s="250" t="str">
        <f>'Програма-имена+кабинети'!J13</f>
        <v>Маркова</v>
      </c>
      <c r="D67" s="252">
        <f>'Програма-имена+кабинети'!K13</f>
        <v>103</v>
      </c>
      <c r="E67" s="264">
        <v>2</v>
      </c>
      <c r="F67" s="250" t="str">
        <f>'Програма-имена+кабинети'!J68</f>
        <v>Маркова</v>
      </c>
      <c r="G67" s="252">
        <f>'Програма-имена+кабинети'!K68</f>
        <v>103</v>
      </c>
      <c r="H67" s="280">
        <v>2</v>
      </c>
      <c r="I67" s="250" t="str">
        <f>'Програма-имена+кабинети'!J123</f>
        <v>Трифонова</v>
      </c>
      <c r="J67" s="270">
        <f>'Програма-имена+кабинети'!K123</f>
        <v>203</v>
      </c>
      <c r="K67" s="264">
        <v>2</v>
      </c>
      <c r="L67" s="250" t="str">
        <f>'Програма-имена+кабинети'!J178</f>
        <v>Маркова</v>
      </c>
      <c r="M67" s="252">
        <f>'Програма-имена+кабинети'!K178</f>
        <v>103</v>
      </c>
      <c r="N67" s="264">
        <v>2</v>
      </c>
      <c r="O67" s="250" t="str">
        <f>'Програма-имена+кабинети'!J232</f>
        <v>Трифонова</v>
      </c>
      <c r="P67" s="252">
        <f>'Програма-имена+кабинети'!K232</f>
        <v>203</v>
      </c>
      <c r="Q67" s="263"/>
    </row>
    <row r="68" spans="1:17" ht="20.95" customHeight="1">
      <c r="A68" s="432"/>
      <c r="B68" s="280">
        <v>3</v>
      </c>
      <c r="C68" s="250" t="str">
        <f>'Програма-имена+кабинети'!J14</f>
        <v>Маркова</v>
      </c>
      <c r="D68" s="252">
        <f>'Програма-имена+кабинети'!K14</f>
        <v>103</v>
      </c>
      <c r="E68" s="264">
        <v>3</v>
      </c>
      <c r="F68" s="250" t="str">
        <f>'Програма-имена+кабинети'!J69</f>
        <v>Маркова</v>
      </c>
      <c r="G68" s="252">
        <f>'Програма-имена+кабинети'!K69</f>
        <v>103</v>
      </c>
      <c r="H68" s="280">
        <v>3</v>
      </c>
      <c r="I68" s="250" t="str">
        <f>'Програма-имена+кабинети'!J124</f>
        <v>Димитрова/Янева</v>
      </c>
      <c r="J68" s="270" t="str">
        <f>'Програма-имена+кабинети'!K124</f>
        <v>КК4/102/109</v>
      </c>
      <c r="K68" s="264">
        <v>3</v>
      </c>
      <c r="L68" s="250" t="str">
        <f>'Програма-имена+кабинети'!J179</f>
        <v>Маркова</v>
      </c>
      <c r="M68" s="252">
        <f>'Програма-имена+кабинети'!K179</f>
        <v>103</v>
      </c>
      <c r="N68" s="264">
        <v>3</v>
      </c>
      <c r="O68" s="250" t="str">
        <f>'Програма-имена+кабинети'!J233</f>
        <v>Маркова</v>
      </c>
      <c r="P68" s="252">
        <f>'Програма-имена+кабинети'!K233</f>
        <v>103</v>
      </c>
    </row>
    <row r="69" spans="1:17" ht="20.95" customHeight="1">
      <c r="A69" s="432"/>
      <c r="B69" s="280">
        <v>4</v>
      </c>
      <c r="C69" s="250" t="str">
        <f>'Програма-имена+кабинети'!J15</f>
        <v>Маркова</v>
      </c>
      <c r="D69" s="252">
        <f>'Програма-имена+кабинети'!K15</f>
        <v>103</v>
      </c>
      <c r="E69" s="264">
        <v>4</v>
      </c>
      <c r="F69" s="250" t="str">
        <f>'Програма-имена+кабинети'!J70</f>
        <v>Тонева</v>
      </c>
      <c r="G69" s="252" t="str">
        <f>'Програма-имена+кабинети'!K70</f>
        <v>ФС</v>
      </c>
      <c r="H69" s="280">
        <v>4</v>
      </c>
      <c r="I69" s="250" t="str">
        <f>'Програма-имена+кабинети'!J125</f>
        <v>Маркова</v>
      </c>
      <c r="J69" s="270">
        <f>'Програма-имена+кабинети'!K125</f>
        <v>103</v>
      </c>
      <c r="K69" s="264">
        <v>4</v>
      </c>
      <c r="L69" s="250" t="str">
        <f>'Програма-имена+кабинети'!J180</f>
        <v>Маркова</v>
      </c>
      <c r="M69" s="252">
        <f>'Програма-имена+кабинети'!K180</f>
        <v>103</v>
      </c>
      <c r="N69" s="264">
        <v>4</v>
      </c>
      <c r="O69" s="250" t="str">
        <f>'Програма-имена+кабинети'!J234</f>
        <v>Маркова</v>
      </c>
      <c r="P69" s="252">
        <f>'Програма-имена+кабинети'!K234</f>
        <v>103</v>
      </c>
    </row>
    <row r="70" spans="1:17" s="263" customFormat="1" ht="20.95" customHeight="1">
      <c r="A70" s="432"/>
      <c r="B70" s="280">
        <v>5</v>
      </c>
      <c r="C70" s="250" t="str">
        <f>'Програма-имена+кабинети'!J16</f>
        <v>Мерджанова</v>
      </c>
      <c r="D70" s="252">
        <f>'Програма-имена+кабинети'!K16</f>
        <v>304</v>
      </c>
      <c r="E70" s="264">
        <v>5</v>
      </c>
      <c r="F70" s="250" t="str">
        <f>'Програма-имена+кабинети'!J71</f>
        <v>Петкова/Янева</v>
      </c>
      <c r="G70" s="252" t="str">
        <f>'Програма-имена+кабинети'!K71</f>
        <v>КК6/КК4</v>
      </c>
      <c r="H70" s="280">
        <v>5</v>
      </c>
      <c r="I70" s="250" t="str">
        <f>'Програма-имена+кабинети'!J126</f>
        <v>Маркова</v>
      </c>
      <c r="J70" s="270">
        <f>'Програма-имена+кабинети'!K126</f>
        <v>103</v>
      </c>
      <c r="K70" s="264">
        <v>5</v>
      </c>
      <c r="L70" s="250" t="str">
        <f>'Програма-имена+кабинети'!J181</f>
        <v>Мерджанова</v>
      </c>
      <c r="M70" s="252">
        <f>'Програма-имена+кабинети'!K181</f>
        <v>304</v>
      </c>
      <c r="N70" s="264">
        <v>5</v>
      </c>
      <c r="O70" s="250" t="str">
        <f>'Програма-имена+кабинети'!J235</f>
        <v>Маркова</v>
      </c>
      <c r="P70" s="252">
        <f>'Програма-имена+кабинети'!K235</f>
        <v>103</v>
      </c>
      <c r="Q70" s="262"/>
    </row>
    <row r="71" spans="1:17" ht="20.95" customHeight="1">
      <c r="A71" s="432"/>
      <c r="B71" s="280">
        <v>6</v>
      </c>
      <c r="C71" s="250" t="str">
        <f>'Програма-имена+кабинети'!J17</f>
        <v>Филипова</v>
      </c>
      <c r="D71" s="252" t="str">
        <f>'Програма-имена+кабинети'!K17</f>
        <v>109/110/301/302/306</v>
      </c>
      <c r="E71" s="264">
        <v>6</v>
      </c>
      <c r="F71" s="250" t="str">
        <f>'Програма-имена+кабинети'!J72</f>
        <v>Трифонова</v>
      </c>
      <c r="G71" s="252">
        <f>'Програма-имена+кабинети'!K72</f>
        <v>203</v>
      </c>
      <c r="H71" s="280">
        <v>6</v>
      </c>
      <c r="I71" s="250" t="str">
        <f>'Програма-имена+кабинети'!J127</f>
        <v>Маркова</v>
      </c>
      <c r="J71" s="270">
        <f>'Програма-имена+кабинети'!K127</f>
        <v>103</v>
      </c>
      <c r="K71" s="264">
        <v>6</v>
      </c>
      <c r="L71" s="250" t="str">
        <f>'Програма-имена+кабинети'!J182</f>
        <v>Пецова</v>
      </c>
      <c r="M71" s="252" t="str">
        <f>'Програма-имена+кабинети'!K182</f>
        <v>102/105/111/112</v>
      </c>
      <c r="N71" s="264">
        <v>6</v>
      </c>
      <c r="O71" s="250" t="str">
        <f>'Програма-имена+кабинети'!J236</f>
        <v>Маркова</v>
      </c>
      <c r="P71" s="252">
        <f>'Програма-имена+кабинети'!K236</f>
        <v>103</v>
      </c>
    </row>
    <row r="72" spans="1:17" ht="20.95" customHeight="1">
      <c r="A72" s="432"/>
      <c r="B72" s="281">
        <v>7</v>
      </c>
      <c r="C72" s="251" t="str">
        <f>'Програма-имена+кабинети'!J18</f>
        <v>Тонева</v>
      </c>
      <c r="D72" s="253" t="str">
        <f>'Програма-имена+кабинети'!K18</f>
        <v>ФС</v>
      </c>
      <c r="E72" s="271">
        <v>7</v>
      </c>
      <c r="F72" s="251" t="str">
        <f>'Програма-имена+кабинети'!J73</f>
        <v>Трифонова</v>
      </c>
      <c r="G72" s="253">
        <f>'Програма-имена+кабинети'!K73</f>
        <v>203</v>
      </c>
      <c r="H72" s="281">
        <v>7</v>
      </c>
      <c r="I72" s="251" t="str">
        <f>'Програма-имена+кабинети'!J128</f>
        <v>Маркова</v>
      </c>
      <c r="J72" s="273">
        <f>'Програма-имена+кабинети'!K128</f>
        <v>103</v>
      </c>
      <c r="K72" s="271">
        <v>7</v>
      </c>
      <c r="L72" s="251">
        <f>'Програма-имена+кабинети'!J183</f>
        <v>0</v>
      </c>
      <c r="M72" s="253" t="str">
        <f>'Програма-имена+кабинети'!K183</f>
        <v/>
      </c>
      <c r="N72" s="271">
        <v>7</v>
      </c>
      <c r="O72" s="251">
        <f>'Програма-имена+кабинети'!J237</f>
        <v>0</v>
      </c>
      <c r="P72" s="253" t="str">
        <f>'Програма-имена+кабинети'!K237</f>
        <v/>
      </c>
    </row>
    <row r="73" spans="1:17" s="285" customFormat="1" ht="20.95" customHeight="1">
      <c r="D73" s="286"/>
      <c r="G73" s="286"/>
      <c r="H73" s="287"/>
      <c r="J73" s="288" t="s">
        <v>209</v>
      </c>
      <c r="M73" s="288" t="s">
        <v>209</v>
      </c>
      <c r="N73" s="287"/>
      <c r="P73" s="288" t="s">
        <v>209</v>
      </c>
    </row>
    <row r="74" spans="1:17" ht="20.95" customHeight="1">
      <c r="A74" s="432" t="s">
        <v>5</v>
      </c>
      <c r="B74" s="255"/>
      <c r="C74" s="256" t="s">
        <v>24</v>
      </c>
      <c r="D74" s="257"/>
      <c r="E74" s="256"/>
      <c r="F74" s="256" t="s">
        <v>25</v>
      </c>
      <c r="G74" s="258" t="s">
        <v>209</v>
      </c>
      <c r="H74" s="259"/>
      <c r="I74" s="260" t="s">
        <v>26</v>
      </c>
      <c r="J74" s="258" t="s">
        <v>209</v>
      </c>
      <c r="K74" s="261"/>
      <c r="L74" s="261" t="s">
        <v>27</v>
      </c>
      <c r="M74" s="258" t="s">
        <v>209</v>
      </c>
      <c r="N74" s="259"/>
      <c r="O74" s="260" t="s">
        <v>28</v>
      </c>
      <c r="P74" s="300" t="s">
        <v>209</v>
      </c>
    </row>
    <row r="75" spans="1:17" ht="20.95" customHeight="1">
      <c r="A75" s="432"/>
      <c r="B75" s="280">
        <v>1</v>
      </c>
      <c r="C75" s="278" t="str">
        <f>'Програма-имена+кабинети'!B21</f>
        <v>Сапунджиева</v>
      </c>
      <c r="D75" s="279">
        <f>'Програма-имена+кабинети'!C21</f>
        <v>104</v>
      </c>
      <c r="E75" s="264">
        <v>1</v>
      </c>
      <c r="F75" s="278" t="str">
        <f>'Програма-имена+кабинети'!B76</f>
        <v>Кирилова/Тодорова</v>
      </c>
      <c r="G75" s="279" t="str">
        <f>'Програма-имена+кабинети'!C76</f>
        <v>108/101-105</v>
      </c>
      <c r="H75" s="280">
        <v>1</v>
      </c>
      <c r="I75" s="278" t="str">
        <f>'Програма-имена+кабинети'!B131</f>
        <v>Киров</v>
      </c>
      <c r="J75" s="266" t="str">
        <f>'Програма-имена+кабинети'!C131</f>
        <v>109/110/111/114/102/302</v>
      </c>
      <c r="K75" s="264">
        <v>1</v>
      </c>
      <c r="L75" s="278" t="str">
        <f>'Програма-имена+кабинети'!B186</f>
        <v>Киров</v>
      </c>
      <c r="M75" s="279" t="str">
        <f>'Програма-имена+кабинети'!C186</f>
        <v>109/110/111/114/102/302</v>
      </c>
      <c r="N75" s="280">
        <v>1</v>
      </c>
      <c r="O75" s="278" t="str">
        <f>'Програма-имена+кабинети'!B240</f>
        <v>В. Иванова</v>
      </c>
      <c r="P75" s="266">
        <f>'Програма-имена+кабинети'!C240</f>
        <v>109</v>
      </c>
    </row>
    <row r="76" spans="1:17" ht="20.95" customHeight="1">
      <c r="A76" s="432"/>
      <c r="B76" s="280">
        <v>2</v>
      </c>
      <c r="C76" s="250" t="str">
        <f>'Програма-имена+кабинети'!B22</f>
        <v>Сапунджиева</v>
      </c>
      <c r="D76" s="252">
        <f>'Програма-имена+кабинети'!C22</f>
        <v>104</v>
      </c>
      <c r="E76" s="264">
        <v>2</v>
      </c>
      <c r="F76" s="250" t="str">
        <f>'Програма-имена+кабинети'!B77</f>
        <v>Кирилова/Тодорова</v>
      </c>
      <c r="G76" s="252" t="str">
        <f>'Програма-имена+кабинети'!C77</f>
        <v>108/101-105</v>
      </c>
      <c r="H76" s="280">
        <v>2</v>
      </c>
      <c r="I76" s="250" t="str">
        <f>'Програма-имена+кабинети'!B132</f>
        <v>Петров</v>
      </c>
      <c r="J76" s="270">
        <f>'Програма-имена+кабинети'!C132</f>
        <v>112</v>
      </c>
      <c r="K76" s="264">
        <v>2</v>
      </c>
      <c r="L76" s="250" t="str">
        <f>'Програма-имена+кабинети'!B187</f>
        <v>Влашинска</v>
      </c>
      <c r="M76" s="252" t="str">
        <f>'Програма-имена+кабинети'!C187</f>
        <v>212/214/215/217</v>
      </c>
      <c r="N76" s="280">
        <v>2</v>
      </c>
      <c r="O76" s="250" t="str">
        <f>'Програма-имена+кабинети'!B241</f>
        <v>Стефанова</v>
      </c>
      <c r="P76" s="270" t="str">
        <f>'Програма-имена+кабинети'!C241</f>
        <v>201/202/203/205/206</v>
      </c>
    </row>
    <row r="77" spans="1:17" ht="20.95" customHeight="1">
      <c r="A77" s="432"/>
      <c r="B77" s="280">
        <v>3</v>
      </c>
      <c r="C77" s="250" t="str">
        <f>'Програма-имена+кабинети'!B23</f>
        <v>Латева</v>
      </c>
      <c r="D77" s="252">
        <f>'Програма-имена+кабинети'!C23</f>
        <v>110</v>
      </c>
      <c r="E77" s="264">
        <v>3</v>
      </c>
      <c r="F77" s="250" t="str">
        <f>'Програма-имена+кабинети'!B78</f>
        <v>Стефанова</v>
      </c>
      <c r="G77" s="252" t="str">
        <f>'Програма-имена+кабинети'!C78</f>
        <v>201/202/203/205/206</v>
      </c>
      <c r="H77" s="280">
        <v>3</v>
      </c>
      <c r="I77" s="250" t="str">
        <f>'Програма-имена+кабинети'!B133</f>
        <v>Батимов</v>
      </c>
      <c r="J77" s="270">
        <f>'Програма-имена+кабинети'!C133</f>
        <v>303</v>
      </c>
      <c r="K77" s="264">
        <v>3</v>
      </c>
      <c r="L77" s="250" t="str">
        <f>'Програма-имена+кабинети'!B188</f>
        <v>Трандев</v>
      </c>
      <c r="M77" s="252" t="str">
        <f>'Програма-имена+кабинети'!C188</f>
        <v>ФС</v>
      </c>
      <c r="N77" s="280">
        <v>3</v>
      </c>
      <c r="O77" s="250" t="str">
        <f>'Програма-имена+кабинети'!B242</f>
        <v>Батимов</v>
      </c>
      <c r="P77" s="270">
        <f>'Програма-имена+кабинети'!C242</f>
        <v>303</v>
      </c>
    </row>
    <row r="78" spans="1:17" ht="20.95" customHeight="1">
      <c r="A78" s="432"/>
      <c r="B78" s="280">
        <v>4</v>
      </c>
      <c r="C78" s="250" t="str">
        <f>'Програма-имена+кабинети'!B24</f>
        <v>Козалиева</v>
      </c>
      <c r="D78" s="252" t="str">
        <f>'Програма-имена+кабинети'!C24</f>
        <v>212/214/215/217</v>
      </c>
      <c r="E78" s="264">
        <v>4</v>
      </c>
      <c r="F78" s="250" t="str">
        <f>'Програма-имена+кабинети'!B79</f>
        <v>Стефанова</v>
      </c>
      <c r="G78" s="252" t="str">
        <f>'Програма-имена+кабинети'!C79</f>
        <v>201/202/203/205/206</v>
      </c>
      <c r="H78" s="280">
        <v>4</v>
      </c>
      <c r="I78" s="250" t="str">
        <f>'Програма-имена+кабинети'!B134</f>
        <v>Батимов</v>
      </c>
      <c r="J78" s="270">
        <f>'Програма-имена+кабинети'!C134</f>
        <v>303</v>
      </c>
      <c r="K78" s="264">
        <v>4</v>
      </c>
      <c r="L78" s="250" t="str">
        <f>'Програма-имена+кабинети'!B189</f>
        <v>Козалиева</v>
      </c>
      <c r="M78" s="252" t="str">
        <f>'Програма-имена+кабинети'!C189</f>
        <v>212/214/215/217</v>
      </c>
      <c r="N78" s="280">
        <v>4</v>
      </c>
      <c r="O78" s="250" t="str">
        <f>'Програма-имена+кабинети'!B243</f>
        <v>Костова</v>
      </c>
      <c r="P78" s="270" t="str">
        <f>'Програма-имена+кабинети'!C243</f>
        <v>212/214/215/217</v>
      </c>
    </row>
    <row r="79" spans="1:17" s="263" customFormat="1" ht="20.95" customHeight="1">
      <c r="A79" s="432"/>
      <c r="B79" s="280">
        <v>5</v>
      </c>
      <c r="C79" s="250" t="str">
        <f>'Програма-имена+кабинети'!B25</f>
        <v>Влашинска</v>
      </c>
      <c r="D79" s="252" t="str">
        <f>'Програма-имена+кабинети'!C25</f>
        <v>212/214/215/217</v>
      </c>
      <c r="E79" s="264">
        <v>5</v>
      </c>
      <c r="F79" s="250" t="str">
        <f>'Програма-имена+кабинети'!B80</f>
        <v>Козалиева</v>
      </c>
      <c r="G79" s="252" t="str">
        <f>'Програма-имена+кабинети'!C80</f>
        <v>212/214/215/217</v>
      </c>
      <c r="H79" s="280">
        <v>5</v>
      </c>
      <c r="I79" s="250" t="str">
        <f>'Програма-имена+кабинети'!B135</f>
        <v>Костова</v>
      </c>
      <c r="J79" s="270" t="str">
        <f>'Програма-имена+кабинети'!C135</f>
        <v>212/214/215/217</v>
      </c>
      <c r="K79" s="264">
        <v>5</v>
      </c>
      <c r="L79" s="250" t="str">
        <f>'Програма-имена+кабинети'!B190</f>
        <v>Латева</v>
      </c>
      <c r="M79" s="252">
        <f>'Програма-имена+кабинети'!C190</f>
        <v>110</v>
      </c>
      <c r="N79" s="280">
        <v>5</v>
      </c>
      <c r="O79" s="250" t="str">
        <f>'Програма-имена+кабинети'!B244</f>
        <v>Киров</v>
      </c>
      <c r="P79" s="270" t="str">
        <f>'Програма-имена+кабинети'!C244</f>
        <v>109/110/111/114/102/302</v>
      </c>
      <c r="Q79" s="262"/>
    </row>
    <row r="80" spans="1:17" ht="20.95" customHeight="1">
      <c r="A80" s="432"/>
      <c r="B80" s="280">
        <v>6</v>
      </c>
      <c r="C80" s="250" t="str">
        <f>'Програма-имена+кабинети'!B26</f>
        <v>Батимов</v>
      </c>
      <c r="D80" s="252">
        <f>'Програма-имена+кабинети'!C26</f>
        <v>303</v>
      </c>
      <c r="E80" s="264">
        <v>6</v>
      </c>
      <c r="F80" s="250" t="str">
        <f>'Програма-имена+кабинети'!B81</f>
        <v>Киров</v>
      </c>
      <c r="G80" s="252" t="str">
        <f>'Програма-имена+кабинети'!C81</f>
        <v>109/110/111/114/102/302</v>
      </c>
      <c r="H80" s="280">
        <v>6</v>
      </c>
      <c r="I80" s="250" t="str">
        <f>'Програма-имена+кабинети'!B136</f>
        <v>Сапунджиева</v>
      </c>
      <c r="J80" s="270">
        <f>'Програма-имена+кабинети'!C136</f>
        <v>104</v>
      </c>
      <c r="K80" s="264">
        <v>6</v>
      </c>
      <c r="L80" s="250" t="str">
        <f>'Програма-имена+кабинети'!B191</f>
        <v>Сапунджиева</v>
      </c>
      <c r="M80" s="252">
        <f>'Програма-имена+кабинети'!C191</f>
        <v>104</v>
      </c>
      <c r="N80" s="280">
        <v>6</v>
      </c>
      <c r="O80" s="250" t="str">
        <f>'Програма-имена+кабинети'!B245</f>
        <v>Трандев</v>
      </c>
      <c r="P80" s="270" t="str">
        <f>'Програма-имена+кабинети'!C245</f>
        <v>ФС</v>
      </c>
    </row>
    <row r="81" spans="1:17" ht="20.95" customHeight="1">
      <c r="A81" s="432"/>
      <c r="B81" s="281">
        <v>7</v>
      </c>
      <c r="C81" s="251" t="str">
        <f>'Програма-имена+кабинети'!B27</f>
        <v>Стефанова</v>
      </c>
      <c r="D81" s="253" t="str">
        <f>'Програма-имена+кабинети'!C27</f>
        <v>201/202/203/205/206</v>
      </c>
      <c r="E81" s="271">
        <v>7</v>
      </c>
      <c r="F81" s="251" t="str">
        <f>'Програма-имена+кабинети'!B82</f>
        <v>Христонова/Янева</v>
      </c>
      <c r="G81" s="253" t="str">
        <f>'Програма-имена+кабинети'!C82</f>
        <v>КК7/КК8</v>
      </c>
      <c r="H81" s="281">
        <v>7</v>
      </c>
      <c r="I81" s="251" t="str">
        <f>'Програма-имена+кабинети'!B137</f>
        <v>Батимов</v>
      </c>
      <c r="J81" s="273">
        <f>'Програма-имена+кабинети'!C137</f>
        <v>303</v>
      </c>
      <c r="K81" s="271">
        <v>7</v>
      </c>
      <c r="L81" s="251">
        <f>'Програма-имена+кабинети'!B192</f>
        <v>0</v>
      </c>
      <c r="M81" s="253" t="str">
        <f>'Програма-имена+кабинети'!C192</f>
        <v/>
      </c>
      <c r="N81" s="281">
        <v>7</v>
      </c>
      <c r="O81" s="251">
        <f>'Програма-имена+кабинети'!B246</f>
        <v>0</v>
      </c>
      <c r="P81" s="273" t="str">
        <f>'Програма-имена+кабинети'!C246</f>
        <v/>
      </c>
    </row>
    <row r="83" spans="1:17" ht="20.95" customHeight="1">
      <c r="A83" s="432" t="s">
        <v>6</v>
      </c>
      <c r="B83" s="255"/>
      <c r="C83" s="256" t="s">
        <v>24</v>
      </c>
      <c r="D83" s="257"/>
      <c r="E83" s="256"/>
      <c r="F83" s="256" t="s">
        <v>25</v>
      </c>
      <c r="G83" s="258" t="s">
        <v>209</v>
      </c>
      <c r="H83" s="259"/>
      <c r="I83" s="260" t="s">
        <v>26</v>
      </c>
      <c r="J83" s="258" t="s">
        <v>209</v>
      </c>
      <c r="K83" s="261"/>
      <c r="L83" s="261" t="s">
        <v>27</v>
      </c>
      <c r="M83" s="258" t="s">
        <v>209</v>
      </c>
      <c r="N83" s="259"/>
      <c r="O83" s="260" t="s">
        <v>28</v>
      </c>
      <c r="P83" s="300" t="s">
        <v>209</v>
      </c>
    </row>
    <row r="84" spans="1:17" ht="20.95" customHeight="1">
      <c r="A84" s="432"/>
      <c r="B84" s="280">
        <v>1</v>
      </c>
      <c r="C84" s="278" t="str">
        <f>'Програма-имена+кабинети'!D21</f>
        <v>Козалиева</v>
      </c>
      <c r="D84" s="279" t="str">
        <f>'Програма-имена+кабинети'!E21</f>
        <v>212/214/215/217</v>
      </c>
      <c r="E84" s="264">
        <v>1</v>
      </c>
      <c r="F84" s="278" t="str">
        <f>'Програма-имена+кабинети'!D76</f>
        <v>Сапунджиева</v>
      </c>
      <c r="G84" s="279">
        <f>'Програма-имена+кабинети'!E76</f>
        <v>104</v>
      </c>
      <c r="H84" s="264">
        <v>1</v>
      </c>
      <c r="I84" s="278" t="str">
        <f>'Програма-имена+кабинети'!D131</f>
        <v>Киркова/К. Петрова</v>
      </c>
      <c r="J84" s="279" t="str">
        <f>'Програма-имена+кабинети'!E131</f>
        <v>КК7/КК1</v>
      </c>
      <c r="K84" s="264">
        <v>1</v>
      </c>
      <c r="L84" s="278" t="str">
        <f>'Програма-имена+кабинети'!D186</f>
        <v>Влашинска</v>
      </c>
      <c r="M84" s="279" t="str">
        <f>'Програма-имена+кабинети'!E186</f>
        <v>212/214/215/217</v>
      </c>
      <c r="N84" s="264">
        <v>1</v>
      </c>
      <c r="O84" s="278" t="str">
        <f>'Програма-имена+кабинети'!D240</f>
        <v>Сапунджиева</v>
      </c>
      <c r="P84" s="279">
        <f>'Програма-имена+кабинети'!E240</f>
        <v>104</v>
      </c>
      <c r="Q84" s="263"/>
    </row>
    <row r="85" spans="1:17" ht="20.95" customHeight="1">
      <c r="A85" s="432"/>
      <c r="B85" s="280">
        <v>2</v>
      </c>
      <c r="C85" s="250" t="str">
        <f>'Програма-имена+кабинети'!D22</f>
        <v>Влашинска</v>
      </c>
      <c r="D85" s="252" t="str">
        <f>'Програма-имена+кабинети'!E22</f>
        <v>212/214/215/217</v>
      </c>
      <c r="E85" s="264">
        <v>2</v>
      </c>
      <c r="F85" s="250" t="str">
        <f>'Програма-имена+кабинети'!D77</f>
        <v>Сапунджиева</v>
      </c>
      <c r="G85" s="252">
        <f>'Програма-имена+кабинети'!E77</f>
        <v>104</v>
      </c>
      <c r="H85" s="264">
        <v>2</v>
      </c>
      <c r="I85" s="250" t="str">
        <f>'Програма-имена+кабинети'!D132</f>
        <v>Гочева</v>
      </c>
      <c r="J85" s="252">
        <f>'Програма-имена+кабинети'!E132</f>
        <v>301</v>
      </c>
      <c r="K85" s="264">
        <v>2</v>
      </c>
      <c r="L85" s="250" t="str">
        <f>'Програма-имена+кабинети'!D187</f>
        <v>Трандев</v>
      </c>
      <c r="M85" s="252" t="str">
        <f>'Програма-имена+кабинети'!E187</f>
        <v>ФС</v>
      </c>
      <c r="N85" s="264">
        <v>2</v>
      </c>
      <c r="O85" s="250" t="str">
        <f>'Програма-имена+кабинети'!D241</f>
        <v>Киркова/К. Петрова</v>
      </c>
      <c r="P85" s="252" t="str">
        <f>'Програма-имена+кабинети'!E241</f>
        <v>КК7/КК1</v>
      </c>
    </row>
    <row r="86" spans="1:17" ht="20.95" customHeight="1">
      <c r="A86" s="432"/>
      <c r="B86" s="280">
        <v>3</v>
      </c>
      <c r="C86" s="250" t="str">
        <f>'Програма-имена+кабинети'!D23</f>
        <v>Гочева</v>
      </c>
      <c r="D86" s="252">
        <f>'Програма-имена+кабинети'!E23</f>
        <v>301</v>
      </c>
      <c r="E86" s="264">
        <v>3</v>
      </c>
      <c r="F86" s="250" t="str">
        <f>'Програма-имена+кабинети'!D78</f>
        <v>Даскалова/Тодорова</v>
      </c>
      <c r="G86" s="252" t="str">
        <f>'Програма-имена+кабинети'!E78</f>
        <v>107-108/101-105</v>
      </c>
      <c r="H86" s="264">
        <v>3</v>
      </c>
      <c r="I86" s="250" t="str">
        <f>'Програма-имена+кабинети'!D133</f>
        <v>Сапунджиева</v>
      </c>
      <c r="J86" s="252">
        <f>'Програма-имена+кабинети'!E133</f>
        <v>104</v>
      </c>
      <c r="K86" s="264">
        <v>3</v>
      </c>
      <c r="L86" s="250" t="str">
        <f>'Програма-имена+кабинети'!D188</f>
        <v>Гочева</v>
      </c>
      <c r="M86" s="252">
        <f>'Програма-имена+кабинети'!E188</f>
        <v>301</v>
      </c>
      <c r="N86" s="264">
        <v>3</v>
      </c>
      <c r="O86" s="250" t="str">
        <f>'Програма-имена+кабинети'!D242</f>
        <v>Вълчева</v>
      </c>
      <c r="P86" s="252">
        <f>'Програма-имена+кабинети'!E242</f>
        <v>201</v>
      </c>
    </row>
    <row r="87" spans="1:17" ht="20.95" customHeight="1">
      <c r="A87" s="432"/>
      <c r="B87" s="280">
        <v>4</v>
      </c>
      <c r="C87" s="250" t="str">
        <f>'Програма-имена+кабинети'!D24</f>
        <v>Вълчева</v>
      </c>
      <c r="D87" s="252">
        <f>'Програма-имена+кабинети'!E24</f>
        <v>201</v>
      </c>
      <c r="E87" s="264">
        <v>4</v>
      </c>
      <c r="F87" s="250" t="str">
        <f>'Програма-имена+кабинети'!D79</f>
        <v>Даскалова/Тодорова</v>
      </c>
      <c r="G87" s="252" t="str">
        <f>'Програма-имена+кабинети'!E79</f>
        <v>107-108/101-105</v>
      </c>
      <c r="H87" s="264">
        <v>4</v>
      </c>
      <c r="I87" s="250" t="str">
        <f>'Програма-имена+кабинети'!D134</f>
        <v>Вълчева</v>
      </c>
      <c r="J87" s="252">
        <f>'Програма-имена+кабинети'!E134</f>
        <v>201</v>
      </c>
      <c r="K87" s="264">
        <v>4</v>
      </c>
      <c r="L87" s="250" t="str">
        <f>'Програма-имена+кабинети'!D189</f>
        <v>Латева</v>
      </c>
      <c r="M87" s="252">
        <f>'Програма-имена+кабинети'!E189</f>
        <v>110</v>
      </c>
      <c r="N87" s="264">
        <v>4</v>
      </c>
      <c r="O87" s="250" t="str">
        <f>'Програма-имена+кабинети'!D243</f>
        <v>Петров</v>
      </c>
      <c r="P87" s="252">
        <f>'Програма-имена+кабинети'!E243</f>
        <v>112</v>
      </c>
    </row>
    <row r="88" spans="1:17" s="263" customFormat="1" ht="20.95" customHeight="1">
      <c r="A88" s="432"/>
      <c r="B88" s="280">
        <v>5</v>
      </c>
      <c r="C88" s="250" t="str">
        <f>'Програма-имена+кабинети'!D25</f>
        <v>Вълчева</v>
      </c>
      <c r="D88" s="252">
        <f>'Програма-имена+кабинети'!E25</f>
        <v>201</v>
      </c>
      <c r="E88" s="264">
        <v>5</v>
      </c>
      <c r="F88" s="250" t="str">
        <f>'Програма-имена+кабинети'!D80</f>
        <v>Никова</v>
      </c>
      <c r="G88" s="252">
        <f>'Програма-имена+кабинети'!E80</f>
        <v>111</v>
      </c>
      <c r="H88" s="264">
        <v>5</v>
      </c>
      <c r="I88" s="250" t="str">
        <f>'Програма-имена+кабинети'!D135</f>
        <v>Козалиева</v>
      </c>
      <c r="J88" s="252" t="str">
        <f>'Програма-имена+кабинети'!E135</f>
        <v>212/214/215/217</v>
      </c>
      <c r="K88" s="264">
        <v>5</v>
      </c>
      <c r="L88" s="250" t="str">
        <f>'Програма-имена+кабинети'!D190</f>
        <v>В. Иванова</v>
      </c>
      <c r="M88" s="252">
        <f>'Програма-имена+кабинети'!E190</f>
        <v>109</v>
      </c>
      <c r="N88" s="264">
        <v>5</v>
      </c>
      <c r="O88" s="250" t="str">
        <f>'Програма-имена+кабинети'!D244</f>
        <v>Костова</v>
      </c>
      <c r="P88" s="252" t="str">
        <f>'Програма-имена+кабинети'!E244</f>
        <v>212/214/215/217</v>
      </c>
      <c r="Q88" s="262"/>
    </row>
    <row r="89" spans="1:17" ht="24.05" customHeight="1">
      <c r="A89" s="432"/>
      <c r="B89" s="280">
        <v>6</v>
      </c>
      <c r="C89" s="296" t="str">
        <f>'Програма-имена+кабинети'!D26</f>
        <v>Трандев</v>
      </c>
      <c r="D89" s="297" t="str">
        <f>'Програма-имена+кабинети'!E26</f>
        <v>ФС</v>
      </c>
      <c r="E89" s="264">
        <v>6</v>
      </c>
      <c r="F89" s="250" t="str">
        <f>'Програма-имена+кабинети'!D81</f>
        <v>Козалиева</v>
      </c>
      <c r="G89" s="252" t="str">
        <f>'Програма-имена+кабинети'!E81</f>
        <v>212/214/215/217</v>
      </c>
      <c r="H89" s="264">
        <v>6</v>
      </c>
      <c r="I89" s="250" t="str">
        <f>'Програма-имена+кабинети'!D136</f>
        <v>Никова</v>
      </c>
      <c r="J89" s="252">
        <f>'Програма-имена+кабинети'!E136</f>
        <v>111</v>
      </c>
      <c r="K89" s="264">
        <v>6</v>
      </c>
      <c r="L89" s="250" t="str">
        <f>'Програма-имена+кабинети'!D191</f>
        <v>Никова</v>
      </c>
      <c r="M89" s="252">
        <f>'Програма-имена+кабинети'!E191</f>
        <v>111</v>
      </c>
      <c r="N89" s="264">
        <v>6</v>
      </c>
      <c r="O89" s="250" t="str">
        <f>'Програма-имена+кабинети'!D245</f>
        <v>Никова</v>
      </c>
      <c r="P89" s="252">
        <f>'Програма-имена+кабинети'!E245</f>
        <v>111</v>
      </c>
    </row>
    <row r="90" spans="1:17" ht="24.75" customHeight="1">
      <c r="A90" s="432"/>
      <c r="B90" s="281">
        <v>7</v>
      </c>
      <c r="C90" s="298" t="str">
        <f>'Програма-имена+кабинети'!D27</f>
        <v>Латева</v>
      </c>
      <c r="D90" s="299">
        <f>'Програма-имена+кабинети'!E27</f>
        <v>110</v>
      </c>
      <c r="E90" s="271">
        <v>7</v>
      </c>
      <c r="F90" s="251" t="str">
        <f>'Програма-имена+кабинети'!D82</f>
        <v>Костова</v>
      </c>
      <c r="G90" s="253" t="str">
        <f>'Програма-имена+кабинети'!E82</f>
        <v>212/214/215/217</v>
      </c>
      <c r="H90" s="271">
        <v>7</v>
      </c>
      <c r="I90" s="251" t="str">
        <f>'Програма-имена+кабинети'!D137</f>
        <v>Вълчева</v>
      </c>
      <c r="J90" s="253">
        <f>'Програма-имена+кабинети'!E137</f>
        <v>201</v>
      </c>
      <c r="K90" s="271">
        <v>7</v>
      </c>
      <c r="L90" s="251">
        <f>'Програма-имена+кабинети'!D192</f>
        <v>0</v>
      </c>
      <c r="M90" s="253" t="str">
        <f>'Програма-имена+кабинети'!E192</f>
        <v/>
      </c>
      <c r="N90" s="271">
        <v>7</v>
      </c>
      <c r="O90" s="251">
        <f>'Програма-имена+кабинети'!D246</f>
        <v>0</v>
      </c>
      <c r="P90" s="253" t="str">
        <f>'Програма-имена+кабинети'!E246</f>
        <v/>
      </c>
    </row>
    <row r="92" spans="1:17" ht="20.95" customHeight="1">
      <c r="A92" s="432" t="s">
        <v>7</v>
      </c>
      <c r="B92" s="255"/>
      <c r="C92" s="256" t="s">
        <v>24</v>
      </c>
      <c r="D92" s="257"/>
      <c r="E92" s="256"/>
      <c r="F92" s="256" t="s">
        <v>25</v>
      </c>
      <c r="G92" s="258" t="s">
        <v>209</v>
      </c>
      <c r="H92" s="259"/>
      <c r="I92" s="260" t="s">
        <v>26</v>
      </c>
      <c r="J92" s="258" t="s">
        <v>209</v>
      </c>
      <c r="K92" s="261"/>
      <c r="L92" s="261" t="s">
        <v>27</v>
      </c>
      <c r="M92" s="258" t="s">
        <v>209</v>
      </c>
      <c r="N92" s="259"/>
      <c r="O92" s="260" t="s">
        <v>28</v>
      </c>
      <c r="P92" s="300" t="s">
        <v>209</v>
      </c>
      <c r="Q92" s="263"/>
    </row>
    <row r="93" spans="1:17" ht="20.95" customHeight="1">
      <c r="A93" s="432"/>
      <c r="B93" s="280">
        <v>1</v>
      </c>
      <c r="C93" s="278" t="str">
        <f>'Програма-имена+кабинети'!F21</f>
        <v>Попова</v>
      </c>
      <c r="D93" s="279" t="str">
        <f>'Програма-имена+кабинети'!G21</f>
        <v>212/214/215/217</v>
      </c>
      <c r="E93" s="264">
        <v>1</v>
      </c>
      <c r="F93" s="278" t="str">
        <f>'Програма-имена+кабинети'!F76</f>
        <v>Кирилова/Тодорова</v>
      </c>
      <c r="G93" s="279" t="str">
        <f>'Програма-имена+кабинети'!G76</f>
        <v>108/101-105</v>
      </c>
      <c r="H93" s="264">
        <v>1</v>
      </c>
      <c r="I93" s="278" t="str">
        <f>'Програма-имена+кабинети'!F131</f>
        <v>Стефанова</v>
      </c>
      <c r="J93" s="279" t="str">
        <f>'Програма-имена+кабинети'!G131</f>
        <v>201/202/203/205/206</v>
      </c>
      <c r="K93" s="264">
        <v>1</v>
      </c>
      <c r="L93" s="278" t="str">
        <f>'Програма-имена+кабинети'!F186</f>
        <v>Славова</v>
      </c>
      <c r="M93" s="279">
        <f>'Програма-имена+кабинети'!G186</f>
        <v>114</v>
      </c>
      <c r="N93" s="264">
        <v>1</v>
      </c>
      <c r="O93" s="278" t="str">
        <f>'Програма-имена+кабинети'!F240</f>
        <v>Коларова</v>
      </c>
      <c r="P93" s="279" t="str">
        <f>'Програма-имена+кабинети'!G240</f>
        <v>212/214/215/217</v>
      </c>
    </row>
    <row r="94" spans="1:17" ht="20.95" customHeight="1">
      <c r="A94" s="432"/>
      <c r="B94" s="280">
        <v>2</v>
      </c>
      <c r="C94" s="250" t="str">
        <f>'Програма-имена+кабинети'!F22</f>
        <v>Коларова</v>
      </c>
      <c r="D94" s="252" t="str">
        <f>'Програма-имена+кабинети'!G22</f>
        <v>212/214/215/217</v>
      </c>
      <c r="E94" s="264">
        <v>2</v>
      </c>
      <c r="F94" s="250" t="str">
        <f>'Програма-имена+кабинети'!F77</f>
        <v>Кирилова/Тодорова</v>
      </c>
      <c r="G94" s="252" t="str">
        <f>'Програма-имена+кабинети'!G77</f>
        <v>108/101-105</v>
      </c>
      <c r="H94" s="264">
        <v>2</v>
      </c>
      <c r="I94" s="250" t="str">
        <f>'Програма-имена+кабинети'!F132</f>
        <v>Стефанова</v>
      </c>
      <c r="J94" s="252" t="str">
        <f>'Програма-имена+кабинети'!G132</f>
        <v>201/202/203/205/206</v>
      </c>
      <c r="K94" s="264">
        <v>2</v>
      </c>
      <c r="L94" s="250" t="str">
        <f>'Програма-имена+кабинети'!F187</f>
        <v>Попова</v>
      </c>
      <c r="M94" s="252" t="str">
        <f>'Програма-имена+кабинети'!G187</f>
        <v>212/214/215/217</v>
      </c>
      <c r="N94" s="264">
        <v>2</v>
      </c>
      <c r="O94" s="250" t="str">
        <f>'Програма-имена+кабинети'!F241</f>
        <v>Краева</v>
      </c>
      <c r="P94" s="252">
        <f>'Програма-имена+кабинети'!G241</f>
        <v>306</v>
      </c>
    </row>
    <row r="95" spans="1:17" ht="20.95" customHeight="1">
      <c r="A95" s="432"/>
      <c r="B95" s="280">
        <v>3</v>
      </c>
      <c r="C95" s="250" t="str">
        <f>'Програма-имена+кабинети'!F23</f>
        <v>Славова</v>
      </c>
      <c r="D95" s="252">
        <f>'Програма-имена+кабинети'!G23</f>
        <v>114</v>
      </c>
      <c r="E95" s="264">
        <v>3</v>
      </c>
      <c r="F95" s="250" t="str">
        <f>'Програма-имена+кабинети'!F78</f>
        <v>Минчева</v>
      </c>
      <c r="G95" s="252" t="str">
        <f>'Програма-имена+кабинети'!G78</f>
        <v>212/214/215/217</v>
      </c>
      <c r="H95" s="264">
        <v>3</v>
      </c>
      <c r="I95" s="250" t="str">
        <f>'Програма-имена+кабинети'!F133</f>
        <v>Славова</v>
      </c>
      <c r="J95" s="252">
        <f>'Програма-имена+кабинети'!G133</f>
        <v>114</v>
      </c>
      <c r="K95" s="264">
        <v>3</v>
      </c>
      <c r="L95" s="250" t="str">
        <f>'Програма-имена+кабинети'!F188</f>
        <v>Краева</v>
      </c>
      <c r="M95" s="252">
        <f>'Програма-имена+кабинети'!G188</f>
        <v>306</v>
      </c>
      <c r="N95" s="264">
        <v>3</v>
      </c>
      <c r="O95" s="250" t="str">
        <f>'Програма-имена+кабинети'!F242</f>
        <v>Краева</v>
      </c>
      <c r="P95" s="252">
        <f>'Програма-имена+кабинети'!G242</f>
        <v>306</v>
      </c>
    </row>
    <row r="96" spans="1:17" s="263" customFormat="1" ht="20.95" customHeight="1">
      <c r="A96" s="432"/>
      <c r="B96" s="280">
        <v>4</v>
      </c>
      <c r="C96" s="250" t="str">
        <f>'Програма-имена+кабинети'!F24</f>
        <v>Латева</v>
      </c>
      <c r="D96" s="252">
        <f>'Програма-имена+кабинети'!G24</f>
        <v>110</v>
      </c>
      <c r="E96" s="264">
        <v>4</v>
      </c>
      <c r="F96" s="250" t="str">
        <f>'Програма-имена+кабинети'!F79</f>
        <v>Сапунджиева</v>
      </c>
      <c r="G96" s="252">
        <f>'Програма-имена+кабинети'!G79</f>
        <v>104</v>
      </c>
      <c r="H96" s="264">
        <v>4</v>
      </c>
      <c r="I96" s="250" t="str">
        <f>'Програма-имена+кабинети'!F134</f>
        <v>Коларова</v>
      </c>
      <c r="J96" s="252" t="str">
        <f>'Програма-имена+кабинети'!G134</f>
        <v>212/214/215/217</v>
      </c>
      <c r="K96" s="264">
        <v>4</v>
      </c>
      <c r="L96" s="250" t="str">
        <f>'Програма-имена+кабинети'!F189</f>
        <v>Г. Петрова/Д. Иванова</v>
      </c>
      <c r="M96" s="252" t="str">
        <f>'Програма-имена+кабинети'!G189</f>
        <v>КК5/КК2</v>
      </c>
      <c r="N96" s="264">
        <v>4</v>
      </c>
      <c r="O96" s="250" t="str">
        <f>'Програма-имена+кабинети'!F243</f>
        <v>Минчева</v>
      </c>
      <c r="P96" s="252" t="str">
        <f>'Програма-имена+кабинети'!G243</f>
        <v>212/214/215/217</v>
      </c>
      <c r="Q96" s="262"/>
    </row>
    <row r="97" spans="1:17" ht="20.95" customHeight="1">
      <c r="A97" s="432"/>
      <c r="B97" s="280">
        <v>5</v>
      </c>
      <c r="C97" s="250" t="str">
        <f>'Програма-имена+кабинети'!F25</f>
        <v>Петров</v>
      </c>
      <c r="D97" s="252">
        <f>'Програма-имена+кабинети'!G25</f>
        <v>112</v>
      </c>
      <c r="E97" s="264">
        <v>5</v>
      </c>
      <c r="F97" s="250" t="str">
        <f>'Програма-имена+кабинети'!F80</f>
        <v>Сапунджиева</v>
      </c>
      <c r="G97" s="252">
        <f>'Програма-имена+кабинети'!G80</f>
        <v>104</v>
      </c>
      <c r="H97" s="264">
        <v>5</v>
      </c>
      <c r="I97" s="250" t="str">
        <f>'Програма-имена+кабинети'!F135</f>
        <v>Сапунджиева</v>
      </c>
      <c r="J97" s="252">
        <f>'Програма-имена+кабинети'!G135</f>
        <v>104</v>
      </c>
      <c r="K97" s="264">
        <v>5</v>
      </c>
      <c r="L97" s="250" t="str">
        <f>'Програма-имена+кабинети'!F190</f>
        <v>Сапунджиева</v>
      </c>
      <c r="M97" s="252">
        <f>'Програма-имена+кабинети'!G190</f>
        <v>104</v>
      </c>
      <c r="N97" s="264">
        <v>5</v>
      </c>
      <c r="O97" s="250" t="str">
        <f>'Програма-имена+кабинети'!F244</f>
        <v>Трандев</v>
      </c>
      <c r="P97" s="252" t="str">
        <f>'Програма-имена+кабинети'!G244</f>
        <v>ФС</v>
      </c>
    </row>
    <row r="98" spans="1:17" ht="20.95" customHeight="1">
      <c r="A98" s="432"/>
      <c r="B98" s="280">
        <v>6</v>
      </c>
      <c r="C98" s="250" t="str">
        <f>'Програма-имена+кабинети'!F26</f>
        <v>Стефанова</v>
      </c>
      <c r="D98" s="252" t="str">
        <f>'Програма-имена+кабинети'!G26</f>
        <v>201/202/203/205/206</v>
      </c>
      <c r="E98" s="264">
        <v>6</v>
      </c>
      <c r="F98" s="250" t="str">
        <f>'Програма-имена+кабинети'!F81</f>
        <v>Славова</v>
      </c>
      <c r="G98" s="252">
        <f>'Програма-имена+кабинети'!G81</f>
        <v>114</v>
      </c>
      <c r="H98" s="264">
        <v>6</v>
      </c>
      <c r="I98" s="250" t="str">
        <f>'Програма-имена+кабинети'!F136</f>
        <v>В. Иванова</v>
      </c>
      <c r="J98" s="252">
        <f>'Програма-имена+кабинети'!G136</f>
        <v>109</v>
      </c>
      <c r="K98" s="264">
        <v>6</v>
      </c>
      <c r="L98" s="250" t="str">
        <f>'Програма-имена+кабинети'!F191</f>
        <v>Латева</v>
      </c>
      <c r="M98" s="252">
        <f>'Програма-имена+кабинети'!G191</f>
        <v>110</v>
      </c>
      <c r="N98" s="264">
        <v>6</v>
      </c>
      <c r="O98" s="250" t="str">
        <f>'Програма-имена+кабинети'!F245</f>
        <v>Стефанова</v>
      </c>
      <c r="P98" s="252" t="str">
        <f>'Програма-имена+кабинети'!G245</f>
        <v>201/202/203/205/206</v>
      </c>
    </row>
    <row r="99" spans="1:17" ht="20.95" customHeight="1">
      <c r="A99" s="432"/>
      <c r="B99" s="281">
        <v>7</v>
      </c>
      <c r="C99" s="250" t="str">
        <f>'Програма-имена+кабинети'!F27</f>
        <v>Краева</v>
      </c>
      <c r="D99" s="252">
        <f>'Програма-имена+кабинети'!G27</f>
        <v>306</v>
      </c>
      <c r="E99" s="271">
        <v>7</v>
      </c>
      <c r="F99" s="251" t="str">
        <f>'Програма-имена+кабинети'!F82</f>
        <v>Трандев</v>
      </c>
      <c r="G99" s="253" t="str">
        <f>'Програма-имена+кабинети'!G82</f>
        <v>ФС</v>
      </c>
      <c r="H99" s="271">
        <v>7</v>
      </c>
      <c r="I99" s="251" t="str">
        <f>'Програма-имена+кабинети'!F137</f>
        <v>В. Иванова</v>
      </c>
      <c r="J99" s="253">
        <f>'Програма-имена+кабинети'!G137</f>
        <v>109</v>
      </c>
      <c r="K99" s="271">
        <v>7</v>
      </c>
      <c r="L99" s="251">
        <f>'Програма-имена+кабинети'!F192</f>
        <v>0</v>
      </c>
      <c r="M99" s="253" t="str">
        <f>'Програма-имена+кабинети'!G192</f>
        <v/>
      </c>
      <c r="N99" s="271">
        <v>7</v>
      </c>
      <c r="O99" s="251">
        <f>'Програма-имена+кабинети'!F246</f>
        <v>0</v>
      </c>
      <c r="P99" s="253" t="str">
        <f>'Програма-имена+кабинети'!G246</f>
        <v/>
      </c>
    </row>
    <row r="100" spans="1:17" ht="20.95" customHeight="1">
      <c r="Q100" s="263"/>
    </row>
    <row r="101" spans="1:17" ht="20.95" customHeight="1">
      <c r="A101" s="432" t="s">
        <v>8</v>
      </c>
      <c r="B101" s="255"/>
      <c r="C101" s="256" t="s">
        <v>24</v>
      </c>
      <c r="D101" s="257"/>
      <c r="E101" s="256"/>
      <c r="F101" s="256" t="s">
        <v>25</v>
      </c>
      <c r="G101" s="258" t="s">
        <v>209</v>
      </c>
      <c r="H101" s="259"/>
      <c r="I101" s="260" t="s">
        <v>26</v>
      </c>
      <c r="J101" s="258" t="s">
        <v>209</v>
      </c>
      <c r="K101" s="261"/>
      <c r="L101" s="261" t="s">
        <v>27</v>
      </c>
      <c r="M101" s="258" t="s">
        <v>209</v>
      </c>
      <c r="N101" s="259"/>
      <c r="O101" s="260" t="s">
        <v>28</v>
      </c>
      <c r="P101" s="300" t="s">
        <v>209</v>
      </c>
    </row>
    <row r="102" spans="1:17" ht="20.95" customHeight="1">
      <c r="A102" s="432"/>
      <c r="B102" s="280">
        <v>1</v>
      </c>
      <c r="C102" s="278" t="str">
        <f>'Програма-имена+кабинети'!H21</f>
        <v>Трандев</v>
      </c>
      <c r="D102" s="279" t="str">
        <f>'Програма-имена+кабинети'!I21</f>
        <v>ФС</v>
      </c>
      <c r="E102" s="264">
        <v>1</v>
      </c>
      <c r="F102" s="278" t="str">
        <f>'Програма-имена+кабинети'!H76</f>
        <v>Минчева</v>
      </c>
      <c r="G102" s="279" t="str">
        <f>'Програма-имена+кабинети'!I76</f>
        <v>212/214/215/217</v>
      </c>
      <c r="H102" s="264">
        <v>1</v>
      </c>
      <c r="I102" s="278" t="str">
        <f>'Програма-имена+кабинети'!H131</f>
        <v>Д. Иванова</v>
      </c>
      <c r="J102" s="279" t="str">
        <f>'Програма-имена+кабинети'!I131</f>
        <v>КК6</v>
      </c>
      <c r="K102" s="264">
        <v>1</v>
      </c>
      <c r="L102" s="278" t="str">
        <f>'Програма-имена+кабинети'!H186</f>
        <v>Трандев</v>
      </c>
      <c r="M102" s="279" t="str">
        <f>'Програма-имена+кабинети'!I186</f>
        <v>ФС</v>
      </c>
      <c r="N102" s="264">
        <v>1</v>
      </c>
      <c r="O102" s="278" t="str">
        <f>'Програма-имена+кабинети'!H240</f>
        <v>Киркова/К. Петрова</v>
      </c>
      <c r="P102" s="279" t="str">
        <f>'Програма-имена+кабинети'!I240</f>
        <v>КК7/КК1</v>
      </c>
    </row>
    <row r="103" spans="1:17" ht="20.95" customHeight="1">
      <c r="A103" s="432"/>
      <c r="B103" s="280">
        <v>2</v>
      </c>
      <c r="C103" s="250" t="str">
        <f>'Програма-имена+кабинети'!H22</f>
        <v>Попова</v>
      </c>
      <c r="D103" s="252" t="str">
        <f>'Програма-имена+кабинети'!I22</f>
        <v>212/214/215/217</v>
      </c>
      <c r="E103" s="264">
        <v>2</v>
      </c>
      <c r="F103" s="250" t="str">
        <f>'Програма-имена+кабинети'!H77</f>
        <v>Коларова</v>
      </c>
      <c r="G103" s="252" t="str">
        <f>'Програма-имена+кабинети'!I77</f>
        <v>212/214/215/217</v>
      </c>
      <c r="H103" s="264">
        <v>2</v>
      </c>
      <c r="I103" s="250" t="str">
        <f>'Програма-имена+кабинети'!H132</f>
        <v>Киркова/К. Петрова</v>
      </c>
      <c r="J103" s="252" t="str">
        <f>'Програма-имена+кабинети'!I132</f>
        <v>КК7/КК1</v>
      </c>
      <c r="K103" s="264">
        <v>2</v>
      </c>
      <c r="L103" s="250" t="str">
        <f>'Програма-имена+кабинети'!H187</f>
        <v>Петров</v>
      </c>
      <c r="M103" s="252">
        <f>'Програма-имена+кабинети'!I187</f>
        <v>112</v>
      </c>
      <c r="N103" s="264">
        <v>2</v>
      </c>
      <c r="O103" s="250" t="str">
        <f>'Програма-имена+кабинети'!H241</f>
        <v>Минчева</v>
      </c>
      <c r="P103" s="252" t="str">
        <f>'Програма-имена+кабинети'!I241</f>
        <v>212/214/215/217</v>
      </c>
    </row>
    <row r="104" spans="1:17" ht="20.95" customHeight="1">
      <c r="A104" s="432"/>
      <c r="B104" s="280">
        <v>3</v>
      </c>
      <c r="C104" s="250" t="str">
        <f>'Програма-имена+кабинети'!H23</f>
        <v>Сапунджиева</v>
      </c>
      <c r="D104" s="252">
        <f>'Програма-имена+кабинети'!I23</f>
        <v>104</v>
      </c>
      <c r="E104" s="264">
        <v>3</v>
      </c>
      <c r="F104" s="250" t="str">
        <f>'Програма-имена+кабинети'!H78</f>
        <v>Даскалова/Тодорова</v>
      </c>
      <c r="G104" s="252" t="str">
        <f>'Програма-имена+кабинети'!I78</f>
        <v>107-108/101-105</v>
      </c>
      <c r="H104" s="264">
        <v>3</v>
      </c>
      <c r="I104" s="250" t="str">
        <f>'Програма-имена+кабинети'!H133</f>
        <v>Коларова</v>
      </c>
      <c r="J104" s="252" t="str">
        <f>'Програма-имена+кабинети'!I133</f>
        <v>212/214/215/217</v>
      </c>
      <c r="K104" s="264">
        <v>3</v>
      </c>
      <c r="L104" s="250" t="str">
        <f>'Програма-имена+кабинети'!H188</f>
        <v>Попова</v>
      </c>
      <c r="M104" s="252" t="str">
        <f>'Програма-имена+кабинети'!I188</f>
        <v>212/214/215/217</v>
      </c>
      <c r="N104" s="264">
        <v>3</v>
      </c>
      <c r="O104" s="250" t="str">
        <f>'Програма-имена+кабинети'!H242</f>
        <v>Латева</v>
      </c>
      <c r="P104" s="252">
        <f>'Програма-имена+кабинети'!I242</f>
        <v>110</v>
      </c>
    </row>
    <row r="105" spans="1:17" s="263" customFormat="1" ht="20.95" customHeight="1">
      <c r="A105" s="432"/>
      <c r="B105" s="280">
        <v>4</v>
      </c>
      <c r="C105" s="250" t="str">
        <f>'Програма-имена+кабинети'!H24</f>
        <v>Сапунджиева</v>
      </c>
      <c r="D105" s="252">
        <f>'Програма-имена+кабинети'!I24</f>
        <v>104</v>
      </c>
      <c r="E105" s="264">
        <v>4</v>
      </c>
      <c r="F105" s="250" t="str">
        <f>'Програма-имена+кабинети'!H79</f>
        <v>Даскалова/Тодорова</v>
      </c>
      <c r="G105" s="252" t="str">
        <f>'Програма-имена+кабинети'!I79</f>
        <v>107-108/101-105</v>
      </c>
      <c r="H105" s="264">
        <v>4</v>
      </c>
      <c r="I105" s="250" t="str">
        <f>'Програма-имена+кабинети'!H134</f>
        <v>Сапунджиева</v>
      </c>
      <c r="J105" s="252">
        <f>'Програма-имена+кабинети'!I134</f>
        <v>104</v>
      </c>
      <c r="K105" s="264">
        <v>4</v>
      </c>
      <c r="L105" s="250" t="str">
        <f>'Програма-имена+кабинети'!H189</f>
        <v>Сапунджиева</v>
      </c>
      <c r="M105" s="252">
        <f>'Програма-имена+кабинети'!I189</f>
        <v>104</v>
      </c>
      <c r="N105" s="264">
        <v>4</v>
      </c>
      <c r="O105" s="250" t="str">
        <f>'Програма-имена+кабинети'!H243</f>
        <v>Стефанова</v>
      </c>
      <c r="P105" s="252" t="str">
        <f>'Програма-имена+кабинети'!I243</f>
        <v>201/202/203/205/206</v>
      </c>
      <c r="Q105" s="262"/>
    </row>
    <row r="106" spans="1:17" ht="20.95" customHeight="1">
      <c r="A106" s="432"/>
      <c r="B106" s="280">
        <v>5</v>
      </c>
      <c r="C106" s="250" t="str">
        <f>'Програма-имена+кабинети'!H25</f>
        <v>Стефанова</v>
      </c>
      <c r="D106" s="252" t="str">
        <f>'Програма-имена+кабинети'!I25</f>
        <v>201/202/203/205/206</v>
      </c>
      <c r="E106" s="264">
        <v>5</v>
      </c>
      <c r="F106" s="250" t="str">
        <f>'Програма-имена+кабинети'!H80</f>
        <v>Киров</v>
      </c>
      <c r="G106" s="252" t="str">
        <f>'Програма-имена+кабинети'!I80</f>
        <v>109/110/111/114/102/302</v>
      </c>
      <c r="H106" s="264">
        <v>5</v>
      </c>
      <c r="I106" s="250" t="str">
        <f>'Програма-имена+кабинети'!H135</f>
        <v>В. Иванова</v>
      </c>
      <c r="J106" s="252">
        <f>'Програма-имена+кабинети'!I135</f>
        <v>109</v>
      </c>
      <c r="K106" s="264">
        <v>5</v>
      </c>
      <c r="L106" s="250" t="str">
        <f>'Програма-имена+кабинети'!H190</f>
        <v>Киров</v>
      </c>
      <c r="M106" s="252" t="str">
        <f>'Програма-имена+кабинети'!I190</f>
        <v>109/110/111/114/102/302</v>
      </c>
      <c r="N106" s="264">
        <v>5</v>
      </c>
      <c r="O106" s="250" t="str">
        <f>'Програма-имена+кабинети'!H244</f>
        <v>Коларова</v>
      </c>
      <c r="P106" s="252" t="str">
        <f>'Програма-имена+кабинети'!I244</f>
        <v>212/214/215/217</v>
      </c>
    </row>
    <row r="107" spans="1:17" ht="20.95" customHeight="1">
      <c r="A107" s="432"/>
      <c r="B107" s="280">
        <v>6</v>
      </c>
      <c r="C107" s="250" t="str">
        <f>'Програма-имена+кабинети'!H26</f>
        <v>Латева</v>
      </c>
      <c r="D107" s="252">
        <f>'Програма-имена+кабинети'!I26</f>
        <v>110</v>
      </c>
      <c r="E107" s="264">
        <v>6</v>
      </c>
      <c r="F107" s="250" t="str">
        <f>'Програма-имена+кабинети'!H81</f>
        <v>Стефанова</v>
      </c>
      <c r="G107" s="252" t="str">
        <f>'Програма-имена+кабинети'!I81</f>
        <v>201/202/203/205/206</v>
      </c>
      <c r="H107" s="264">
        <v>6</v>
      </c>
      <c r="I107" s="250" t="str">
        <f>'Програма-имена+кабинети'!H136</f>
        <v>Киров</v>
      </c>
      <c r="J107" s="252" t="str">
        <f>'Програма-имена+кабинети'!I136</f>
        <v>109/110/111/114/102/302</v>
      </c>
      <c r="K107" s="264">
        <v>6</v>
      </c>
      <c r="L107" s="250" t="str">
        <f>'Програма-имена+кабинети'!H191</f>
        <v>Д. Иванова</v>
      </c>
      <c r="M107" s="252" t="str">
        <f>'Програма-имена+кабинети'!I191</f>
        <v>КК6</v>
      </c>
      <c r="N107" s="264">
        <v>6</v>
      </c>
      <c r="O107" s="250" t="str">
        <f>'Програма-имена+кабинети'!H245</f>
        <v>Киров</v>
      </c>
      <c r="P107" s="252" t="str">
        <f>'Програма-имена+кабинети'!I245</f>
        <v>109/110/111/114/102/302</v>
      </c>
    </row>
    <row r="108" spans="1:17" ht="20.95" customHeight="1">
      <c r="A108" s="432"/>
      <c r="B108" s="281">
        <v>7</v>
      </c>
      <c r="C108" s="250" t="str">
        <f>'Програма-имена+кабинети'!H27</f>
        <v>Д. Иванова</v>
      </c>
      <c r="D108" s="252" t="str">
        <f>'Програма-имена+кабинети'!I27</f>
        <v>КК6</v>
      </c>
      <c r="E108" s="271">
        <v>7</v>
      </c>
      <c r="F108" s="251" t="str">
        <f>'Програма-имена+кабинети'!H82</f>
        <v>Стефанова</v>
      </c>
      <c r="G108" s="253" t="str">
        <f>'Програма-имена+кабинети'!I82</f>
        <v>201/202/203/205/206</v>
      </c>
      <c r="H108" s="271">
        <v>7</v>
      </c>
      <c r="I108" s="251" t="str">
        <f>'Програма-имена+кабинети'!H137</f>
        <v>Коларова</v>
      </c>
      <c r="J108" s="253" t="str">
        <f>'Програма-имена+кабинети'!I137</f>
        <v>212/214/215/217</v>
      </c>
      <c r="K108" s="271">
        <v>7</v>
      </c>
      <c r="L108" s="251">
        <f>'Програма-имена+кабинети'!H192</f>
        <v>0</v>
      </c>
      <c r="M108" s="253" t="str">
        <f>'Програма-имена+кабинети'!I192</f>
        <v/>
      </c>
      <c r="N108" s="271">
        <v>7</v>
      </c>
      <c r="O108" s="251">
        <f>'Програма-имена+кабинети'!H246</f>
        <v>0</v>
      </c>
      <c r="P108" s="253" t="str">
        <f>'Програма-имена+кабинети'!I246</f>
        <v/>
      </c>
    </row>
    <row r="110" spans="1:17" ht="20.95" customHeight="1">
      <c r="A110" s="432" t="s">
        <v>9</v>
      </c>
      <c r="B110" s="255"/>
      <c r="C110" s="256" t="s">
        <v>24</v>
      </c>
      <c r="D110" s="257"/>
      <c r="E110" s="256"/>
      <c r="F110" s="256" t="s">
        <v>25</v>
      </c>
      <c r="G110" s="258" t="s">
        <v>209</v>
      </c>
      <c r="H110" s="259"/>
      <c r="I110" s="260" t="s">
        <v>26</v>
      </c>
      <c r="J110" s="258" t="s">
        <v>209</v>
      </c>
      <c r="K110" s="261"/>
      <c r="L110" s="261" t="s">
        <v>27</v>
      </c>
      <c r="M110" s="258" t="s">
        <v>209</v>
      </c>
      <c r="N110" s="259"/>
      <c r="O110" s="260" t="s">
        <v>28</v>
      </c>
      <c r="P110" s="300" t="s">
        <v>209</v>
      </c>
    </row>
    <row r="111" spans="1:17" ht="20.95" customHeight="1">
      <c r="A111" s="432"/>
      <c r="B111" s="280">
        <v>1</v>
      </c>
      <c r="C111" s="278" t="str">
        <f>'Програма-имена+кабинети'!J21</f>
        <v>Латева</v>
      </c>
      <c r="D111" s="279">
        <f>'Програма-имена+кабинети'!K21</f>
        <v>110</v>
      </c>
      <c r="E111" s="264">
        <v>1</v>
      </c>
      <c r="F111" s="278" t="str">
        <f>'Програма-имена+кабинети'!J76</f>
        <v>В. Иванова</v>
      </c>
      <c r="G111" s="279">
        <f>'Програма-имена+кабинети'!K76</f>
        <v>109</v>
      </c>
      <c r="H111" s="264">
        <v>1</v>
      </c>
      <c r="I111" s="278" t="str">
        <f>'Програма-имена+кабинети'!J131</f>
        <v>Сапунджиева</v>
      </c>
      <c r="J111" s="279">
        <f>'Програма-имена+кабинети'!K131</f>
        <v>104</v>
      </c>
      <c r="K111" s="264">
        <v>1</v>
      </c>
      <c r="L111" s="278" t="str">
        <f>'Програма-имена+кабинети'!J186</f>
        <v>Латева</v>
      </c>
      <c r="M111" s="279">
        <f>'Програма-имена+кабинети'!K186</f>
        <v>110</v>
      </c>
      <c r="N111" s="264">
        <v>1</v>
      </c>
      <c r="O111" s="278" t="str">
        <f>'Програма-имена+кабинети'!J240</f>
        <v>Стефанова</v>
      </c>
      <c r="P111" s="279" t="str">
        <f>'Програма-имена+кабинети'!K240</f>
        <v>201/202/203/205/206</v>
      </c>
    </row>
    <row r="112" spans="1:17" ht="20.95" customHeight="1">
      <c r="A112" s="432"/>
      <c r="B112" s="280">
        <v>2</v>
      </c>
      <c r="C112" s="250" t="str">
        <f>'Програма-имена+кабинети'!J22</f>
        <v>Славова</v>
      </c>
      <c r="D112" s="252">
        <f>'Програма-имена+кабинети'!K22</f>
        <v>114</v>
      </c>
      <c r="E112" s="264">
        <v>2</v>
      </c>
      <c r="F112" s="250" t="str">
        <f>'Програма-имена+кабинети'!J77</f>
        <v>Минчева</v>
      </c>
      <c r="G112" s="252" t="str">
        <f>'Програма-имена+кабинети'!K77</f>
        <v>212/214/215/217</v>
      </c>
      <c r="H112" s="264">
        <v>2</v>
      </c>
      <c r="I112" s="250" t="str">
        <f>'Програма-имена+кабинети'!J132</f>
        <v>Попова</v>
      </c>
      <c r="J112" s="252" t="str">
        <f>'Програма-имена+кабинети'!K132</f>
        <v>212/214/215/217</v>
      </c>
      <c r="K112" s="264">
        <v>2</v>
      </c>
      <c r="L112" s="250" t="str">
        <f>'Програма-имена+кабинети'!J187</f>
        <v>Славова</v>
      </c>
      <c r="M112" s="252">
        <f>'Програма-имена+кабинети'!K187</f>
        <v>114</v>
      </c>
      <c r="N112" s="264">
        <v>2</v>
      </c>
      <c r="O112" s="250" t="str">
        <f>'Програма-имена+кабинети'!J241</f>
        <v>Сапунджиева</v>
      </c>
      <c r="P112" s="252">
        <f>'Програма-имена+кабинети'!K241</f>
        <v>104</v>
      </c>
    </row>
    <row r="113" spans="1:17" ht="20.95" customHeight="1">
      <c r="A113" s="432"/>
      <c r="B113" s="280">
        <v>3</v>
      </c>
      <c r="C113" s="250" t="str">
        <f>'Програма-имена+кабинети'!J23</f>
        <v>Стефанова</v>
      </c>
      <c r="D113" s="252" t="str">
        <f>'Програма-имена+кабинети'!K23</f>
        <v>201/202/203/205/206</v>
      </c>
      <c r="E113" s="264">
        <v>3</v>
      </c>
      <c r="F113" s="250" t="str">
        <f>'Програма-имена+кабинети'!J78</f>
        <v>Славова</v>
      </c>
      <c r="G113" s="252">
        <f>'Програма-имена+кабинети'!K78</f>
        <v>114</v>
      </c>
      <c r="H113" s="264">
        <v>3</v>
      </c>
      <c r="I113" s="250" t="str">
        <f>'Програма-имена+кабинети'!J133</f>
        <v>Минчева</v>
      </c>
      <c r="J113" s="252" t="str">
        <f>'Програма-имена+кабинети'!K133</f>
        <v>212/214/215/217</v>
      </c>
      <c r="K113" s="264">
        <v>3</v>
      </c>
      <c r="L113" s="250" t="str">
        <f>'Програма-имена+кабинети'!J188</f>
        <v>Стефанова</v>
      </c>
      <c r="M113" s="252" t="str">
        <f>'Програма-имена+кабинети'!K188</f>
        <v>201/202/203/205/206</v>
      </c>
      <c r="N113" s="264">
        <v>3</v>
      </c>
      <c r="O113" s="250" t="str">
        <f>'Програма-имена+кабинети'!J242</f>
        <v>Минчева</v>
      </c>
      <c r="P113" s="252" t="str">
        <f>'Програма-имена+кабинети'!K242</f>
        <v>212/214/215/217</v>
      </c>
    </row>
    <row r="114" spans="1:17" ht="20.95" customHeight="1">
      <c r="A114" s="432"/>
      <c r="B114" s="280">
        <v>4</v>
      </c>
      <c r="C114" s="250" t="str">
        <f>'Програма-имена+кабинети'!J24</f>
        <v>Трандев</v>
      </c>
      <c r="D114" s="252" t="str">
        <f>'Програма-имена+кабинети'!K24</f>
        <v>ФС</v>
      </c>
      <c r="E114" s="264">
        <v>4</v>
      </c>
      <c r="F114" s="250" t="str">
        <f>'Програма-имена+кабинети'!J79</f>
        <v>Трандев</v>
      </c>
      <c r="G114" s="252" t="str">
        <f>'Програма-имена+кабинети'!K79</f>
        <v>ФС</v>
      </c>
      <c r="H114" s="264">
        <v>4</v>
      </c>
      <c r="I114" s="250" t="str">
        <f>'Програма-имена+кабинети'!J134</f>
        <v>Славова</v>
      </c>
      <c r="J114" s="252">
        <f>'Програма-имена+кабинети'!K134</f>
        <v>114</v>
      </c>
      <c r="K114" s="264">
        <v>4</v>
      </c>
      <c r="L114" s="250" t="str">
        <f>'Програма-имена+кабинети'!J189</f>
        <v>Стефанова</v>
      </c>
      <c r="M114" s="252" t="str">
        <f>'Програма-имена+кабинети'!K189</f>
        <v>201/202/203/205/206</v>
      </c>
      <c r="N114" s="264">
        <v>4</v>
      </c>
      <c r="O114" s="250" t="str">
        <f>'Програма-имена+кабинети'!J243</f>
        <v>Коларова</v>
      </c>
      <c r="P114" s="252" t="str">
        <f>'Програма-имена+кабинети'!K243</f>
        <v>212/214/215/217</v>
      </c>
    </row>
    <row r="115" spans="1:17" ht="20.95" customHeight="1">
      <c r="A115" s="432"/>
      <c r="B115" s="280">
        <v>5</v>
      </c>
      <c r="C115" s="250" t="str">
        <f>'Програма-имена+кабинети'!J25</f>
        <v>Батимов</v>
      </c>
      <c r="D115" s="252">
        <f>'Програма-имена+кабинети'!K25</f>
        <v>303</v>
      </c>
      <c r="E115" s="264">
        <v>5</v>
      </c>
      <c r="F115" s="250" t="str">
        <f>'Програма-имена+кабинети'!J80</f>
        <v>Коларова</v>
      </c>
      <c r="G115" s="252" t="str">
        <f>'Програма-имена+кабинети'!K80</f>
        <v>212/214/215/217</v>
      </c>
      <c r="H115" s="264">
        <v>5</v>
      </c>
      <c r="I115" s="250" t="str">
        <f>'Програма-имена+кабинети'!J135</f>
        <v>Коларова</v>
      </c>
      <c r="J115" s="252" t="str">
        <f>'Програма-имена+кабинети'!K135</f>
        <v>212/214/215/217</v>
      </c>
      <c r="K115" s="264">
        <v>5</v>
      </c>
      <c r="L115" s="250" t="str">
        <f>'Програма-имена+кабинети'!J190</f>
        <v>Г. Петрова/Д. Иванова</v>
      </c>
      <c r="M115" s="252" t="str">
        <f>'Програма-имена+кабинети'!K190</f>
        <v>КК5/КК2</v>
      </c>
      <c r="N115" s="264">
        <v>5</v>
      </c>
      <c r="O115" s="250" t="str">
        <f>'Програма-имена+кабинети'!J244</f>
        <v>Петров</v>
      </c>
      <c r="P115" s="252">
        <f>'Програма-имена+кабинети'!K244</f>
        <v>112</v>
      </c>
    </row>
    <row r="116" spans="1:17" ht="20.95" customHeight="1">
      <c r="A116" s="432"/>
      <c r="B116" s="280">
        <v>6</v>
      </c>
      <c r="C116" s="250" t="str">
        <f>'Програма-имена+кабинети'!J26</f>
        <v>Даскалова/Тодорова</v>
      </c>
      <c r="D116" s="252" t="str">
        <f>'Програма-имена+кабинети'!K26</f>
        <v>107-108/101-105</v>
      </c>
      <c r="E116" s="264">
        <v>6</v>
      </c>
      <c r="F116" s="250" t="str">
        <f>'Програма-имена+кабинети'!J81</f>
        <v>Сапунджиева</v>
      </c>
      <c r="G116" s="252">
        <f>'Програма-имена+кабинети'!K81</f>
        <v>104</v>
      </c>
      <c r="H116" s="264">
        <v>6</v>
      </c>
      <c r="I116" s="250" t="str">
        <f>'Програма-имена+кабинети'!J136</f>
        <v>Батимов</v>
      </c>
      <c r="J116" s="252">
        <f>'Програма-имена+кабинети'!K136</f>
        <v>303</v>
      </c>
      <c r="K116" s="264">
        <v>6</v>
      </c>
      <c r="L116" s="250" t="str">
        <f>'Програма-имена+кабинети'!J191</f>
        <v>Батимов</v>
      </c>
      <c r="M116" s="252">
        <f>'Програма-имена+кабинети'!K191</f>
        <v>303</v>
      </c>
      <c r="N116" s="264">
        <v>6</v>
      </c>
      <c r="O116" s="250" t="str">
        <f>'Програма-имена+кабинети'!J245</f>
        <v>Попова</v>
      </c>
      <c r="P116" s="252" t="str">
        <f>'Програма-имена+кабинети'!K245</f>
        <v>212/214/215/217</v>
      </c>
    </row>
    <row r="117" spans="1:17" ht="20.95" customHeight="1">
      <c r="A117" s="432"/>
      <c r="B117" s="281">
        <v>7</v>
      </c>
      <c r="C117" s="251" t="str">
        <f>'Програма-имена+кабинети'!J27</f>
        <v>Даскалова/Тодорова</v>
      </c>
      <c r="D117" s="253" t="str">
        <f>'Програма-имена+кабинети'!K27</f>
        <v>107-108/101-105</v>
      </c>
      <c r="E117" s="271">
        <v>7</v>
      </c>
      <c r="F117" s="251" t="str">
        <f>'Програма-имена+кабинети'!J82</f>
        <v>Сапунджиева</v>
      </c>
      <c r="G117" s="253">
        <f>'Програма-имена+кабинети'!K82</f>
        <v>104</v>
      </c>
      <c r="H117" s="271">
        <v>7</v>
      </c>
      <c r="I117" s="251" t="str">
        <f>'Програма-имена+кабинети'!J137</f>
        <v>Сапунджиева</v>
      </c>
      <c r="J117" s="253">
        <f>'Програма-имена+кабинети'!K137</f>
        <v>104</v>
      </c>
      <c r="K117" s="271">
        <v>7</v>
      </c>
      <c r="L117" s="251">
        <f>'Програма-имена+кабинети'!J192</f>
        <v>0</v>
      </c>
      <c r="M117" s="253" t="str">
        <f>'Програма-имена+кабинети'!K192</f>
        <v/>
      </c>
      <c r="N117" s="271">
        <v>7</v>
      </c>
      <c r="O117" s="251">
        <f>'Програма-имена+кабинети'!J246</f>
        <v>0</v>
      </c>
      <c r="P117" s="253" t="str">
        <f>'Програма-имена+кабинети'!K246</f>
        <v/>
      </c>
      <c r="Q117" s="263"/>
    </row>
    <row r="119" spans="1:17" ht="20.95" customHeight="1">
      <c r="A119" s="432" t="s">
        <v>10</v>
      </c>
      <c r="B119" s="255"/>
      <c r="C119" s="256" t="s">
        <v>24</v>
      </c>
      <c r="D119" s="257"/>
      <c r="E119" s="256"/>
      <c r="F119" s="256" t="s">
        <v>25</v>
      </c>
      <c r="G119" s="258" t="s">
        <v>209</v>
      </c>
      <c r="H119" s="259"/>
      <c r="I119" s="260" t="s">
        <v>26</v>
      </c>
      <c r="J119" s="258" t="s">
        <v>209</v>
      </c>
      <c r="K119" s="261"/>
      <c r="L119" s="261" t="s">
        <v>27</v>
      </c>
      <c r="M119" s="258" t="s">
        <v>209</v>
      </c>
      <c r="N119" s="259"/>
      <c r="O119" s="260" t="s">
        <v>28</v>
      </c>
      <c r="P119" s="300" t="s">
        <v>209</v>
      </c>
    </row>
    <row r="120" spans="1:17" ht="20.95" customHeight="1">
      <c r="A120" s="432"/>
      <c r="B120" s="280">
        <v>1</v>
      </c>
      <c r="C120" s="278" t="str">
        <f>'Програма-имена+кабинети'!B30</f>
        <v>Краева</v>
      </c>
      <c r="D120" s="279">
        <f>'Програма-имена+кабинети'!C30</f>
        <v>306</v>
      </c>
      <c r="E120" s="264">
        <v>1</v>
      </c>
      <c r="F120" s="278" t="str">
        <f>'Програма-имена+кабинети'!B85</f>
        <v>Влашинска</v>
      </c>
      <c r="G120" s="279" t="str">
        <f>'Програма-имена+кабинети'!C85</f>
        <v>212/214/215/217</v>
      </c>
      <c r="H120" s="280">
        <v>1</v>
      </c>
      <c r="I120" s="278" t="str">
        <f>'Програма-имена+кабинети'!B140</f>
        <v>Иванова</v>
      </c>
      <c r="J120" s="266">
        <f>'Програма-имена+кабинети'!C140</f>
        <v>205</v>
      </c>
      <c r="K120" s="264">
        <v>1</v>
      </c>
      <c r="L120" s="278" t="str">
        <f>'Програма-имена+кабинети'!B195</f>
        <v>Краева</v>
      </c>
      <c r="M120" s="279">
        <f>'Програма-имена+кабинети'!C195</f>
        <v>306</v>
      </c>
      <c r="N120" s="280">
        <v>1</v>
      </c>
      <c r="O120" s="278" t="str">
        <f>'Програма-имена+кабинети'!B249</f>
        <v>Латева</v>
      </c>
      <c r="P120" s="266">
        <f>'Програма-имена+кабинети'!C249</f>
        <v>110</v>
      </c>
    </row>
    <row r="121" spans="1:17" s="263" customFormat="1" ht="20.95" customHeight="1">
      <c r="A121" s="432"/>
      <c r="B121" s="280">
        <v>2</v>
      </c>
      <c r="C121" s="250" t="str">
        <f>'Програма-имена+кабинети'!B31</f>
        <v>Краева</v>
      </c>
      <c r="D121" s="252">
        <f>'Програма-имена+кабинети'!C31</f>
        <v>306</v>
      </c>
      <c r="E121" s="264">
        <v>2</v>
      </c>
      <c r="F121" s="250" t="str">
        <f>'Програма-имена+кабинети'!B86</f>
        <v>Краева</v>
      </c>
      <c r="G121" s="252">
        <f>'Програма-имена+кабинети'!C86</f>
        <v>306</v>
      </c>
      <c r="H121" s="280">
        <v>2</v>
      </c>
      <c r="I121" s="250" t="str">
        <f>'Програма-имена+кабинети'!B141</f>
        <v>Иванова</v>
      </c>
      <c r="J121" s="270">
        <f>'Програма-имена+кабинети'!C141</f>
        <v>205</v>
      </c>
      <c r="K121" s="264">
        <v>2</v>
      </c>
      <c r="L121" s="250" t="str">
        <f>'Програма-имена+кабинети'!B196</f>
        <v>В. Иванова</v>
      </c>
      <c r="M121" s="252">
        <f>'Програма-имена+кабинети'!C196</f>
        <v>109</v>
      </c>
      <c r="N121" s="280">
        <v>2</v>
      </c>
      <c r="O121" s="250" t="str">
        <f>'Програма-имена+кабинети'!B250</f>
        <v>Козалиева</v>
      </c>
      <c r="P121" s="270" t="str">
        <f>'Програма-имена+кабинети'!C250</f>
        <v>212/214/215/217</v>
      </c>
      <c r="Q121" s="262"/>
    </row>
    <row r="122" spans="1:17" ht="20.95" customHeight="1">
      <c r="A122" s="432"/>
      <c r="B122" s="280">
        <v>3</v>
      </c>
      <c r="C122" s="250" t="str">
        <f>'Програма-имена+кабинети'!B32</f>
        <v>Петкова/Димитрова</v>
      </c>
      <c r="D122" s="252" t="str">
        <f>'Програма-имена+кабинети'!C32</f>
        <v>КК3/КК8</v>
      </c>
      <c r="E122" s="264">
        <v>3</v>
      </c>
      <c r="F122" s="250" t="str">
        <f>'Програма-имена+кабинети'!B87</f>
        <v>Козалиева</v>
      </c>
      <c r="G122" s="252" t="str">
        <f>'Програма-имена+кабинети'!C87</f>
        <v>212/214/215/217</v>
      </c>
      <c r="H122" s="280">
        <v>3</v>
      </c>
      <c r="I122" s="250" t="str">
        <f>'Програма-имена+кабинети'!B142</f>
        <v>Латева</v>
      </c>
      <c r="J122" s="270">
        <f>'Програма-имена+кабинети'!C142</f>
        <v>110</v>
      </c>
      <c r="K122" s="264">
        <v>3</v>
      </c>
      <c r="L122" s="250" t="str">
        <f>'Програма-имена+кабинети'!B197</f>
        <v>Никова</v>
      </c>
      <c r="M122" s="252">
        <f>'Програма-имена+кабинети'!C197</f>
        <v>111</v>
      </c>
      <c r="N122" s="280">
        <v>3</v>
      </c>
      <c r="O122" s="250" t="str">
        <f>'Програма-имена+кабинети'!B251</f>
        <v>Иванова</v>
      </c>
      <c r="P122" s="270">
        <f>'Програма-имена+кабинети'!C251</f>
        <v>205</v>
      </c>
    </row>
    <row r="123" spans="1:17" ht="20.95" customHeight="1">
      <c r="A123" s="432"/>
      <c r="B123" s="280">
        <v>4</v>
      </c>
      <c r="C123" s="250" t="str">
        <f>'Програма-имена+кабинети'!B33</f>
        <v>В. Иванова</v>
      </c>
      <c r="D123" s="252">
        <f>'Програма-имена+кабинети'!C33</f>
        <v>109</v>
      </c>
      <c r="E123" s="264">
        <v>4</v>
      </c>
      <c r="F123" s="250" t="str">
        <f>'Програма-имена+кабинети'!B88</f>
        <v>Латева</v>
      </c>
      <c r="G123" s="252">
        <f>'Програма-имена+кабинети'!C88</f>
        <v>110</v>
      </c>
      <c r="H123" s="280">
        <v>4</v>
      </c>
      <c r="I123" s="250" t="str">
        <f>'Програма-имена+кабинети'!B143</f>
        <v>Тонева</v>
      </c>
      <c r="J123" s="270" t="str">
        <f>'Програма-имена+кабинети'!C143</f>
        <v>ФС</v>
      </c>
      <c r="K123" s="264">
        <v>4</v>
      </c>
      <c r="L123" s="250" t="str">
        <f>'Програма-имена+кабинети'!B198</f>
        <v>Димитрова/Янева</v>
      </c>
      <c r="M123" s="252" t="str">
        <f>'Програма-имена+кабинети'!C198</f>
        <v>КК4/102/109</v>
      </c>
      <c r="N123" s="280">
        <v>4</v>
      </c>
      <c r="O123" s="250" t="str">
        <f>'Програма-имена+кабинети'!B252</f>
        <v>Никова</v>
      </c>
      <c r="P123" s="270">
        <f>'Програма-имена+кабинети'!C252</f>
        <v>111</v>
      </c>
    </row>
    <row r="124" spans="1:17" ht="20.95" customHeight="1">
      <c r="A124" s="432"/>
      <c r="B124" s="280">
        <v>5</v>
      </c>
      <c r="C124" s="250" t="str">
        <f>'Програма-имена+кабинети'!B34</f>
        <v>Минчева</v>
      </c>
      <c r="D124" s="252" t="str">
        <f>'Програма-имена+кабинети'!C34</f>
        <v>212/214/215/217</v>
      </c>
      <c r="E124" s="264">
        <v>5</v>
      </c>
      <c r="F124" s="250" t="str">
        <f>'Програма-имена+кабинети'!B89</f>
        <v>Петров</v>
      </c>
      <c r="G124" s="252">
        <f>'Програма-имена+кабинети'!C89</f>
        <v>112</v>
      </c>
      <c r="H124" s="280">
        <v>5</v>
      </c>
      <c r="I124" s="250" t="str">
        <f>'Програма-имена+кабинети'!B144</f>
        <v>Кирилова/Тодорова</v>
      </c>
      <c r="J124" s="270" t="str">
        <f>'Програма-имена+кабинети'!C144</f>
        <v>108/101-105</v>
      </c>
      <c r="K124" s="264">
        <v>5</v>
      </c>
      <c r="L124" s="250" t="str">
        <f>'Програма-имена+кабинети'!B199</f>
        <v>Гюлева</v>
      </c>
      <c r="M124" s="252">
        <f>'Програма-имена+кабинети'!C199</f>
        <v>204</v>
      </c>
      <c r="N124" s="280">
        <v>5</v>
      </c>
      <c r="O124" s="250" t="str">
        <f>'Програма-имена+кабинети'!B253</f>
        <v>Гюлева</v>
      </c>
      <c r="P124" s="270">
        <f>'Програма-имена+кабинети'!C253</f>
        <v>204</v>
      </c>
    </row>
    <row r="125" spans="1:17" ht="20.95" customHeight="1">
      <c r="A125" s="432"/>
      <c r="B125" s="280">
        <v>6</v>
      </c>
      <c r="C125" s="250" t="str">
        <f>'Програма-имена+кабинети'!B35</f>
        <v>Тонева</v>
      </c>
      <c r="D125" s="252" t="str">
        <f>'Програма-имена+кабинети'!C35</f>
        <v>ФС</v>
      </c>
      <c r="E125" s="264">
        <v>6</v>
      </c>
      <c r="F125" s="250" t="str">
        <f>'Програма-имена+кабинети'!B90</f>
        <v>Гюлева</v>
      </c>
      <c r="G125" s="252">
        <f>'Програма-имена+кабинети'!C90</f>
        <v>204</v>
      </c>
      <c r="H125" s="280">
        <v>6</v>
      </c>
      <c r="I125" s="250" t="str">
        <f>'Програма-имена+кабинети'!B145</f>
        <v>Кирилова/Тодорова</v>
      </c>
      <c r="J125" s="270" t="str">
        <f>'Програма-имена+кабинети'!C145</f>
        <v>108/101-105</v>
      </c>
      <c r="K125" s="264">
        <v>6</v>
      </c>
      <c r="L125" s="250" t="str">
        <f>'Програма-имена+кабинети'!B200</f>
        <v>Минчева</v>
      </c>
      <c r="M125" s="252" t="str">
        <f>'Програма-имена+кабинети'!C200</f>
        <v>212/214/215/217</v>
      </c>
      <c r="N125" s="280">
        <v>6</v>
      </c>
      <c r="O125" s="250" t="str">
        <f>'Програма-имена+кабинети'!B254</f>
        <v>Влашинска</v>
      </c>
      <c r="P125" s="270" t="str">
        <f>'Програма-имена+кабинети'!C254</f>
        <v>212/214/215/217</v>
      </c>
      <c r="Q125" s="263"/>
    </row>
    <row r="126" spans="1:17" ht="20.95" customHeight="1">
      <c r="A126" s="432"/>
      <c r="B126" s="281">
        <v>7</v>
      </c>
      <c r="C126" s="251" t="str">
        <f>'Програма-имена+кабинети'!B36</f>
        <v>Никова</v>
      </c>
      <c r="D126" s="253">
        <f>'Програма-имена+кабинети'!C36</f>
        <v>111</v>
      </c>
      <c r="E126" s="271">
        <v>7</v>
      </c>
      <c r="F126" s="251" t="str">
        <f>'Програма-имена+кабинети'!B91</f>
        <v>Гюлева</v>
      </c>
      <c r="G126" s="253">
        <f>'Програма-имена+кабинети'!C91</f>
        <v>204</v>
      </c>
      <c r="H126" s="281">
        <v>7</v>
      </c>
      <c r="I126" s="251" t="str">
        <f>'Програма-имена+кабинети'!B146</f>
        <v>Гюлева</v>
      </c>
      <c r="J126" s="273">
        <f>'Програма-имена+кабинети'!C146</f>
        <v>204</v>
      </c>
      <c r="K126" s="271">
        <v>7</v>
      </c>
      <c r="L126" s="251">
        <f>'Програма-имена+кабинети'!B201</f>
        <v>0</v>
      </c>
      <c r="M126" s="253" t="str">
        <f>'Програма-имена+кабинети'!C201</f>
        <v/>
      </c>
      <c r="N126" s="281">
        <v>7</v>
      </c>
      <c r="O126" s="251">
        <f>'Програма-имена+кабинети'!B255</f>
        <v>0</v>
      </c>
      <c r="P126" s="273" t="str">
        <f>'Програма-имена+кабинети'!C255</f>
        <v/>
      </c>
    </row>
    <row r="127" spans="1:17" ht="20.95" customHeight="1">
      <c r="E127" s="289"/>
      <c r="F127" s="250"/>
      <c r="G127" s="290" t="s">
        <v>209</v>
      </c>
    </row>
    <row r="128" spans="1:17" ht="20.95" customHeight="1">
      <c r="A128" s="432" t="s">
        <v>11</v>
      </c>
      <c r="B128" s="255"/>
      <c r="C128" s="256" t="s">
        <v>24</v>
      </c>
      <c r="D128" s="257"/>
      <c r="E128" s="256"/>
      <c r="F128" s="256" t="s">
        <v>25</v>
      </c>
      <c r="G128" s="258" t="s">
        <v>209</v>
      </c>
      <c r="H128" s="259"/>
      <c r="I128" s="260" t="s">
        <v>26</v>
      </c>
      <c r="J128" s="258" t="s">
        <v>209</v>
      </c>
      <c r="K128" s="261"/>
      <c r="L128" s="261" t="s">
        <v>27</v>
      </c>
      <c r="M128" s="258" t="s">
        <v>209</v>
      </c>
      <c r="N128" s="259"/>
      <c r="O128" s="260" t="s">
        <v>28</v>
      </c>
      <c r="P128" s="300" t="s">
        <v>209</v>
      </c>
    </row>
    <row r="129" spans="1:17" s="263" customFormat="1" ht="20.95" customHeight="1">
      <c r="A129" s="432"/>
      <c r="B129" s="280">
        <v>1</v>
      </c>
      <c r="C129" s="278" t="str">
        <f>'Програма-имена+кабинети'!D30</f>
        <v>Мерджанова</v>
      </c>
      <c r="D129" s="279">
        <f>'Програма-имена+кабинети'!E30</f>
        <v>304</v>
      </c>
      <c r="E129" s="264">
        <v>1</v>
      </c>
      <c r="F129" s="278" t="str">
        <f>'Програма-имена+кабинети'!D85</f>
        <v>Козалиева</v>
      </c>
      <c r="G129" s="279" t="str">
        <f>'Програма-имена+кабинети'!E85</f>
        <v>212/214/215/217</v>
      </c>
      <c r="H129" s="264">
        <v>1</v>
      </c>
      <c r="I129" s="278" t="str">
        <f>'Програма-имена+кабинети'!D140</f>
        <v>Минчева</v>
      </c>
      <c r="J129" s="279" t="str">
        <f>'Програма-имена+кабинети'!E140</f>
        <v>212/214/215/217</v>
      </c>
      <c r="K129" s="264">
        <v>1</v>
      </c>
      <c r="L129" s="278" t="str">
        <f>'Програма-имена+кабинети'!D195</f>
        <v>Петкова/Димитрова</v>
      </c>
      <c r="M129" s="279" t="str">
        <f>'Програма-имена+кабинети'!E195</f>
        <v>КК3/КК8</v>
      </c>
      <c r="N129" s="264">
        <v>1</v>
      </c>
      <c r="O129" s="278" t="str">
        <f>'Програма-имена+кабинети'!D249</f>
        <v>Никова</v>
      </c>
      <c r="P129" s="279">
        <f>'Програма-имена+кабинети'!E249</f>
        <v>111</v>
      </c>
      <c r="Q129" s="262"/>
    </row>
    <row r="130" spans="1:17" ht="20.95" customHeight="1">
      <c r="A130" s="432"/>
      <c r="B130" s="280">
        <v>2</v>
      </c>
      <c r="C130" s="250" t="str">
        <f>'Програма-имена+кабинети'!D31</f>
        <v>Мерджанова</v>
      </c>
      <c r="D130" s="252">
        <f>'Програма-имена+кабинети'!E31</f>
        <v>304</v>
      </c>
      <c r="E130" s="264">
        <v>2</v>
      </c>
      <c r="F130" s="250" t="str">
        <f>'Програма-имена+кабинети'!D86</f>
        <v>Латева</v>
      </c>
      <c r="G130" s="252">
        <f>'Програма-имена+кабинети'!E86</f>
        <v>110</v>
      </c>
      <c r="H130" s="264">
        <v>2</v>
      </c>
      <c r="I130" s="250" t="str">
        <f>'Програма-имена+кабинети'!D141</f>
        <v>В. Иванова</v>
      </c>
      <c r="J130" s="252">
        <f>'Програма-имена+кабинети'!E141</f>
        <v>109</v>
      </c>
      <c r="K130" s="264">
        <v>2</v>
      </c>
      <c r="L130" s="250" t="str">
        <f>'Програма-имена+кабинети'!D196</f>
        <v>Латева</v>
      </c>
      <c r="M130" s="252">
        <f>'Програма-имена+кабинети'!E196</f>
        <v>110</v>
      </c>
      <c r="N130" s="264">
        <v>2</v>
      </c>
      <c r="O130" s="250" t="str">
        <f>'Програма-имена+кабинети'!D250</f>
        <v>Петров</v>
      </c>
      <c r="P130" s="252">
        <f>'Програма-имена+кабинети'!E250</f>
        <v>112</v>
      </c>
    </row>
    <row r="131" spans="1:17" ht="20.95" customHeight="1">
      <c r="A131" s="432"/>
      <c r="B131" s="280">
        <v>3</v>
      </c>
      <c r="C131" s="250" t="str">
        <f>'Програма-имена+кабинети'!D32</f>
        <v>В. Иванова</v>
      </c>
      <c r="D131" s="252">
        <f>'Програма-имена+кабинети'!E32</f>
        <v>109</v>
      </c>
      <c r="E131" s="264">
        <v>3</v>
      </c>
      <c r="F131" s="250" t="str">
        <f>'Програма-имена+кабинети'!D87</f>
        <v>Тонева</v>
      </c>
      <c r="G131" s="252" t="str">
        <f>'Програма-имена+кабинети'!E87</f>
        <v>ФС</v>
      </c>
      <c r="H131" s="264">
        <v>3</v>
      </c>
      <c r="I131" s="250" t="str">
        <f>'Програма-имена+кабинети'!D142</f>
        <v>Кирилова/Даскалова/Тодорова/Филипова</v>
      </c>
      <c r="J131" s="252" t="str">
        <f>'Програма-имена+кабинети'!E142</f>
        <v>108/107/106/105</v>
      </c>
      <c r="K131" s="264">
        <v>3</v>
      </c>
      <c r="L131" s="250" t="str">
        <f>'Програма-имена+кабинети'!D197</f>
        <v>Козалиева</v>
      </c>
      <c r="M131" s="252" t="str">
        <f>'Програма-имена+кабинети'!E197</f>
        <v>212/214/215/217</v>
      </c>
      <c r="N131" s="264">
        <v>3</v>
      </c>
      <c r="O131" s="250" t="str">
        <f>'Програма-имена+кабинети'!D251</f>
        <v>Мерджанова</v>
      </c>
      <c r="P131" s="252">
        <f>'Програма-имена+кабинети'!E251</f>
        <v>304</v>
      </c>
    </row>
    <row r="132" spans="1:17" ht="20.95" customHeight="1">
      <c r="A132" s="432"/>
      <c r="B132" s="280">
        <v>4</v>
      </c>
      <c r="C132" s="250" t="str">
        <f>'Програма-имена+кабинети'!D33</f>
        <v>Минчева</v>
      </c>
      <c r="D132" s="252" t="str">
        <f>'Програма-имена+кабинети'!E33</f>
        <v>212/214/215/217</v>
      </c>
      <c r="E132" s="264">
        <v>4</v>
      </c>
      <c r="F132" s="250" t="str">
        <f>'Програма-имена+кабинети'!D88</f>
        <v>Гюлева</v>
      </c>
      <c r="G132" s="252">
        <f>'Програма-имена+кабинети'!E88</f>
        <v>204</v>
      </c>
      <c r="H132" s="264">
        <v>4</v>
      </c>
      <c r="I132" s="250" t="str">
        <f>'Програма-имена+кабинети'!D143</f>
        <v>Кирилова/Даскалова/Тодорова/Филипова</v>
      </c>
      <c r="J132" s="252" t="str">
        <f>'Програма-имена+кабинети'!E143</f>
        <v>108/107/106/105</v>
      </c>
      <c r="K132" s="264">
        <v>4</v>
      </c>
      <c r="L132" s="250" t="str">
        <f>'Програма-имена+кабинети'!D198</f>
        <v>Гюлева</v>
      </c>
      <c r="M132" s="252">
        <f>'Програма-имена+кабинети'!E198</f>
        <v>204</v>
      </c>
      <c r="N132" s="264">
        <v>4</v>
      </c>
      <c r="O132" s="250" t="str">
        <f>'Програма-имена+кабинети'!D252</f>
        <v>Влашинска</v>
      </c>
      <c r="P132" s="252" t="str">
        <f>'Програма-имена+кабинети'!E252</f>
        <v>212/214/215/217</v>
      </c>
    </row>
    <row r="133" spans="1:17" ht="20.95" customHeight="1">
      <c r="A133" s="432"/>
      <c r="B133" s="280">
        <v>5</v>
      </c>
      <c r="C133" s="250" t="str">
        <f>'Програма-имена+кабинети'!D34</f>
        <v>Никова</v>
      </c>
      <c r="D133" s="252">
        <f>'Програма-имена+кабинети'!E34</f>
        <v>111</v>
      </c>
      <c r="E133" s="264">
        <v>5</v>
      </c>
      <c r="F133" s="250" t="str">
        <f>'Програма-имена+кабинети'!D89</f>
        <v>Гюлева</v>
      </c>
      <c r="G133" s="252">
        <f>'Програма-имена+кабинети'!E89</f>
        <v>204</v>
      </c>
      <c r="H133" s="264">
        <v>5</v>
      </c>
      <c r="I133" s="250" t="str">
        <f>'Програма-имена+кабинети'!D144</f>
        <v>Иванова</v>
      </c>
      <c r="J133" s="252">
        <f>'Програма-имена+кабинети'!E144</f>
        <v>205</v>
      </c>
      <c r="K133" s="264">
        <v>5</v>
      </c>
      <c r="L133" s="250" t="str">
        <f>'Програма-имена+кабинети'!D199</f>
        <v>Никова</v>
      </c>
      <c r="M133" s="252">
        <f>'Програма-имена+кабинети'!E199</f>
        <v>111</v>
      </c>
      <c r="N133" s="264">
        <v>5</v>
      </c>
      <c r="O133" s="250" t="str">
        <f>'Програма-имена+кабинети'!D253</f>
        <v>Иванова</v>
      </c>
      <c r="P133" s="252">
        <f>'Програма-имена+кабинети'!E253</f>
        <v>205</v>
      </c>
    </row>
    <row r="134" spans="1:17" ht="20.95" customHeight="1">
      <c r="A134" s="432"/>
      <c r="B134" s="280">
        <v>6</v>
      </c>
      <c r="C134" s="250" t="str">
        <f>'Програма-имена+кабинети'!D35</f>
        <v>Димитрова/Янева</v>
      </c>
      <c r="D134" s="252" t="str">
        <f>'Програма-имена+кабинети'!E35</f>
        <v>КК4/102/109</v>
      </c>
      <c r="E134" s="264">
        <v>6</v>
      </c>
      <c r="F134" s="250" t="str">
        <f>'Програма-имена+кабинети'!D90</f>
        <v>Влашинска</v>
      </c>
      <c r="G134" s="252" t="str">
        <f>'Програма-имена+кабинети'!E90</f>
        <v>212/214/215/217</v>
      </c>
      <c r="H134" s="264">
        <v>6</v>
      </c>
      <c r="I134" s="250" t="str">
        <f>'Програма-имена+кабинети'!D145</f>
        <v>Иванова</v>
      </c>
      <c r="J134" s="252">
        <f>'Програма-имена+кабинети'!E145</f>
        <v>205</v>
      </c>
      <c r="K134" s="264">
        <v>6</v>
      </c>
      <c r="L134" s="250" t="str">
        <f>'Програма-имена+кабинети'!D200</f>
        <v>Тонева</v>
      </c>
      <c r="M134" s="252" t="str">
        <f>'Програма-имена+кабинети'!E200</f>
        <v>ФС</v>
      </c>
      <c r="N134" s="264">
        <v>6</v>
      </c>
      <c r="O134" s="250" t="str">
        <f>'Програма-имена+кабинети'!D254</f>
        <v>Латева</v>
      </c>
      <c r="P134" s="252">
        <f>'Програма-имена+кабинети'!E254</f>
        <v>110</v>
      </c>
      <c r="Q134" s="263"/>
    </row>
    <row r="135" spans="1:17" ht="20.95" customHeight="1">
      <c r="A135" s="432"/>
      <c r="B135" s="281">
        <v>7</v>
      </c>
      <c r="C135" s="251" t="str">
        <f>'Програма-имена+кабинети'!D36</f>
        <v>Гюлева</v>
      </c>
      <c r="D135" s="253">
        <f>'Програма-имена+кабинети'!E36</f>
        <v>204</v>
      </c>
      <c r="E135" s="271">
        <v>7</v>
      </c>
      <c r="F135" s="251" t="str">
        <f>'Програма-имена+кабинети'!D91</f>
        <v>Мерджанова</v>
      </c>
      <c r="G135" s="253">
        <f>'Програма-имена+кабинети'!E91</f>
        <v>304</v>
      </c>
      <c r="H135" s="271">
        <v>7</v>
      </c>
      <c r="I135" s="251" t="str">
        <f>'Програма-имена+кабинети'!D146</f>
        <v>Мерджанова</v>
      </c>
      <c r="J135" s="253">
        <f>'Програма-имена+кабинети'!E146</f>
        <v>304</v>
      </c>
      <c r="K135" s="271">
        <v>7</v>
      </c>
      <c r="L135" s="251">
        <f>'Програма-имена+кабинети'!D201</f>
        <v>0</v>
      </c>
      <c r="M135" s="253" t="str">
        <f>'Програма-имена+кабинети'!E201</f>
        <v/>
      </c>
      <c r="N135" s="280">
        <v>7</v>
      </c>
      <c r="O135" s="251">
        <f>'Програма-имена+кабинети'!D255</f>
        <v>0</v>
      </c>
      <c r="P135" s="253" t="str">
        <f>'Програма-имена+кабинети'!E255</f>
        <v/>
      </c>
    </row>
    <row r="136" spans="1:17" s="263" customFormat="1" ht="20.95" customHeight="1">
      <c r="D136" s="291"/>
      <c r="G136" s="291"/>
      <c r="J136" s="291"/>
      <c r="M136" s="291"/>
      <c r="P136" s="291"/>
      <c r="Q136" s="262"/>
    </row>
    <row r="137" spans="1:17" ht="20.95" customHeight="1">
      <c r="A137" s="432" t="s">
        <v>12</v>
      </c>
      <c r="B137" s="255"/>
      <c r="C137" s="256" t="s">
        <v>24</v>
      </c>
      <c r="D137" s="257"/>
      <c r="E137" s="256"/>
      <c r="F137" s="256" t="s">
        <v>25</v>
      </c>
      <c r="G137" s="258" t="s">
        <v>209</v>
      </c>
      <c r="H137" s="259"/>
      <c r="I137" s="260" t="s">
        <v>26</v>
      </c>
      <c r="J137" s="258" t="s">
        <v>209</v>
      </c>
      <c r="K137" s="261"/>
      <c r="L137" s="261" t="s">
        <v>27</v>
      </c>
      <c r="M137" s="258" t="s">
        <v>209</v>
      </c>
      <c r="N137" s="259"/>
      <c r="O137" s="260" t="s">
        <v>28</v>
      </c>
      <c r="P137" s="300" t="s">
        <v>209</v>
      </c>
    </row>
    <row r="138" spans="1:17" ht="20.95" customHeight="1">
      <c r="A138" s="432"/>
      <c r="B138" s="280">
        <v>1</v>
      </c>
      <c r="C138" s="278" t="str">
        <f>'Програма-имена+кабинети'!F30</f>
        <v>Никова</v>
      </c>
      <c r="D138" s="279">
        <f>'Програма-имена+кабинети'!G30</f>
        <v>111</v>
      </c>
      <c r="E138" s="264">
        <v>1</v>
      </c>
      <c r="F138" s="278" t="str">
        <f>'Програма-имена+кабинети'!F85</f>
        <v>Гюлева</v>
      </c>
      <c r="G138" s="279">
        <f>'Програма-имена+кабинети'!G85</f>
        <v>204</v>
      </c>
      <c r="H138" s="264">
        <v>1</v>
      </c>
      <c r="I138" s="278" t="str">
        <f>'Програма-имена+кабинети'!F140</f>
        <v>Конгалов</v>
      </c>
      <c r="J138" s="279" t="str">
        <f>'Програма-имена+кабинети'!G140</f>
        <v>ФС</v>
      </c>
      <c r="K138" s="264">
        <v>1</v>
      </c>
      <c r="L138" s="278" t="str">
        <f>'Програма-имена+кабинети'!F195</f>
        <v>Гюлева</v>
      </c>
      <c r="M138" s="279">
        <f>'Програма-имена+кабинети'!G195</f>
        <v>204</v>
      </c>
      <c r="N138" s="264">
        <v>1</v>
      </c>
      <c r="O138" s="278" t="str">
        <f>'Програма-имена+кабинети'!F249</f>
        <v>Козалиева</v>
      </c>
      <c r="P138" s="279" t="str">
        <f>'Програма-имена+кабинети'!G249</f>
        <v>212/214/215/217</v>
      </c>
    </row>
    <row r="139" spans="1:17" ht="20.95" customHeight="1">
      <c r="A139" s="432"/>
      <c r="B139" s="280">
        <v>2</v>
      </c>
      <c r="C139" s="250" t="str">
        <f>'Програма-имена+кабинети'!F31</f>
        <v>Минчева</v>
      </c>
      <c r="D139" s="252" t="str">
        <f>'Програма-имена+кабинети'!G31</f>
        <v>212/214/215/217</v>
      </c>
      <c r="E139" s="264">
        <v>2</v>
      </c>
      <c r="F139" s="250" t="str">
        <f>'Програма-имена+кабинети'!F86</f>
        <v>Гюлева</v>
      </c>
      <c r="G139" s="252">
        <f>'Програма-имена+кабинети'!G86</f>
        <v>204</v>
      </c>
      <c r="H139" s="264">
        <v>2</v>
      </c>
      <c r="I139" s="250" t="str">
        <f>'Програма-имена+кабинети'!F141</f>
        <v>Латева</v>
      </c>
      <c r="J139" s="252">
        <f>'Програма-имена+кабинети'!G141</f>
        <v>110</v>
      </c>
      <c r="K139" s="264">
        <v>2</v>
      </c>
      <c r="L139" s="250" t="str">
        <f>'Програма-имена+кабинети'!F196</f>
        <v>Петкова/Димитрова</v>
      </c>
      <c r="M139" s="252" t="str">
        <f>'Програма-имена+кабинети'!G196</f>
        <v>КК3/КК8</v>
      </c>
      <c r="N139" s="264">
        <v>2</v>
      </c>
      <c r="O139" s="250" t="str">
        <f>'Програма-имена+кабинети'!F250</f>
        <v>Никова</v>
      </c>
      <c r="P139" s="252">
        <f>'Програма-имена+кабинети'!G250</f>
        <v>111</v>
      </c>
    </row>
    <row r="140" spans="1:17" ht="20.95" customHeight="1">
      <c r="A140" s="432"/>
      <c r="B140" s="280">
        <v>3</v>
      </c>
      <c r="C140" s="250" t="str">
        <f>'Програма-имена+кабинети'!F32</f>
        <v>Мерджанова</v>
      </c>
      <c r="D140" s="252">
        <f>'Програма-имена+кабинети'!G32</f>
        <v>304</v>
      </c>
      <c r="E140" s="264">
        <v>3</v>
      </c>
      <c r="F140" s="250" t="str">
        <f>'Програма-имена+кабинети'!F87</f>
        <v>Влашинска</v>
      </c>
      <c r="G140" s="252" t="str">
        <f>'Програма-имена+кабинети'!G87</f>
        <v>212/214/215/217</v>
      </c>
      <c r="H140" s="264">
        <v>3</v>
      </c>
      <c r="I140" s="254" t="str">
        <f>'Програма-имена+кабинети'!D142</f>
        <v>Кирилова/Даскалова/Тодорова/Филипова</v>
      </c>
      <c r="J140" s="252" t="str">
        <f>'Програма-имена+кабинети'!G142</f>
        <v>108/107/106/105</v>
      </c>
      <c r="K140" s="264">
        <v>3</v>
      </c>
      <c r="L140" s="250" t="str">
        <f>'Програма-имена+кабинети'!F197</f>
        <v>Петров</v>
      </c>
      <c r="M140" s="252">
        <f>'Програма-имена+кабинети'!G197</f>
        <v>112</v>
      </c>
      <c r="N140" s="264">
        <v>3</v>
      </c>
      <c r="O140" s="250" t="str">
        <f>'Програма-имена+кабинети'!F251</f>
        <v>Конгалов</v>
      </c>
      <c r="P140" s="252" t="str">
        <f>'Програма-имена+кабинети'!G251</f>
        <v>ФС</v>
      </c>
    </row>
    <row r="141" spans="1:17" ht="20.95" customHeight="1">
      <c r="A141" s="432"/>
      <c r="B141" s="280">
        <v>4</v>
      </c>
      <c r="C141" s="250" t="str">
        <f>'Програма-имена+кабинети'!F33</f>
        <v>Мерджанова</v>
      </c>
      <c r="D141" s="252">
        <f>'Програма-имена+кабинети'!G33</f>
        <v>304</v>
      </c>
      <c r="E141" s="264">
        <v>4</v>
      </c>
      <c r="F141" s="250" t="str">
        <f>'Програма-имена+кабинети'!F88</f>
        <v>Козалиева</v>
      </c>
      <c r="G141" s="252" t="str">
        <f>'Програма-имена+кабинети'!G88</f>
        <v>212/214/215/217</v>
      </c>
      <c r="H141" s="264">
        <v>4</v>
      </c>
      <c r="I141" s="254" t="str">
        <f>'Програма-имена+кабинети'!D143</f>
        <v>Кирилова/Даскалова/Тодорова/Филипова</v>
      </c>
      <c r="J141" s="252" t="str">
        <f>'Програма-имена+кабинети'!G143</f>
        <v>108/107/106/105</v>
      </c>
      <c r="K141" s="264">
        <v>4</v>
      </c>
      <c r="L141" s="250" t="str">
        <f>'Програма-имена+кабинети'!F198</f>
        <v>В. Иванова</v>
      </c>
      <c r="M141" s="252">
        <f>'Програма-имена+кабинети'!G198</f>
        <v>109</v>
      </c>
      <c r="N141" s="264">
        <v>4</v>
      </c>
      <c r="O141" s="250" t="str">
        <f>'Програма-имена+кабинети'!F252</f>
        <v>Латева</v>
      </c>
      <c r="P141" s="252">
        <f>'Програма-имена+кабинети'!G252</f>
        <v>110</v>
      </c>
      <c r="Q141" s="263"/>
    </row>
    <row r="142" spans="1:17" ht="20.95" customHeight="1">
      <c r="A142" s="432"/>
      <c r="B142" s="280">
        <v>5</v>
      </c>
      <c r="C142" s="250" t="str">
        <f>'Програма-имена+кабинети'!F34</f>
        <v>Димитрова/Янева</v>
      </c>
      <c r="D142" s="252" t="str">
        <f>'Програма-имена+кабинети'!G34</f>
        <v>КК4/102/109</v>
      </c>
      <c r="E142" s="264">
        <v>5</v>
      </c>
      <c r="F142" s="250" t="str">
        <f>'Програма-имена+кабинети'!F89</f>
        <v>Иванова</v>
      </c>
      <c r="G142" s="252">
        <f>'Програма-имена+кабинети'!G89</f>
        <v>205</v>
      </c>
      <c r="H142" s="264">
        <v>5</v>
      </c>
      <c r="I142" s="250" t="str">
        <f>'Програма-имена+кабинети'!F144</f>
        <v>Никова</v>
      </c>
      <c r="J142" s="252">
        <f>'Програма-имена+кабинети'!G144</f>
        <v>111</v>
      </c>
      <c r="K142" s="264">
        <v>5</v>
      </c>
      <c r="L142" s="250" t="str">
        <f>'Програма-имена+кабинети'!F199</f>
        <v>Минчева</v>
      </c>
      <c r="M142" s="252" t="str">
        <f>'Програма-имена+кабинети'!G199</f>
        <v>212/214/215/217</v>
      </c>
      <c r="N142" s="264">
        <v>5</v>
      </c>
      <c r="O142" s="250" t="str">
        <f>'Програма-имена+кабинети'!F253</f>
        <v>Влашинска</v>
      </c>
      <c r="P142" s="252" t="str">
        <f>'Програма-имена+кабинети'!G253</f>
        <v>212/214/215/217</v>
      </c>
    </row>
    <row r="143" spans="1:17" ht="20.95" customHeight="1">
      <c r="A143" s="432"/>
      <c r="B143" s="280">
        <v>6</v>
      </c>
      <c r="C143" s="250" t="str">
        <f>'Програма-имена+кабинети'!F35</f>
        <v>Гюлева</v>
      </c>
      <c r="D143" s="252">
        <f>'Програма-имена+кабинети'!G35</f>
        <v>204</v>
      </c>
      <c r="E143" s="264">
        <v>6</v>
      </c>
      <c r="F143" s="250" t="str">
        <f>'Програма-имена+кабинети'!F90</f>
        <v>Иванова</v>
      </c>
      <c r="G143" s="252">
        <f>'Програма-имена+кабинети'!G90</f>
        <v>205</v>
      </c>
      <c r="H143" s="264">
        <v>6</v>
      </c>
      <c r="I143" s="250" t="str">
        <f>'Програма-имена+кабинети'!F145</f>
        <v>Мерджанова</v>
      </c>
      <c r="J143" s="252">
        <f>'Програма-имена+кабинети'!G145</f>
        <v>304</v>
      </c>
      <c r="K143" s="264">
        <v>6</v>
      </c>
      <c r="L143" s="250" t="str">
        <f>'Програма-имена+кабинети'!F200</f>
        <v>Мерджанова</v>
      </c>
      <c r="M143" s="252">
        <f>'Програма-имена+кабинети'!G200</f>
        <v>304</v>
      </c>
      <c r="N143" s="264">
        <v>6</v>
      </c>
      <c r="O143" s="250" t="str">
        <f>'Програма-имена+кабинети'!F254</f>
        <v>Иванова</v>
      </c>
      <c r="P143" s="252">
        <f>'Програма-имена+кабинети'!G254</f>
        <v>205</v>
      </c>
    </row>
    <row r="144" spans="1:17" ht="20.95" customHeight="1">
      <c r="A144" s="432"/>
      <c r="B144" s="281">
        <v>7</v>
      </c>
      <c r="C144" s="251" t="str">
        <f>'Програма-имена+кабинети'!F36</f>
        <v>В. Иванова</v>
      </c>
      <c r="D144" s="253">
        <f>'Програма-имена+кабинети'!G36</f>
        <v>109</v>
      </c>
      <c r="E144" s="271">
        <v>7</v>
      </c>
      <c r="F144" s="251" t="str">
        <f>'Програма-имена+кабинети'!F91</f>
        <v>Латева</v>
      </c>
      <c r="G144" s="253">
        <f>'Програма-имена+кабинети'!G91</f>
        <v>110</v>
      </c>
      <c r="H144" s="271">
        <v>7</v>
      </c>
      <c r="I144" s="251" t="str">
        <f>'Програма-имена+кабинети'!F146</f>
        <v>Влашинска</v>
      </c>
      <c r="J144" s="253" t="str">
        <f>'Програма-имена+кабинети'!G146</f>
        <v>212/214/215/217</v>
      </c>
      <c r="K144" s="271">
        <v>7</v>
      </c>
      <c r="L144" s="251">
        <f>'Програма-имена+кабинети'!F201</f>
        <v>0</v>
      </c>
      <c r="M144" s="253" t="str">
        <f>'Програма-имена+кабинети'!G201</f>
        <v/>
      </c>
      <c r="N144" s="271">
        <v>7</v>
      </c>
      <c r="O144" s="251">
        <f>'Програма-имена+кабинети'!F255</f>
        <v>0</v>
      </c>
      <c r="P144" s="253" t="str">
        <f>'Програма-имена+кабинети'!G255</f>
        <v/>
      </c>
    </row>
    <row r="145" spans="1:17" ht="20.95" customHeight="1">
      <c r="E145" s="289"/>
      <c r="F145" s="250"/>
      <c r="G145" s="290" t="s">
        <v>209</v>
      </c>
    </row>
    <row r="146" spans="1:17" ht="20.95" customHeight="1">
      <c r="A146" s="432" t="s">
        <v>13</v>
      </c>
      <c r="B146" s="255"/>
      <c r="C146" s="256" t="s">
        <v>24</v>
      </c>
      <c r="D146" s="257"/>
      <c r="E146" s="256"/>
      <c r="F146" s="256" t="s">
        <v>25</v>
      </c>
      <c r="G146" s="258" t="s">
        <v>209</v>
      </c>
      <c r="H146" s="259"/>
      <c r="I146" s="260" t="s">
        <v>26</v>
      </c>
      <c r="J146" s="258" t="s">
        <v>209</v>
      </c>
      <c r="K146" s="261"/>
      <c r="L146" s="261" t="s">
        <v>27</v>
      </c>
      <c r="M146" s="258" t="s">
        <v>209</v>
      </c>
      <c r="N146" s="259"/>
      <c r="O146" s="260" t="s">
        <v>28</v>
      </c>
      <c r="P146" s="300" t="s">
        <v>209</v>
      </c>
    </row>
    <row r="147" spans="1:17" ht="20.95" customHeight="1">
      <c r="A147" s="432"/>
      <c r="B147" s="280">
        <v>1</v>
      </c>
      <c r="C147" s="278" t="str">
        <f>'Програма-имена+кабинети'!H30</f>
        <v>В. Иванова</v>
      </c>
      <c r="D147" s="279">
        <f>'Програма-имена+кабинети'!I30</f>
        <v>109</v>
      </c>
      <c r="E147" s="264">
        <v>1</v>
      </c>
      <c r="F147" s="278" t="str">
        <f>'Програма-имена+кабинети'!H85</f>
        <v>Краева</v>
      </c>
      <c r="G147" s="279">
        <f>'Програма-имена+кабинети'!I85</f>
        <v>306</v>
      </c>
      <c r="H147" s="264">
        <v>1</v>
      </c>
      <c r="I147" s="278" t="str">
        <f>'Програма-имена+кабинети'!H140</f>
        <v>Латева</v>
      </c>
      <c r="J147" s="279">
        <f>'Програма-имена+кабинети'!I140</f>
        <v>110</v>
      </c>
      <c r="K147" s="264">
        <v>1</v>
      </c>
      <c r="L147" s="278" t="str">
        <f>'Програма-имена+кабинети'!H195</f>
        <v>В. Иванова</v>
      </c>
      <c r="M147" s="279">
        <f>'Програма-имена+кабинети'!I195</f>
        <v>109</v>
      </c>
      <c r="N147" s="264">
        <v>1</v>
      </c>
      <c r="O147" s="278" t="str">
        <f>'Програма-имена+кабинети'!H249</f>
        <v>Влашинска</v>
      </c>
      <c r="P147" s="279" t="str">
        <f>'Програма-имена+кабинети'!I249</f>
        <v>212/214/215/217</v>
      </c>
    </row>
    <row r="148" spans="1:17" ht="20.95" customHeight="1">
      <c r="A148" s="432"/>
      <c r="B148" s="280">
        <v>2</v>
      </c>
      <c r="C148" s="250" t="str">
        <f>'Програма-имена+кабинети'!H31</f>
        <v>Петкова/Димитрова</v>
      </c>
      <c r="D148" s="252" t="str">
        <f>'Програма-имена+кабинети'!I31</f>
        <v>КК3/КК8</v>
      </c>
      <c r="E148" s="264">
        <v>2</v>
      </c>
      <c r="F148" s="250" t="str">
        <f>'Програма-имена+кабинети'!H86</f>
        <v>Козалиева</v>
      </c>
      <c r="G148" s="252" t="str">
        <f>'Програма-имена+кабинети'!I86</f>
        <v>212/214/215/217</v>
      </c>
      <c r="H148" s="264">
        <v>2</v>
      </c>
      <c r="I148" s="250" t="str">
        <f>'Програма-имена+кабинети'!H141</f>
        <v>Конгалов</v>
      </c>
      <c r="J148" s="252" t="str">
        <f>'Програма-имена+кабинети'!I141</f>
        <v>ФС</v>
      </c>
      <c r="K148" s="264">
        <v>2</v>
      </c>
      <c r="L148" s="250" t="str">
        <f>'Програма-имена+кабинети'!H196</f>
        <v>Никова</v>
      </c>
      <c r="M148" s="252">
        <f>'Програма-имена+кабинети'!I196</f>
        <v>111</v>
      </c>
      <c r="N148" s="264">
        <v>2</v>
      </c>
      <c r="O148" s="250" t="str">
        <f>'Програма-имена+кабинети'!H250</f>
        <v>Латева</v>
      </c>
      <c r="P148" s="252">
        <f>'Програма-имена+кабинети'!I250</f>
        <v>110</v>
      </c>
    </row>
    <row r="149" spans="1:17" ht="20.95" customHeight="1">
      <c r="A149" s="432"/>
      <c r="B149" s="280">
        <v>3</v>
      </c>
      <c r="C149" s="250" t="str">
        <f>'Програма-имена+кабинети'!H32</f>
        <v>Минчева</v>
      </c>
      <c r="D149" s="252" t="str">
        <f>'Програма-имена+кабинети'!I32</f>
        <v>212/214/215/217</v>
      </c>
      <c r="E149" s="264">
        <v>3</v>
      </c>
      <c r="F149" s="250" t="str">
        <f>'Програма-имена+кабинети'!H87</f>
        <v>Иванова</v>
      </c>
      <c r="G149" s="252">
        <f>'Програма-имена+кабинети'!I87</f>
        <v>205</v>
      </c>
      <c r="H149" s="264">
        <v>3</v>
      </c>
      <c r="I149" s="254" t="str">
        <f>'Програма-имена+кабинети'!D142</f>
        <v>Кирилова/Даскалова/Тодорова/Филипова</v>
      </c>
      <c r="J149" s="252" t="str">
        <f>'Програма-имена+кабинети'!I142</f>
        <v>108/107/106/105</v>
      </c>
      <c r="K149" s="264">
        <v>3</v>
      </c>
      <c r="L149" s="250" t="str">
        <f>'Програма-имена+кабинети'!H197</f>
        <v>Гюлева</v>
      </c>
      <c r="M149" s="252">
        <f>'Програма-имена+кабинети'!I197</f>
        <v>204</v>
      </c>
      <c r="N149" s="264">
        <v>3</v>
      </c>
      <c r="O149" s="250" t="str">
        <f>'Програма-имена+кабинети'!H251</f>
        <v>Козалиева</v>
      </c>
      <c r="P149" s="252" t="str">
        <f>'Програма-имена+кабинети'!I251</f>
        <v>212/214/215/217</v>
      </c>
    </row>
    <row r="150" spans="1:17" ht="20.95" customHeight="1">
      <c r="A150" s="432"/>
      <c r="B150" s="280">
        <v>4</v>
      </c>
      <c r="C150" s="250" t="str">
        <f>'Програма-имена+кабинети'!H33</f>
        <v>Никова</v>
      </c>
      <c r="D150" s="252">
        <f>'Програма-имена+кабинети'!I33</f>
        <v>111</v>
      </c>
      <c r="E150" s="264">
        <v>4</v>
      </c>
      <c r="F150" s="250" t="str">
        <f>'Програма-имена+кабинети'!H88</f>
        <v>Иванова</v>
      </c>
      <c r="G150" s="252">
        <f>'Програма-имена+кабинети'!I88</f>
        <v>205</v>
      </c>
      <c r="H150" s="264">
        <v>4</v>
      </c>
      <c r="I150" s="254" t="str">
        <f>'Програма-имена+кабинети'!D143</f>
        <v>Кирилова/Даскалова/Тодорова/Филипова</v>
      </c>
      <c r="J150" s="252" t="str">
        <f>'Програма-имена+кабинети'!I143</f>
        <v>108/107/106/105</v>
      </c>
      <c r="K150" s="264">
        <v>4</v>
      </c>
      <c r="L150" s="250" t="str">
        <f>'Програма-имена+кабинети'!H198</f>
        <v>Минчева</v>
      </c>
      <c r="M150" s="252" t="str">
        <f>'Програма-имена+кабинети'!I198</f>
        <v>212/214/215/217</v>
      </c>
      <c r="N150" s="264">
        <v>4</v>
      </c>
      <c r="O150" s="250" t="str">
        <f>'Програма-имена+кабинети'!H252</f>
        <v>Иванова</v>
      </c>
      <c r="P150" s="252">
        <f>'Програма-имена+кабинети'!I252</f>
        <v>205</v>
      </c>
      <c r="Q150" s="263"/>
    </row>
    <row r="151" spans="1:17" ht="20.95" customHeight="1">
      <c r="A151" s="432"/>
      <c r="B151" s="280">
        <v>5</v>
      </c>
      <c r="C151" s="250" t="str">
        <f>'Програма-имена+кабинети'!H34</f>
        <v>Краева</v>
      </c>
      <c r="D151" s="252">
        <f>'Програма-имена+кабинети'!I34</f>
        <v>306</v>
      </c>
      <c r="E151" s="264">
        <v>5</v>
      </c>
      <c r="F151" s="250" t="str">
        <f>'Програма-имена+кабинети'!H89</f>
        <v>Влашинска</v>
      </c>
      <c r="G151" s="252" t="str">
        <f>'Програма-имена+кабинети'!I89</f>
        <v>212/214/215/217</v>
      </c>
      <c r="H151" s="264">
        <v>5</v>
      </c>
      <c r="I151" s="250" t="str">
        <f>'Програма-имена+кабинети'!H144</f>
        <v>Гюлева</v>
      </c>
      <c r="J151" s="252">
        <f>'Програма-имена+кабинети'!I144</f>
        <v>204</v>
      </c>
      <c r="K151" s="264">
        <v>5</v>
      </c>
      <c r="L151" s="250" t="str">
        <f>'Програма-имена+кабинети'!H199</f>
        <v>Димитрова/Янева</v>
      </c>
      <c r="M151" s="252" t="str">
        <f>'Програма-имена+кабинети'!I199</f>
        <v>КК4/102/109</v>
      </c>
      <c r="N151" s="264">
        <v>5</v>
      </c>
      <c r="O151" s="250" t="str">
        <f>'Програма-имена+кабинети'!H253</f>
        <v>Никова</v>
      </c>
      <c r="P151" s="252">
        <f>'Програма-имена+кабинети'!I253</f>
        <v>111</v>
      </c>
    </row>
    <row r="152" spans="1:17" s="292" customFormat="1" ht="20.95" customHeight="1">
      <c r="A152" s="432"/>
      <c r="B152" s="280">
        <v>6</v>
      </c>
      <c r="C152" s="250" t="str">
        <f>'Програма-имена+кабинети'!H35</f>
        <v>Краева</v>
      </c>
      <c r="D152" s="252">
        <f>'Програма-имена+кабинети'!I35</f>
        <v>306</v>
      </c>
      <c r="E152" s="264">
        <v>6</v>
      </c>
      <c r="F152" s="250" t="str">
        <f>'Програма-имена+кабинети'!H90</f>
        <v>Латева</v>
      </c>
      <c r="G152" s="252">
        <f>'Програма-имена+кабинети'!I90</f>
        <v>110</v>
      </c>
      <c r="H152" s="264">
        <v>6</v>
      </c>
      <c r="I152" s="250" t="str">
        <f>'Програма-имена+кабинети'!H145</f>
        <v>Гюлева</v>
      </c>
      <c r="J152" s="252">
        <f>'Програма-имена+кабинети'!I145</f>
        <v>204</v>
      </c>
      <c r="K152" s="264">
        <v>6</v>
      </c>
      <c r="L152" s="250" t="str">
        <f>'Програма-имена+кабинети'!H200</f>
        <v>Краева</v>
      </c>
      <c r="M152" s="252">
        <f>'Програма-имена+кабинети'!I200</f>
        <v>306</v>
      </c>
      <c r="N152" s="264">
        <v>6</v>
      </c>
      <c r="O152" s="250" t="str">
        <f>'Програма-имена+кабинети'!H254</f>
        <v>Гюлева</v>
      </c>
      <c r="P152" s="252">
        <f>'Програма-имена+кабинети'!I254</f>
        <v>204</v>
      </c>
      <c r="Q152" s="262"/>
    </row>
    <row r="153" spans="1:17" ht="20.95" customHeight="1">
      <c r="A153" s="432"/>
      <c r="B153" s="281">
        <v>7</v>
      </c>
      <c r="C153" s="251" t="str">
        <f>'Програма-имена+кабинети'!H36</f>
        <v>Конгалов</v>
      </c>
      <c r="D153" s="253" t="str">
        <f>'Програма-имена+кабинети'!I36</f>
        <v>ФС</v>
      </c>
      <c r="E153" s="271">
        <v>7</v>
      </c>
      <c r="F153" s="251" t="str">
        <f>'Програма-имена+кабинети'!H91</f>
        <v>Петров</v>
      </c>
      <c r="G153" s="253">
        <f>'Програма-имена+кабинети'!I91</f>
        <v>112</v>
      </c>
      <c r="H153" s="271">
        <v>7</v>
      </c>
      <c r="I153" s="251" t="str">
        <f>'Програма-имена+кабинети'!H146</f>
        <v>Краева</v>
      </c>
      <c r="J153" s="253">
        <f>'Програма-имена+кабинети'!I146</f>
        <v>306</v>
      </c>
      <c r="K153" s="271">
        <v>7</v>
      </c>
      <c r="L153" s="251">
        <f>'Програма-имена+кабинети'!H201</f>
        <v>0</v>
      </c>
      <c r="M153" s="253" t="str">
        <f>'Програма-имена+кабинети'!I201</f>
        <v/>
      </c>
      <c r="N153" s="280">
        <v>7</v>
      </c>
      <c r="O153" s="251">
        <f>'Програма-имена+кабинети'!H255</f>
        <v>0</v>
      </c>
      <c r="P153" s="253" t="str">
        <f>'Програма-имена+кабинети'!I255</f>
        <v/>
      </c>
    </row>
    <row r="154" spans="1:17" ht="20.95" customHeight="1">
      <c r="E154" s="289"/>
      <c r="F154" s="250"/>
      <c r="G154" s="290" t="s">
        <v>209</v>
      </c>
    </row>
    <row r="155" spans="1:17" ht="20.95" customHeight="1">
      <c r="A155" s="432" t="s">
        <v>14</v>
      </c>
      <c r="B155" s="255"/>
      <c r="C155" s="256" t="s">
        <v>24</v>
      </c>
      <c r="D155" s="257"/>
      <c r="E155" s="256"/>
      <c r="F155" s="256" t="s">
        <v>25</v>
      </c>
      <c r="G155" s="258" t="s">
        <v>209</v>
      </c>
      <c r="H155" s="259"/>
      <c r="I155" s="260" t="s">
        <v>26</v>
      </c>
      <c r="J155" s="258" t="s">
        <v>209</v>
      </c>
      <c r="K155" s="261"/>
      <c r="L155" s="261" t="s">
        <v>27</v>
      </c>
      <c r="M155" s="258" t="s">
        <v>209</v>
      </c>
      <c r="N155" s="259"/>
      <c r="O155" s="260" t="s">
        <v>28</v>
      </c>
      <c r="P155" s="300" t="s">
        <v>209</v>
      </c>
    </row>
    <row r="156" spans="1:17" ht="20.95" customHeight="1">
      <c r="A156" s="432"/>
      <c r="B156" s="280">
        <v>1</v>
      </c>
      <c r="C156" s="278" t="str">
        <f>'Програма-имена+кабинети'!J30</f>
        <v>Иванова</v>
      </c>
      <c r="D156" s="279">
        <f>'Програма-имена+кабинети'!K30</f>
        <v>205</v>
      </c>
      <c r="E156" s="264">
        <v>1</v>
      </c>
      <c r="F156" s="278" t="str">
        <f>'Програма-имена+кабинети'!J85</f>
        <v>Никова</v>
      </c>
      <c r="G156" s="279">
        <f>'Програма-имена+кабинети'!K85</f>
        <v>111</v>
      </c>
      <c r="H156" s="264">
        <v>1</v>
      </c>
      <c r="I156" s="278" t="str">
        <f>'Програма-имена+кабинети'!J140</f>
        <v>Козалиева</v>
      </c>
      <c r="J156" s="279" t="str">
        <f>'Програма-имена+кабинети'!K140</f>
        <v>212/214/215/217</v>
      </c>
      <c r="K156" s="264">
        <v>1</v>
      </c>
      <c r="L156" s="278" t="str">
        <f>'Програма-имена+кабинети'!J195</f>
        <v>Никова</v>
      </c>
      <c r="M156" s="279">
        <f>'Програма-имена+кабинети'!K195</f>
        <v>111</v>
      </c>
      <c r="N156" s="264">
        <v>1</v>
      </c>
      <c r="O156" s="278" t="str">
        <f>'Програма-имена+кабинети'!J249</f>
        <v>Конгалов</v>
      </c>
      <c r="P156" s="279" t="str">
        <f>'Програма-имена+кабинети'!K249</f>
        <v>ФС</v>
      </c>
    </row>
    <row r="157" spans="1:17" ht="20.95" customHeight="1">
      <c r="A157" s="432"/>
      <c r="B157" s="280">
        <v>2</v>
      </c>
      <c r="C157" s="250" t="str">
        <f>'Програма-имена+кабинети'!J31</f>
        <v>Иванова</v>
      </c>
      <c r="D157" s="252">
        <f>'Програма-имена+кабинети'!K31</f>
        <v>205</v>
      </c>
      <c r="E157" s="264">
        <v>2</v>
      </c>
      <c r="F157" s="250" t="str">
        <f>'Програма-имена+кабинети'!J86</f>
        <v>Влашинска</v>
      </c>
      <c r="G157" s="252" t="str">
        <f>'Програма-имена+кабинети'!K86</f>
        <v>212/214/215/217</v>
      </c>
      <c r="H157" s="264">
        <v>2</v>
      </c>
      <c r="I157" s="250" t="str">
        <f>'Програма-имена+кабинети'!J141</f>
        <v>Козалиева</v>
      </c>
      <c r="J157" s="252" t="str">
        <f>'Програма-имена+кабинети'!K141</f>
        <v>212/214/215/217</v>
      </c>
      <c r="K157" s="264">
        <v>2</v>
      </c>
      <c r="L157" s="250" t="str">
        <f>'Програма-имена+кабинети'!J196</f>
        <v>Иванова</v>
      </c>
      <c r="M157" s="252">
        <f>'Програма-имена+кабинети'!K196</f>
        <v>205</v>
      </c>
      <c r="N157" s="264">
        <v>2</v>
      </c>
      <c r="O157" s="250" t="str">
        <f>'Програма-имена+кабинети'!J250</f>
        <v>Влашинска</v>
      </c>
      <c r="P157" s="252" t="str">
        <f>'Програма-имена+кабинети'!K250</f>
        <v>212/214/215/217</v>
      </c>
    </row>
    <row r="158" spans="1:17" ht="20.95" customHeight="1">
      <c r="A158" s="432"/>
      <c r="B158" s="280">
        <v>3</v>
      </c>
      <c r="C158" s="250" t="str">
        <f>'Програма-имена+кабинети'!J32</f>
        <v>Коларова</v>
      </c>
      <c r="D158" s="252" t="str">
        <f>'Програма-имена+кабинети'!K32</f>
        <v>212/214/215/217</v>
      </c>
      <c r="E158" s="264">
        <v>3</v>
      </c>
      <c r="F158" s="250" t="str">
        <f>'Програма-имена+кабинети'!J87</f>
        <v>Кръстева</v>
      </c>
      <c r="G158" s="252">
        <f>'Програма-имена+кабинети'!K87</f>
        <v>302</v>
      </c>
      <c r="H158" s="264">
        <v>3</v>
      </c>
      <c r="I158" s="250" t="str">
        <f>'Програма-имена+кабинети'!J142</f>
        <v>Гюлева</v>
      </c>
      <c r="J158" s="252">
        <f>'Програма-имена+кабинети'!K142</f>
        <v>204</v>
      </c>
      <c r="K158" s="264">
        <v>3</v>
      </c>
      <c r="L158" s="250" t="str">
        <f>'Програма-имена+кабинети'!J197</f>
        <v>Латева</v>
      </c>
      <c r="M158" s="252">
        <f>'Програма-имена+кабинети'!K197</f>
        <v>110</v>
      </c>
      <c r="N158" s="264">
        <v>3</v>
      </c>
      <c r="O158" s="250" t="str">
        <f>'Програма-имена+кабинети'!J251</f>
        <v>Гюлева</v>
      </c>
      <c r="P158" s="252">
        <f>'Програма-имена+кабинети'!K251</f>
        <v>204</v>
      </c>
    </row>
    <row r="159" spans="1:17" ht="20.95" customHeight="1">
      <c r="A159" s="432"/>
      <c r="B159" s="280">
        <v>4</v>
      </c>
      <c r="C159" s="250" t="str">
        <f>'Програма-имена+кабинети'!J33</f>
        <v>Конгалов</v>
      </c>
      <c r="D159" s="252" t="str">
        <f>'Програма-имена+кабинети'!K33</f>
        <v>ФС</v>
      </c>
      <c r="E159" s="264">
        <v>4</v>
      </c>
      <c r="F159" s="250" t="str">
        <f>'Програма-имена+кабинети'!J88</f>
        <v>Коларова</v>
      </c>
      <c r="G159" s="252" t="str">
        <f>'Програма-имена+кабинети'!K88</f>
        <v>212/214/215/217</v>
      </c>
      <c r="H159" s="264">
        <v>4</v>
      </c>
      <c r="I159" s="250" t="str">
        <f>'Програма-имена+кабинети'!J143</f>
        <v>Кръстева</v>
      </c>
      <c r="J159" s="252">
        <f>'Програма-имена+кабинети'!K143</f>
        <v>302</v>
      </c>
      <c r="K159" s="264">
        <v>4</v>
      </c>
      <c r="L159" s="250" t="str">
        <f>'Програма-имена+кабинети'!J198</f>
        <v>Филипова</v>
      </c>
      <c r="M159" s="252" t="str">
        <f>'Програма-имена+кабинети'!K198</f>
        <v>109/110/301/302/306</v>
      </c>
      <c r="N159" s="264">
        <v>4</v>
      </c>
      <c r="O159" s="250" t="str">
        <f>'Програма-имена+кабинети'!J252</f>
        <v>Гюлева</v>
      </c>
      <c r="P159" s="252">
        <f>'Програма-имена+кабинети'!K252</f>
        <v>204</v>
      </c>
    </row>
    <row r="160" spans="1:17" ht="20.95" customHeight="1">
      <c r="A160" s="432"/>
      <c r="B160" s="280">
        <v>5</v>
      </c>
      <c r="C160" s="250" t="str">
        <f>'Програма-имена+кабинети'!J34</f>
        <v>Филипова</v>
      </c>
      <c r="D160" s="252" t="str">
        <f>'Програма-имена+кабинети'!K34</f>
        <v>109/110/301/302/306</v>
      </c>
      <c r="E160" s="264">
        <v>5</v>
      </c>
      <c r="F160" s="250" t="str">
        <f>'Програма-имена+кабинети'!J89</f>
        <v>Латева</v>
      </c>
      <c r="G160" s="252">
        <f>'Програма-имена+кабинети'!K89</f>
        <v>110</v>
      </c>
      <c r="H160" s="264">
        <v>5</v>
      </c>
      <c r="I160" s="250" t="str">
        <f>'Програма-имена+кабинети'!J144</f>
        <v>Кирилова/Тодорова</v>
      </c>
      <c r="J160" s="252" t="str">
        <f>'Програма-имена+кабинети'!K144</f>
        <v>108/101-105</v>
      </c>
      <c r="K160" s="264">
        <v>5</v>
      </c>
      <c r="L160" s="250" t="str">
        <f>'Програма-имена+кабинети'!J199</f>
        <v>Коларова</v>
      </c>
      <c r="M160" s="252" t="str">
        <f>'Програма-имена+кабинети'!K199</f>
        <v>212/214/215/217</v>
      </c>
      <c r="N160" s="264">
        <v>5</v>
      </c>
      <c r="O160" s="250" t="str">
        <f>'Програма-имена+кабинети'!J253</f>
        <v>Латева</v>
      </c>
      <c r="P160" s="252">
        <f>'Програма-имена+кабинети'!K253</f>
        <v>110</v>
      </c>
    </row>
    <row r="161" spans="1:17" ht="20.95" customHeight="1">
      <c r="A161" s="432"/>
      <c r="B161" s="280">
        <v>6</v>
      </c>
      <c r="C161" s="250" t="str">
        <f>'Програма-имена+кабинети'!J35</f>
        <v>Никова</v>
      </c>
      <c r="D161" s="252">
        <f>'Програма-имена+кабинети'!K35</f>
        <v>111</v>
      </c>
      <c r="E161" s="264">
        <v>6</v>
      </c>
      <c r="F161" s="250" t="str">
        <f>'Програма-имена+кабинети'!J90</f>
        <v>Петров</v>
      </c>
      <c r="G161" s="252">
        <f>'Програма-имена+кабинети'!K90</f>
        <v>112</v>
      </c>
      <c r="H161" s="264">
        <v>6</v>
      </c>
      <c r="I161" s="250" t="str">
        <f>'Програма-имена+кабинети'!J145</f>
        <v>Кирилова/Тодорова</v>
      </c>
      <c r="J161" s="252" t="str">
        <f>'Програма-имена+кабинети'!K145</f>
        <v>108/101-105</v>
      </c>
      <c r="K161" s="264">
        <v>6</v>
      </c>
      <c r="L161" s="250" t="str">
        <f>'Програма-имена+кабинети'!J200</f>
        <v>Гюлева</v>
      </c>
      <c r="M161" s="252">
        <f>'Програма-имена+кабинети'!K200</f>
        <v>204</v>
      </c>
      <c r="N161" s="264">
        <v>6</v>
      </c>
      <c r="O161" s="250" t="str">
        <f>'Програма-имена+кабинети'!J254</f>
        <v>Кръстева</v>
      </c>
      <c r="P161" s="252">
        <f>'Програма-имена+кабинети'!K254</f>
        <v>302</v>
      </c>
    </row>
    <row r="162" spans="1:17" ht="20.95" customHeight="1">
      <c r="A162" s="432"/>
      <c r="B162" s="281">
        <v>7</v>
      </c>
      <c r="C162" s="251" t="str">
        <f>'Програма-имена+кабинети'!J36</f>
        <v>Димитрова/Янева</v>
      </c>
      <c r="D162" s="253" t="str">
        <f>'Програма-имена+кабинети'!K36</f>
        <v>КК4/102/109</v>
      </c>
      <c r="E162" s="271">
        <v>7</v>
      </c>
      <c r="F162" s="251" t="str">
        <f>'Програма-имена+кабинети'!J91</f>
        <v>Козалиева</v>
      </c>
      <c r="G162" s="253" t="str">
        <f>'Програма-имена+кабинети'!K91</f>
        <v>212/214/215/217</v>
      </c>
      <c r="H162" s="271">
        <v>7</v>
      </c>
      <c r="I162" s="251" t="str">
        <f>'Програма-имена+кабинети'!J146</f>
        <v>Иванова</v>
      </c>
      <c r="J162" s="253">
        <f>'Програма-имена+кабинети'!K146</f>
        <v>205</v>
      </c>
      <c r="K162" s="271">
        <v>7</v>
      </c>
      <c r="L162" s="251">
        <f>'Програма-имена+кабинети'!J201</f>
        <v>0</v>
      </c>
      <c r="M162" s="253" t="str">
        <f>'Програма-имена+кабинети'!K201</f>
        <v/>
      </c>
      <c r="N162" s="280">
        <v>7</v>
      </c>
      <c r="O162" s="251">
        <f>'Програма-имена+кабинети'!J255</f>
        <v>0</v>
      </c>
      <c r="P162" s="253" t="str">
        <f>'Програма-имена+кабинети'!K255</f>
        <v/>
      </c>
    </row>
    <row r="163" spans="1:17" ht="20.95" customHeight="1">
      <c r="E163" s="289"/>
      <c r="F163" s="250"/>
      <c r="G163" s="293" t="s">
        <v>209</v>
      </c>
    </row>
    <row r="164" spans="1:17" ht="20.95" customHeight="1">
      <c r="A164" s="432" t="s">
        <v>15</v>
      </c>
      <c r="B164" s="255"/>
      <c r="C164" s="256" t="s">
        <v>24</v>
      </c>
      <c r="D164" s="257"/>
      <c r="E164" s="256"/>
      <c r="F164" s="256" t="s">
        <v>25</v>
      </c>
      <c r="G164" s="258" t="s">
        <v>209</v>
      </c>
      <c r="H164" s="259"/>
      <c r="I164" s="260" t="s">
        <v>26</v>
      </c>
      <c r="J164" s="258" t="s">
        <v>209</v>
      </c>
      <c r="K164" s="261"/>
      <c r="L164" s="261" t="s">
        <v>27</v>
      </c>
      <c r="M164" s="258" t="s">
        <v>209</v>
      </c>
      <c r="N164" s="259"/>
      <c r="O164" s="260" t="s">
        <v>28</v>
      </c>
      <c r="P164" s="300" t="s">
        <v>209</v>
      </c>
    </row>
    <row r="165" spans="1:17" ht="20.95" customHeight="1">
      <c r="A165" s="432"/>
      <c r="B165" s="280">
        <v>1</v>
      </c>
      <c r="C165" s="278" t="str">
        <f>'Програма-имена+кабинети'!B39</f>
        <v>Костова</v>
      </c>
      <c r="D165" s="279" t="str">
        <f>'Програма-имена+кабинети'!C39</f>
        <v>212/214/215/217</v>
      </c>
      <c r="E165" s="264">
        <v>1</v>
      </c>
      <c r="F165" s="278" t="str">
        <f>'Програма-имена+кабинети'!B94</f>
        <v>Славова</v>
      </c>
      <c r="G165" s="279">
        <f>'Програма-имена+кабинети'!C94</f>
        <v>114</v>
      </c>
      <c r="H165" s="280">
        <v>1</v>
      </c>
      <c r="I165" s="265" t="str">
        <f>'Програма-имена+кабинети'!B149</f>
        <v>Данева</v>
      </c>
      <c r="J165" s="266">
        <f>'Програма-имена+кабинети'!C149</f>
        <v>101</v>
      </c>
      <c r="K165" s="264">
        <v>1</v>
      </c>
      <c r="L165" s="278" t="str">
        <f>'Програма-имена+кабинети'!B204</f>
        <v>Киркова/К. Петрова</v>
      </c>
      <c r="M165" s="279" t="str">
        <f>'Програма-имена+кабинети'!C204</f>
        <v>КК7/КК1</v>
      </c>
      <c r="N165" s="280">
        <v>1</v>
      </c>
      <c r="O165" s="265" t="str">
        <f>'Програма-имена+кабинети'!B258</f>
        <v>Вълчева</v>
      </c>
      <c r="P165" s="266">
        <f>'Програма-имена+кабинети'!C258</f>
        <v>201</v>
      </c>
    </row>
    <row r="166" spans="1:17" ht="20.95" customHeight="1">
      <c r="A166" s="432"/>
      <c r="B166" s="280">
        <v>2</v>
      </c>
      <c r="C166" s="250" t="str">
        <f>'Програма-имена+кабинети'!B40</f>
        <v>Киров</v>
      </c>
      <c r="D166" s="252" t="str">
        <f>'Програма-имена+кабинети'!C40</f>
        <v>109/110/111/114/102/302</v>
      </c>
      <c r="E166" s="264">
        <v>2</v>
      </c>
      <c r="F166" s="250" t="str">
        <f>'Програма-имена+кабинети'!B95</f>
        <v>Вълчева</v>
      </c>
      <c r="G166" s="252">
        <f>'Програма-имена+кабинети'!C95</f>
        <v>201</v>
      </c>
      <c r="H166" s="280">
        <v>2</v>
      </c>
      <c r="I166" s="269" t="str">
        <f>'Програма-имена+кабинети'!B150</f>
        <v>Данева</v>
      </c>
      <c r="J166" s="270">
        <f>'Програма-имена+кабинети'!C150</f>
        <v>101</v>
      </c>
      <c r="K166" s="264">
        <v>2</v>
      </c>
      <c r="L166" s="250" t="str">
        <f>'Програма-имена+кабинети'!B205</f>
        <v>Ю. Делчева</v>
      </c>
      <c r="M166" s="252" t="str">
        <f>'Програма-имена+кабинети'!C205</f>
        <v>212/214/215/217</v>
      </c>
      <c r="N166" s="280">
        <v>2</v>
      </c>
      <c r="O166" s="269" t="str">
        <f>'Програма-имена+кабинети'!B259</f>
        <v>Вълчева</v>
      </c>
      <c r="P166" s="270">
        <f>'Програма-имена+кабинети'!C259</f>
        <v>201</v>
      </c>
      <c r="Q166" s="263"/>
    </row>
    <row r="167" spans="1:17" ht="20.95" customHeight="1">
      <c r="A167" s="432"/>
      <c r="B167" s="280">
        <v>3</v>
      </c>
      <c r="C167" s="250" t="str">
        <f>'Програма-имена+кабинети'!B41</f>
        <v>Данева</v>
      </c>
      <c r="D167" s="252">
        <f>'Програма-имена+кабинети'!C41</f>
        <v>101</v>
      </c>
      <c r="E167" s="264">
        <v>3</v>
      </c>
      <c r="F167" s="250" t="str">
        <f>'Програма-имена+кабинети'!B96</f>
        <v>Ю. Делчева</v>
      </c>
      <c r="G167" s="252" t="str">
        <f>'Програма-имена+кабинети'!C96</f>
        <v>212/214/215/217</v>
      </c>
      <c r="H167" s="280">
        <v>3</v>
      </c>
      <c r="I167" s="269" t="str">
        <f>'Програма-имена+кабинети'!B151</f>
        <v>Трандев</v>
      </c>
      <c r="J167" s="270" t="str">
        <f>'Програма-имена+кабинети'!C151</f>
        <v>ФС</v>
      </c>
      <c r="K167" s="264">
        <v>3</v>
      </c>
      <c r="L167" s="250" t="str">
        <f>'Програма-имена+кабинети'!B206</f>
        <v>В. Иванова</v>
      </c>
      <c r="M167" s="252">
        <f>'Програма-имена+кабинети'!C206</f>
        <v>109</v>
      </c>
      <c r="N167" s="280">
        <v>3</v>
      </c>
      <c r="O167" s="269" t="str">
        <f>'Програма-имена+кабинети'!B260</f>
        <v>Данева</v>
      </c>
      <c r="P167" s="270">
        <f>'Програма-имена+кабинети'!C260</f>
        <v>101</v>
      </c>
    </row>
    <row r="168" spans="1:17" ht="20.95" customHeight="1">
      <c r="A168" s="432"/>
      <c r="B168" s="280">
        <v>4</v>
      </c>
      <c r="C168" s="250" t="str">
        <f>'Програма-имена+кабинети'!B42</f>
        <v>Данева</v>
      </c>
      <c r="D168" s="252">
        <f>'Програма-имена+кабинети'!C42</f>
        <v>101</v>
      </c>
      <c r="E168" s="264">
        <v>4</v>
      </c>
      <c r="F168" s="250" t="str">
        <f>'Програма-имена+кабинети'!B97</f>
        <v>Киркова/К. Петрова</v>
      </c>
      <c r="G168" s="252" t="str">
        <f>'Програма-имена+кабинети'!C97</f>
        <v>КК7/КК1</v>
      </c>
      <c r="H168" s="280">
        <v>4</v>
      </c>
      <c r="I168" s="269" t="str">
        <f>'Програма-имена+кабинети'!B152</f>
        <v>Костова</v>
      </c>
      <c r="J168" s="270" t="str">
        <f>'Програма-имена+кабинети'!C152</f>
        <v>212/214/215/217</v>
      </c>
      <c r="K168" s="264">
        <v>4</v>
      </c>
      <c r="L168" s="250" t="str">
        <f>'Програма-имена+кабинети'!B207</f>
        <v>Клисарова</v>
      </c>
      <c r="M168" s="252">
        <f>'Програма-имена+кабинети'!C207</f>
        <v>305</v>
      </c>
      <c r="N168" s="280">
        <v>4</v>
      </c>
      <c r="O168" s="269" t="str">
        <f>'Програма-имена+кабинети'!B261</f>
        <v>Клисарова</v>
      </c>
      <c r="P168" s="270">
        <f>'Програма-имена+кабинети'!C261</f>
        <v>305</v>
      </c>
    </row>
    <row r="169" spans="1:17" ht="20.95" customHeight="1">
      <c r="A169" s="432"/>
      <c r="B169" s="280">
        <v>5</v>
      </c>
      <c r="C169" s="250" t="str">
        <f>'Програма-имена+кабинети'!B43</f>
        <v>Попова</v>
      </c>
      <c r="D169" s="252" t="str">
        <f>'Програма-имена+кабинети'!C43</f>
        <v>212/214/215/217</v>
      </c>
      <c r="E169" s="264">
        <v>5</v>
      </c>
      <c r="F169" s="250" t="str">
        <f>'Програма-имена+кабинети'!B98</f>
        <v>Клисарова</v>
      </c>
      <c r="G169" s="252">
        <f>'Програма-имена+кабинети'!C98</f>
        <v>305</v>
      </c>
      <c r="H169" s="280">
        <v>5</v>
      </c>
      <c r="I169" s="269" t="str">
        <f>'Програма-имена+кабинети'!B153</f>
        <v>Киркова/К. Петрова</v>
      </c>
      <c r="J169" s="270" t="str">
        <f>'Програма-имена+кабинети'!C153</f>
        <v>КК7/КК1</v>
      </c>
      <c r="K169" s="264">
        <v>5</v>
      </c>
      <c r="L169" s="250" t="str">
        <f>'Програма-имена+кабинети'!B208</f>
        <v>Кирилова/Тодорова</v>
      </c>
      <c r="M169" s="252" t="str">
        <f>'Програма-имена+кабинети'!C208</f>
        <v>108/101-105</v>
      </c>
      <c r="N169" s="280">
        <v>5</v>
      </c>
      <c r="O169" s="269" t="str">
        <f>'Програма-имена+кабинети'!B262</f>
        <v>Клисарова</v>
      </c>
      <c r="P169" s="270">
        <f>'Програма-имена+кабинети'!C262</f>
        <v>305</v>
      </c>
    </row>
    <row r="170" spans="1:17" s="263" customFormat="1" ht="20.95" customHeight="1">
      <c r="A170" s="432"/>
      <c r="B170" s="280">
        <v>6</v>
      </c>
      <c r="C170" s="250" t="str">
        <f>'Програма-имена+кабинети'!B44</f>
        <v>Клисарова</v>
      </c>
      <c r="D170" s="252">
        <f>'Програма-имена+кабинети'!C44</f>
        <v>305</v>
      </c>
      <c r="E170" s="264">
        <v>6</v>
      </c>
      <c r="F170" s="250" t="str">
        <f>'Програма-имена+кабинети'!B99</f>
        <v>Трандев</v>
      </c>
      <c r="G170" s="252" t="str">
        <f>'Програма-имена+кабинети'!C99</f>
        <v>ФС</v>
      </c>
      <c r="H170" s="280">
        <v>6</v>
      </c>
      <c r="I170" s="269" t="str">
        <f>'Програма-имена+кабинети'!B154</f>
        <v>Попова</v>
      </c>
      <c r="J170" s="270" t="str">
        <f>'Програма-имена+кабинети'!C154</f>
        <v>212/214/215/217</v>
      </c>
      <c r="K170" s="264">
        <v>6</v>
      </c>
      <c r="L170" s="250" t="str">
        <f>'Програма-имена+кабинети'!B209</f>
        <v>Кирилова/Тодорова</v>
      </c>
      <c r="M170" s="252" t="str">
        <f>'Програма-имена+кабинети'!C209</f>
        <v>108/101-105</v>
      </c>
      <c r="N170" s="280">
        <v>6</v>
      </c>
      <c r="O170" s="269" t="str">
        <f>'Програма-имена+кабинети'!B263</f>
        <v>Славова</v>
      </c>
      <c r="P170" s="270">
        <f>'Програма-имена+кабинети'!C263</f>
        <v>114</v>
      </c>
      <c r="Q170" s="262"/>
    </row>
    <row r="171" spans="1:17" ht="20.95" customHeight="1">
      <c r="A171" s="432"/>
      <c r="B171" s="281">
        <v>7</v>
      </c>
      <c r="C171" s="251" t="str">
        <f>'Програма-имена+кабинети'!B45</f>
        <v>Клисарова</v>
      </c>
      <c r="D171" s="253">
        <f>'Програма-имена+кабинети'!C45</f>
        <v>305</v>
      </c>
      <c r="E171" s="271">
        <v>7</v>
      </c>
      <c r="F171" s="251" t="str">
        <f>'Програма-имена+кабинети'!B100</f>
        <v>В. Иванова</v>
      </c>
      <c r="G171" s="253">
        <f>'Програма-имена+кабинети'!C100</f>
        <v>109</v>
      </c>
      <c r="H171" s="281">
        <v>7</v>
      </c>
      <c r="I171" s="272" t="str">
        <f>'Програма-имена+кабинети'!B155</f>
        <v>Киров</v>
      </c>
      <c r="J171" s="273" t="str">
        <f>'Програма-имена+кабинети'!C155</f>
        <v>109/110/111/114/102/302</v>
      </c>
      <c r="K171" s="271">
        <v>7</v>
      </c>
      <c r="L171" s="251">
        <f>'Програма-имена+кабинети'!B210</f>
        <v>0</v>
      </c>
      <c r="M171" s="253" t="str">
        <f>'Програма-имена+кабинети'!C210</f>
        <v/>
      </c>
      <c r="N171" s="281">
        <v>7</v>
      </c>
      <c r="O171" s="272">
        <f>'Програма-имена+кабинети'!B264</f>
        <v>0</v>
      </c>
      <c r="P171" s="273" t="str">
        <f>'Програма-имена+кабинети'!C264</f>
        <v/>
      </c>
    </row>
    <row r="173" spans="1:17" ht="20.95" customHeight="1">
      <c r="A173" s="432" t="s">
        <v>16</v>
      </c>
      <c r="B173" s="255"/>
      <c r="C173" s="256" t="s">
        <v>24</v>
      </c>
      <c r="D173" s="257"/>
      <c r="E173" s="256"/>
      <c r="F173" s="256" t="s">
        <v>25</v>
      </c>
      <c r="G173" s="258" t="s">
        <v>209</v>
      </c>
      <c r="H173" s="261"/>
      <c r="I173" s="260" t="s">
        <v>26</v>
      </c>
      <c r="J173" s="258" t="s">
        <v>209</v>
      </c>
      <c r="K173" s="261"/>
      <c r="L173" s="261" t="s">
        <v>27</v>
      </c>
      <c r="M173" s="258" t="s">
        <v>209</v>
      </c>
      <c r="N173" s="261"/>
      <c r="O173" s="260" t="s">
        <v>28</v>
      </c>
      <c r="P173" s="300" t="s">
        <v>209</v>
      </c>
    </row>
    <row r="174" spans="1:17" ht="20.95" customHeight="1">
      <c r="A174" s="432"/>
      <c r="B174" s="280">
        <v>1</v>
      </c>
      <c r="C174" s="278" t="str">
        <f>'Програма-имена+кабинети'!D39</f>
        <v>Киркова/К. Петрова</v>
      </c>
      <c r="D174" s="279" t="str">
        <f>'Програма-имена+кабинети'!E39</f>
        <v>КК7/КК1</v>
      </c>
      <c r="E174" s="264">
        <v>1</v>
      </c>
      <c r="F174" s="278" t="str">
        <f>'Програма-имена+кабинети'!D94</f>
        <v>Кръстева</v>
      </c>
      <c r="G174" s="279">
        <f>'Програма-имена+кабинети'!E94</f>
        <v>302</v>
      </c>
      <c r="H174" s="264">
        <v>1</v>
      </c>
      <c r="I174" s="278" t="str">
        <f>'Програма-имена+кабинети'!D149</f>
        <v>Славова</v>
      </c>
      <c r="J174" s="279">
        <f>'Програма-имена+кабинети'!E149</f>
        <v>114</v>
      </c>
      <c r="K174" s="264">
        <v>1</v>
      </c>
      <c r="L174" s="278" t="str">
        <f>'Програма-имена+кабинети'!D204</f>
        <v>Даскалова/Тодорова</v>
      </c>
      <c r="M174" s="279" t="str">
        <f>'Програма-имена+кабинети'!E204</f>
        <v>107-108/101-105</v>
      </c>
      <c r="N174" s="264">
        <v>1</v>
      </c>
      <c r="O174" s="278" t="str">
        <f>'Програма-имена+кабинети'!D258</f>
        <v>Габарова</v>
      </c>
      <c r="P174" s="279">
        <f>'Програма-имена+кабинети'!E258</f>
        <v>206</v>
      </c>
      <c r="Q174" s="263"/>
    </row>
    <row r="175" spans="1:17" ht="20.95" customHeight="1">
      <c r="A175" s="432"/>
      <c r="B175" s="280">
        <v>2</v>
      </c>
      <c r="C175" s="250" t="str">
        <f>'Програма-имена+кабинети'!D40</f>
        <v>Трандев</v>
      </c>
      <c r="D175" s="252" t="str">
        <f>'Програма-имена+кабинети'!E40</f>
        <v>ФС</v>
      </c>
      <c r="E175" s="264">
        <v>2</v>
      </c>
      <c r="F175" s="250" t="str">
        <f>'Програма-имена+кабинети'!D95</f>
        <v>Ю. Делчева</v>
      </c>
      <c r="G175" s="252" t="str">
        <f>'Програма-имена+кабинети'!E95</f>
        <v>212/214/215/217</v>
      </c>
      <c r="H175" s="264">
        <v>2</v>
      </c>
      <c r="I175" s="250" t="str">
        <f>'Програма-имена+кабинети'!D150</f>
        <v>Трандев</v>
      </c>
      <c r="J175" s="252" t="str">
        <f>'Програма-имена+кабинети'!E150</f>
        <v>ФС</v>
      </c>
      <c r="K175" s="264">
        <v>2</v>
      </c>
      <c r="L175" s="250" t="str">
        <f>'Програма-имена+кабинети'!D205</f>
        <v>Даскалова/Тодорова</v>
      </c>
      <c r="M175" s="252" t="str">
        <f>'Програма-имена+кабинети'!E205</f>
        <v>107-108/101-105</v>
      </c>
      <c r="N175" s="264">
        <v>2</v>
      </c>
      <c r="O175" s="250" t="str">
        <f>'Програма-имена+кабинети'!D259</f>
        <v>Габарова</v>
      </c>
      <c r="P175" s="252">
        <f>'Програма-имена+кабинети'!E259</f>
        <v>206</v>
      </c>
    </row>
    <row r="176" spans="1:17" ht="20.95" customHeight="1">
      <c r="A176" s="432"/>
      <c r="B176" s="280">
        <v>3</v>
      </c>
      <c r="C176" s="250" t="str">
        <f>'Програма-имена+кабинети'!D41</f>
        <v>Кръстева</v>
      </c>
      <c r="D176" s="252">
        <f>'Програма-имена+кабинети'!E41</f>
        <v>302</v>
      </c>
      <c r="E176" s="264">
        <v>3</v>
      </c>
      <c r="F176" s="250" t="str">
        <f>'Програма-имена+кабинети'!D96</f>
        <v>Киркова/К. Петрова</v>
      </c>
      <c r="G176" s="252" t="str">
        <f>'Програма-имена+кабинети'!E96</f>
        <v>КК7/КК1</v>
      </c>
      <c r="H176" s="264">
        <v>3</v>
      </c>
      <c r="I176" s="250" t="str">
        <f>'Програма-имена+кабинети'!D151</f>
        <v>Костова</v>
      </c>
      <c r="J176" s="252" t="str">
        <f>'Програма-имена+кабинети'!E151</f>
        <v>212/214/215/217</v>
      </c>
      <c r="K176" s="264">
        <v>3</v>
      </c>
      <c r="L176" s="250" t="str">
        <f>'Програма-имена+кабинети'!D206</f>
        <v>Ю. Делчева</v>
      </c>
      <c r="M176" s="252" t="str">
        <f>'Програма-имена+кабинети'!E206</f>
        <v>212/214/215/217</v>
      </c>
      <c r="N176" s="264">
        <v>3</v>
      </c>
      <c r="O176" s="250" t="str">
        <f>'Програма-имена+кабинети'!D260</f>
        <v>Славова</v>
      </c>
      <c r="P176" s="252">
        <f>'Програма-имена+кабинети'!E260</f>
        <v>114</v>
      </c>
    </row>
    <row r="177" spans="1:17" ht="20.95" customHeight="1">
      <c r="A177" s="432"/>
      <c r="B177" s="280">
        <v>4</v>
      </c>
      <c r="C177" s="250" t="str">
        <f>'Програма-имена+кабинети'!D42</f>
        <v>Кръстева</v>
      </c>
      <c r="D177" s="252">
        <f>'Програма-имена+кабинети'!E42</f>
        <v>302</v>
      </c>
      <c r="E177" s="264">
        <v>4</v>
      </c>
      <c r="F177" s="250" t="str">
        <f>'Програма-имена+кабинети'!D97</f>
        <v>Вълчева</v>
      </c>
      <c r="G177" s="252">
        <f>'Програма-имена+кабинети'!E97</f>
        <v>201</v>
      </c>
      <c r="H177" s="264">
        <v>4</v>
      </c>
      <c r="I177" s="250" t="str">
        <f>'Програма-имена+кабинети'!D152</f>
        <v>Габарова</v>
      </c>
      <c r="J177" s="252">
        <f>'Програма-имена+кабинети'!E152</f>
        <v>206</v>
      </c>
      <c r="K177" s="264">
        <v>4</v>
      </c>
      <c r="L177" s="250" t="str">
        <f>'Програма-имена+кабинети'!D207</f>
        <v>Киркова/К. Петрова</v>
      </c>
      <c r="M177" s="252" t="str">
        <f>'Програма-имена+кабинети'!E207</f>
        <v>КК7/КК1</v>
      </c>
      <c r="N177" s="264">
        <v>4</v>
      </c>
      <c r="O177" s="250" t="str">
        <f>'Програма-имена+кабинети'!D261</f>
        <v>Кръстева</v>
      </c>
      <c r="P177" s="252">
        <f>'Програма-имена+кабинети'!E261</f>
        <v>302</v>
      </c>
    </row>
    <row r="178" spans="1:17" s="263" customFormat="1" ht="20.95" customHeight="1">
      <c r="A178" s="432"/>
      <c r="B178" s="280">
        <v>5</v>
      </c>
      <c r="C178" s="250" t="str">
        <f>'Програма-имена+кабинети'!D43</f>
        <v>Киров</v>
      </c>
      <c r="D178" s="252" t="str">
        <f>'Програма-имена+кабинети'!E43</f>
        <v>109/110/111/114/102/302</v>
      </c>
      <c r="E178" s="264">
        <v>5</v>
      </c>
      <c r="F178" s="250" t="str">
        <f>'Програма-имена+кабинети'!D98</f>
        <v>В. Иванова</v>
      </c>
      <c r="G178" s="252">
        <f>'Програма-имена+кабинети'!E98</f>
        <v>109</v>
      </c>
      <c r="H178" s="264">
        <v>5</v>
      </c>
      <c r="I178" s="250" t="str">
        <f>'Програма-имена+кабинети'!D153</f>
        <v>Влашинска</v>
      </c>
      <c r="J178" s="252" t="str">
        <f>'Програма-имена+кабинети'!E153</f>
        <v>212/214/215/217</v>
      </c>
      <c r="K178" s="264">
        <v>5</v>
      </c>
      <c r="L178" s="250" t="str">
        <f>'Програма-имена+кабинети'!D208</f>
        <v>Вълчева</v>
      </c>
      <c r="M178" s="252">
        <f>'Програма-имена+кабинети'!E208</f>
        <v>201</v>
      </c>
      <c r="N178" s="264">
        <v>5</v>
      </c>
      <c r="O178" s="250" t="str">
        <f>'Програма-имена+кабинети'!D262</f>
        <v>Кръстева</v>
      </c>
      <c r="P178" s="252">
        <f>'Програма-имена+кабинети'!E262</f>
        <v>302</v>
      </c>
      <c r="Q178" s="262"/>
    </row>
    <row r="179" spans="1:17" ht="20.95" customHeight="1">
      <c r="A179" s="432"/>
      <c r="B179" s="280">
        <v>6</v>
      </c>
      <c r="C179" s="250" t="str">
        <f>'Програма-имена+кабинети'!D44</f>
        <v>Костова</v>
      </c>
      <c r="D179" s="252" t="str">
        <f>'Програма-имена+кабинети'!E44</f>
        <v>212/214/215/217</v>
      </c>
      <c r="E179" s="264">
        <v>6</v>
      </c>
      <c r="F179" s="250" t="str">
        <f>'Програма-имена+кабинети'!D99</f>
        <v>Габарова</v>
      </c>
      <c r="G179" s="252">
        <f>'Програма-имена+кабинети'!E99</f>
        <v>206</v>
      </c>
      <c r="H179" s="264">
        <v>6</v>
      </c>
      <c r="I179" s="250" t="str">
        <f>'Програма-имена+кабинети'!D154</f>
        <v>Киркова/К. Петрова</v>
      </c>
      <c r="J179" s="252" t="str">
        <f>'Програма-имена+кабинети'!E154</f>
        <v>КК7/КК1</v>
      </c>
      <c r="K179" s="264">
        <v>6</v>
      </c>
      <c r="L179" s="250" t="str">
        <f>'Програма-имена+кабинети'!D209</f>
        <v>Вълчева</v>
      </c>
      <c r="M179" s="252">
        <f>'Програма-имена+кабинети'!E209</f>
        <v>201</v>
      </c>
      <c r="N179" s="264">
        <v>6</v>
      </c>
      <c r="O179" s="250" t="str">
        <f>'Програма-имена+кабинети'!D263</f>
        <v>В. Иванова</v>
      </c>
      <c r="P179" s="252">
        <f>'Програма-имена+кабинети'!E263</f>
        <v>109</v>
      </c>
    </row>
    <row r="180" spans="1:17" ht="20.95" customHeight="1">
      <c r="A180" s="432"/>
      <c r="B180" s="281">
        <v>7</v>
      </c>
      <c r="C180" s="251" t="str">
        <f>'Програма-имена+кабинети'!D45</f>
        <v>Влашинска</v>
      </c>
      <c r="D180" s="253" t="str">
        <f>'Програма-имена+кабинети'!E45</f>
        <v>212/214/215/217</v>
      </c>
      <c r="E180" s="271">
        <v>7</v>
      </c>
      <c r="F180" s="251" t="str">
        <f>'Програма-имена+кабинети'!D100</f>
        <v>Габарова</v>
      </c>
      <c r="G180" s="253">
        <f>'Програма-имена+кабинети'!E100</f>
        <v>206</v>
      </c>
      <c r="H180" s="271">
        <v>7</v>
      </c>
      <c r="I180" s="251" t="str">
        <f>'Програма-имена+кабинети'!D155</f>
        <v>Кръстева</v>
      </c>
      <c r="J180" s="253">
        <f>'Програма-имена+кабинети'!E155</f>
        <v>302</v>
      </c>
      <c r="K180" s="271">
        <v>7</v>
      </c>
      <c r="L180" s="251">
        <f>'Програма-имена+кабинети'!D210</f>
        <v>0</v>
      </c>
      <c r="M180" s="253" t="str">
        <f>'Програма-имена+кабинети'!E210</f>
        <v/>
      </c>
      <c r="N180" s="271">
        <v>7</v>
      </c>
      <c r="O180" s="251">
        <f>'Програма-имена+кабинети'!D264</f>
        <v>0</v>
      </c>
      <c r="P180" s="253" t="str">
        <f>'Програма-имена+кабинети'!E264</f>
        <v/>
      </c>
    </row>
    <row r="182" spans="1:17" ht="20.95" customHeight="1">
      <c r="A182" s="432" t="s">
        <v>17</v>
      </c>
      <c r="B182" s="255"/>
      <c r="C182" s="256" t="s">
        <v>24</v>
      </c>
      <c r="D182" s="257"/>
      <c r="E182" s="256"/>
      <c r="F182" s="256" t="s">
        <v>25</v>
      </c>
      <c r="G182" s="258" t="s">
        <v>209</v>
      </c>
      <c r="H182" s="261"/>
      <c r="I182" s="260" t="s">
        <v>26</v>
      </c>
      <c r="J182" s="258" t="s">
        <v>209</v>
      </c>
      <c r="K182" s="261"/>
      <c r="L182" s="261" t="s">
        <v>27</v>
      </c>
      <c r="M182" s="258" t="s">
        <v>209</v>
      </c>
      <c r="N182" s="261"/>
      <c r="O182" s="260" t="s">
        <v>28</v>
      </c>
      <c r="P182" s="300" t="s">
        <v>209</v>
      </c>
      <c r="Q182" s="263"/>
    </row>
    <row r="183" spans="1:17" ht="20.95" customHeight="1">
      <c r="A183" s="432"/>
      <c r="B183" s="280">
        <v>1</v>
      </c>
      <c r="C183" s="294" t="str">
        <f>'Програма-имена+кабинети'!F39</f>
        <v>Вълчева</v>
      </c>
      <c r="D183" s="295">
        <f>'Програма-имена+кабинети'!G39</f>
        <v>201</v>
      </c>
      <c r="E183" s="264">
        <v>1</v>
      </c>
      <c r="F183" s="278" t="str">
        <f>'Програма-имена+кабинети'!F94</f>
        <v>Киркова/К. Петрова</v>
      </c>
      <c r="G183" s="279" t="str">
        <f>'Програма-имена+кабинети'!G94</f>
        <v>КК7/КК1</v>
      </c>
      <c r="H183" s="264">
        <v>1</v>
      </c>
      <c r="I183" s="278" t="str">
        <f>'Програма-имена+кабинети'!F149</f>
        <v>Вълчева</v>
      </c>
      <c r="J183" s="279">
        <f>'Програма-имена+кабинети'!G149</f>
        <v>201</v>
      </c>
      <c r="K183" s="264">
        <v>1</v>
      </c>
      <c r="L183" s="278" t="str">
        <f>'Програма-имена+кабинети'!F204</f>
        <v>Кирилова/Тодорова</v>
      </c>
      <c r="M183" s="279" t="str">
        <f>'Програма-имена+кабинети'!G204</f>
        <v>108/101-105</v>
      </c>
      <c r="N183" s="264">
        <v>1</v>
      </c>
      <c r="O183" s="278" t="str">
        <f>'Програма-имена+кабинети'!F258</f>
        <v>Петров ФВС</v>
      </c>
      <c r="P183" s="279" t="str">
        <f>'Програма-имена+кабинети'!G258</f>
        <v>ФС</v>
      </c>
    </row>
    <row r="184" spans="1:17" ht="20.95" customHeight="1">
      <c r="A184" s="432"/>
      <c r="B184" s="280">
        <v>2</v>
      </c>
      <c r="C184" s="296" t="str">
        <f>'Програма-имена+кабинети'!F40</f>
        <v>Киркова/К. Петрова</v>
      </c>
      <c r="D184" s="297" t="str">
        <f>'Програма-имена+кабинети'!G40</f>
        <v>КК7/КК1</v>
      </c>
      <c r="E184" s="264">
        <v>2</v>
      </c>
      <c r="F184" s="250" t="str">
        <f>'Програма-имена+кабинети'!F95</f>
        <v>Кръстева</v>
      </c>
      <c r="G184" s="252">
        <f>'Програма-имена+кабинети'!G95</f>
        <v>302</v>
      </c>
      <c r="H184" s="264">
        <v>2</v>
      </c>
      <c r="I184" s="250" t="str">
        <f>'Програма-имена+кабинети'!F150</f>
        <v>Вълчева</v>
      </c>
      <c r="J184" s="252">
        <f>'Програма-имена+кабинети'!G150</f>
        <v>201</v>
      </c>
      <c r="K184" s="264">
        <v>2</v>
      </c>
      <c r="L184" s="250" t="str">
        <f>'Програма-имена+кабинети'!F205</f>
        <v>Кирилова/Тодорова</v>
      </c>
      <c r="M184" s="252" t="str">
        <f>'Програма-имена+кабинети'!G205</f>
        <v>108/101-105</v>
      </c>
      <c r="N184" s="264">
        <v>2</v>
      </c>
      <c r="O184" s="250" t="str">
        <f>'Програма-имена+кабинети'!F259</f>
        <v>Славова</v>
      </c>
      <c r="P184" s="252">
        <f>'Програма-имена+кабинети'!G259</f>
        <v>114</v>
      </c>
    </row>
    <row r="185" spans="1:17" ht="20.95" customHeight="1">
      <c r="A185" s="432"/>
      <c r="B185" s="280">
        <v>3</v>
      </c>
      <c r="C185" s="296" t="str">
        <f>'Програма-имена+кабинети'!F41</f>
        <v>Влашинска</v>
      </c>
      <c r="D185" s="297" t="str">
        <f>'Програма-имена+кабинети'!G41</f>
        <v>212/214/215/217</v>
      </c>
      <c r="E185" s="264">
        <v>3</v>
      </c>
      <c r="F185" s="250" t="str">
        <f>'Програма-имена+кабинети'!F96</f>
        <v>Коларова</v>
      </c>
      <c r="G185" s="252" t="str">
        <f>'Програма-имена+кабинети'!G96</f>
        <v>212/214/215/217</v>
      </c>
      <c r="H185" s="264">
        <v>3</v>
      </c>
      <c r="I185" s="250" t="str">
        <f>'Програма-имена+кабинети'!F151</f>
        <v>Киркова/К. Петрова</v>
      </c>
      <c r="J185" s="252" t="str">
        <f>'Програма-имена+кабинети'!G151</f>
        <v>КК7/КК1</v>
      </c>
      <c r="K185" s="264">
        <v>3</v>
      </c>
      <c r="L185" s="250" t="str">
        <f>'Програма-имена+кабинети'!F206</f>
        <v>Киркова/К. Петрова</v>
      </c>
      <c r="M185" s="252" t="str">
        <f>'Програма-имена+кабинети'!G206</f>
        <v>КК7/КК1</v>
      </c>
      <c r="N185" s="264">
        <v>3</v>
      </c>
      <c r="O185" s="250" t="str">
        <f>'Програма-имена+кабинети'!F260</f>
        <v>Костова</v>
      </c>
      <c r="P185" s="252" t="str">
        <f>'Програма-имена+кабинети'!G260</f>
        <v>212/214/215/217</v>
      </c>
    </row>
    <row r="186" spans="1:17" s="263" customFormat="1" ht="20.95" customHeight="1">
      <c r="A186" s="432"/>
      <c r="B186" s="280">
        <v>4</v>
      </c>
      <c r="C186" s="296" t="str">
        <f>'Програма-имена+кабинети'!F42</f>
        <v>Киров</v>
      </c>
      <c r="D186" s="297" t="str">
        <f>'Програма-имена+кабинети'!G42</f>
        <v>109/110/111/114/102/302</v>
      </c>
      <c r="E186" s="264">
        <v>4</v>
      </c>
      <c r="F186" s="250" t="str">
        <f>'Програма-имена+кабинети'!F97</f>
        <v>В. Иванова</v>
      </c>
      <c r="G186" s="252">
        <f>'Програма-имена+кабинети'!G97</f>
        <v>109</v>
      </c>
      <c r="H186" s="264">
        <v>4</v>
      </c>
      <c r="I186" s="250" t="str">
        <f>'Програма-имена+кабинети'!F152</f>
        <v>Данева</v>
      </c>
      <c r="J186" s="252">
        <f>'Програма-имена+кабинети'!G152</f>
        <v>101</v>
      </c>
      <c r="K186" s="264">
        <v>4</v>
      </c>
      <c r="L186" s="250" t="str">
        <f>'Програма-имена+кабинети'!F207</f>
        <v>Коларова</v>
      </c>
      <c r="M186" s="252" t="str">
        <f>'Програма-имена+кабинети'!G207</f>
        <v>212/214/215/217</v>
      </c>
      <c r="N186" s="264">
        <v>4</v>
      </c>
      <c r="O186" s="250" t="str">
        <f>'Програма-имена+кабинети'!F261</f>
        <v>В. Иванова</v>
      </c>
      <c r="P186" s="252">
        <f>'Програма-имена+кабинети'!G261</f>
        <v>109</v>
      </c>
      <c r="Q186" s="262"/>
    </row>
    <row r="187" spans="1:17" ht="20.95" customHeight="1">
      <c r="A187" s="432"/>
      <c r="B187" s="280">
        <v>5</v>
      </c>
      <c r="C187" s="296" t="str">
        <f>'Програма-имена+кабинети'!F43</f>
        <v>Кръстева</v>
      </c>
      <c r="D187" s="297">
        <f>'Програма-имена+кабинети'!G43</f>
        <v>302</v>
      </c>
      <c r="E187" s="264">
        <v>5</v>
      </c>
      <c r="F187" s="250" t="str">
        <f>'Програма-имена+кабинети'!F98</f>
        <v>Славова</v>
      </c>
      <c r="G187" s="252">
        <f>'Програма-имена+кабинети'!G98</f>
        <v>114</v>
      </c>
      <c r="H187" s="264">
        <v>5</v>
      </c>
      <c r="I187" s="250" t="str">
        <f>'Програма-имена+кабинети'!F153</f>
        <v>Кръстева</v>
      </c>
      <c r="J187" s="252">
        <f>'Програма-имена+кабинети'!G153</f>
        <v>302</v>
      </c>
      <c r="K187" s="264">
        <v>5</v>
      </c>
      <c r="L187" s="250" t="str">
        <f>'Програма-имена+кабинети'!F208</f>
        <v>Костова</v>
      </c>
      <c r="M187" s="252" t="str">
        <f>'Програма-имена+кабинети'!G208</f>
        <v>212/214/215/217</v>
      </c>
      <c r="N187" s="264">
        <v>5</v>
      </c>
      <c r="O187" s="250" t="str">
        <f>'Програма-имена+кабинети'!F262</f>
        <v>Данева</v>
      </c>
      <c r="P187" s="252">
        <f>'Програма-имена+кабинети'!G262</f>
        <v>101</v>
      </c>
    </row>
    <row r="188" spans="1:17" ht="20.95" customHeight="1">
      <c r="A188" s="432"/>
      <c r="B188" s="280">
        <v>6</v>
      </c>
      <c r="C188" s="296" t="str">
        <f>'Програма-имена+кабинети'!F44</f>
        <v>Кръстева</v>
      </c>
      <c r="D188" s="297">
        <f>'Програма-имена+кабинети'!G44</f>
        <v>302</v>
      </c>
      <c r="E188" s="264">
        <v>6</v>
      </c>
      <c r="F188" s="250" t="str">
        <f>'Програма-имена+кабинети'!F99</f>
        <v>Данева</v>
      </c>
      <c r="G188" s="252">
        <f>'Програма-имена+кабинети'!G99</f>
        <v>101</v>
      </c>
      <c r="H188" s="264">
        <v>6</v>
      </c>
      <c r="I188" s="250" t="str">
        <f>'Програма-имена+кабинети'!F154</f>
        <v>Влашинска</v>
      </c>
      <c r="J188" s="252" t="str">
        <f>'Програма-имена+кабинети'!G154</f>
        <v>212/214/215/217</v>
      </c>
      <c r="K188" s="264">
        <v>6</v>
      </c>
      <c r="L188" s="250" t="str">
        <f>'Програма-имена+кабинети'!F209</f>
        <v>Кръстева</v>
      </c>
      <c r="M188" s="252">
        <f>'Програма-имена+кабинети'!G209</f>
        <v>302</v>
      </c>
      <c r="N188" s="264">
        <v>6</v>
      </c>
      <c r="O188" s="250" t="str">
        <f>'Програма-имена+кабинети'!F263</f>
        <v>Данева</v>
      </c>
      <c r="P188" s="252">
        <f>'Програма-имена+кабинети'!G263</f>
        <v>101</v>
      </c>
    </row>
    <row r="189" spans="1:17" ht="20.95" customHeight="1">
      <c r="A189" s="432"/>
      <c r="B189" s="281">
        <v>7</v>
      </c>
      <c r="C189" s="298" t="str">
        <f>'Програма-имена+кабинети'!F45</f>
        <v>Петров ФВС</v>
      </c>
      <c r="D189" s="299" t="str">
        <f>'Програма-имена+кабинети'!G45</f>
        <v>ФС</v>
      </c>
      <c r="E189" s="271">
        <v>7</v>
      </c>
      <c r="F189" s="251" t="str">
        <f>'Програма-имена+кабинети'!F100</f>
        <v>Данева</v>
      </c>
      <c r="G189" s="253">
        <f>'Програма-имена+кабинети'!G100</f>
        <v>101</v>
      </c>
      <c r="H189" s="271">
        <v>7</v>
      </c>
      <c r="I189" s="251" t="str">
        <f>'Програма-имена+кабинети'!F155</f>
        <v>Данева</v>
      </c>
      <c r="J189" s="253">
        <f>'Програма-имена+кабинети'!G155</f>
        <v>101</v>
      </c>
      <c r="K189" s="271">
        <v>7</v>
      </c>
      <c r="L189" s="251">
        <f>'Програма-имена+кабинети'!F210</f>
        <v>0</v>
      </c>
      <c r="M189" s="253" t="str">
        <f>'Програма-имена+кабинети'!G210</f>
        <v/>
      </c>
      <c r="N189" s="271">
        <v>7</v>
      </c>
      <c r="O189" s="251">
        <f>'Програма-имена+кабинети'!F264</f>
        <v>0</v>
      </c>
      <c r="P189" s="253" t="str">
        <f>'Програма-имена+кабинети'!G264</f>
        <v/>
      </c>
    </row>
    <row r="190" spans="1:17" ht="20.95" customHeight="1">
      <c r="Q190" s="263"/>
    </row>
    <row r="191" spans="1:17" ht="20.95" customHeight="1">
      <c r="A191" s="432" t="s">
        <v>46</v>
      </c>
      <c r="B191" s="255"/>
      <c r="C191" s="256" t="s">
        <v>24</v>
      </c>
      <c r="D191" s="257"/>
      <c r="E191" s="256"/>
      <c r="F191" s="256" t="s">
        <v>25</v>
      </c>
      <c r="G191" s="258" t="s">
        <v>209</v>
      </c>
      <c r="H191" s="261"/>
      <c r="I191" s="260" t="s">
        <v>26</v>
      </c>
      <c r="J191" s="258" t="s">
        <v>209</v>
      </c>
      <c r="K191" s="261"/>
      <c r="L191" s="261" t="s">
        <v>27</v>
      </c>
      <c r="M191" s="258" t="s">
        <v>209</v>
      </c>
      <c r="N191" s="261"/>
      <c r="O191" s="260" t="s">
        <v>28</v>
      </c>
      <c r="P191" s="300" t="s">
        <v>209</v>
      </c>
    </row>
    <row r="192" spans="1:17" ht="20.95" customHeight="1">
      <c r="A192" s="432"/>
      <c r="B192" s="280">
        <v>1</v>
      </c>
      <c r="C192" s="294" t="str">
        <f>'Програма-имена+кабинети'!H39</f>
        <v>Кирилова</v>
      </c>
      <c r="D192" s="295" t="str">
        <f>'Програма-имена+кабинети'!I39</f>
        <v>107/108</v>
      </c>
      <c r="E192" s="264">
        <v>1</v>
      </c>
      <c r="F192" s="278" t="str">
        <f>'Програма-имена+кабинети'!H94</f>
        <v>Вълчева</v>
      </c>
      <c r="G192" s="279">
        <f>'Програма-имена+кабинети'!I94</f>
        <v>201</v>
      </c>
      <c r="H192" s="264">
        <v>1</v>
      </c>
      <c r="I192" s="278" t="str">
        <f>'Програма-имена+кабинети'!H149</f>
        <v>Попова</v>
      </c>
      <c r="J192" s="279" t="str">
        <f>'Програма-имена+кабинети'!I149</f>
        <v>212/214/215/217</v>
      </c>
      <c r="K192" s="264">
        <v>1</v>
      </c>
      <c r="L192" s="278" t="str">
        <f>'Програма-имена+кабинети'!H204</f>
        <v>Петров ФВС</v>
      </c>
      <c r="M192" s="279" t="str">
        <f>'Програма-имена+кабинети'!I204</f>
        <v>ФС</v>
      </c>
      <c r="N192" s="264">
        <v>1</v>
      </c>
      <c r="O192" s="278" t="str">
        <f>'Програма-имена+кабинети'!H258</f>
        <v>Данева</v>
      </c>
      <c r="P192" s="279">
        <f>'Програма-имена+кабинети'!I258</f>
        <v>101</v>
      </c>
    </row>
    <row r="193" spans="1:17" ht="20.95" customHeight="1">
      <c r="A193" s="432"/>
      <c r="B193" s="280">
        <v>2</v>
      </c>
      <c r="C193" s="296" t="str">
        <f>'Програма-имена+кабинети'!H40</f>
        <v>Кирилова</v>
      </c>
      <c r="D193" s="297" t="str">
        <f>'Програма-имена+кабинети'!I40</f>
        <v>107/108</v>
      </c>
      <c r="E193" s="264">
        <v>2</v>
      </c>
      <c r="F193" s="250" t="str">
        <f>'Програма-имена+кабинети'!H95</f>
        <v>Киркова/К. Петрова</v>
      </c>
      <c r="G193" s="252" t="str">
        <f>'Програма-имена+кабинети'!I95</f>
        <v>КК7/КК1</v>
      </c>
      <c r="H193" s="264">
        <v>2</v>
      </c>
      <c r="I193" s="250" t="str">
        <f>'Програма-имена+кабинети'!H150</f>
        <v>Коларова</v>
      </c>
      <c r="J193" s="252" t="str">
        <f>'Програма-имена+кабинети'!I150</f>
        <v>212/214/215/217</v>
      </c>
      <c r="K193" s="264">
        <v>2</v>
      </c>
      <c r="L193" s="250" t="str">
        <f>'Програма-имена+кабинети'!H205</f>
        <v>Киркова/К. Петрова</v>
      </c>
      <c r="M193" s="252" t="str">
        <f>'Програма-имена+кабинети'!I205</f>
        <v>КК7/КК1</v>
      </c>
      <c r="N193" s="264">
        <v>2</v>
      </c>
      <c r="O193" s="250" t="str">
        <f>'Програма-имена+кабинети'!H259</f>
        <v>В. Иванова</v>
      </c>
      <c r="P193" s="252">
        <f>'Програма-имена+кабинети'!I259</f>
        <v>109</v>
      </c>
    </row>
    <row r="194" spans="1:17" s="263" customFormat="1" ht="20.95" customHeight="1">
      <c r="A194" s="432"/>
      <c r="B194" s="280">
        <v>3</v>
      </c>
      <c r="C194" s="296" t="str">
        <f>'Програма-имена+кабинети'!H41</f>
        <v>Костова</v>
      </c>
      <c r="D194" s="297" t="str">
        <f>'Програма-имена+кабинети'!I41</f>
        <v>212/214/215/217</v>
      </c>
      <c r="E194" s="264">
        <v>3</v>
      </c>
      <c r="F194" s="250" t="str">
        <f>'Програма-имена+кабинети'!H96</f>
        <v>Кирилова</v>
      </c>
      <c r="G194" s="252" t="str">
        <f>'Програма-имена+кабинети'!I96</f>
        <v>107/108</v>
      </c>
      <c r="H194" s="264">
        <v>3</v>
      </c>
      <c r="I194" s="250" t="str">
        <f>'Програма-имена+кабинети'!H151</f>
        <v>Петров ФВС</v>
      </c>
      <c r="J194" s="252" t="str">
        <f>'Програма-имена+кабинети'!I151</f>
        <v>ФС</v>
      </c>
      <c r="K194" s="264">
        <v>3</v>
      </c>
      <c r="L194" s="250" t="str">
        <f>'Програма-имена+кабинети'!H206</f>
        <v>Вълчева</v>
      </c>
      <c r="M194" s="252">
        <f>'Програма-имена+кабинети'!I206</f>
        <v>201</v>
      </c>
      <c r="N194" s="264">
        <v>3</v>
      </c>
      <c r="O194" s="250" t="str">
        <f>'Програма-имена+кабинети'!H260</f>
        <v>Коларова</v>
      </c>
      <c r="P194" s="252" t="str">
        <f>'Програма-имена+кабинети'!I260</f>
        <v>212/214/215/217</v>
      </c>
      <c r="Q194" s="262"/>
    </row>
    <row r="195" spans="1:17" ht="20.95" customHeight="1">
      <c r="A195" s="432"/>
      <c r="B195" s="280">
        <v>4</v>
      </c>
      <c r="C195" s="296" t="str">
        <f>'Програма-имена+кабинети'!H42</f>
        <v>Клисарова</v>
      </c>
      <c r="D195" s="297">
        <f>'Програма-имена+кабинети'!I42</f>
        <v>305</v>
      </c>
      <c r="E195" s="264">
        <v>4</v>
      </c>
      <c r="F195" s="250" t="str">
        <f>'Програма-имена+кабинети'!H97</f>
        <v>Данева</v>
      </c>
      <c r="G195" s="252">
        <f>'Програма-имена+кабинети'!I97</f>
        <v>101</v>
      </c>
      <c r="H195" s="264">
        <v>4</v>
      </c>
      <c r="I195" s="250" t="str">
        <f>'Програма-имена+кабинети'!H152</f>
        <v>Киркова/К. Петрова</v>
      </c>
      <c r="J195" s="252" t="str">
        <f>'Програма-имена+кабинети'!I152</f>
        <v>КК7/КК1</v>
      </c>
      <c r="K195" s="264">
        <v>4</v>
      </c>
      <c r="L195" s="250" t="str">
        <f>'Програма-имена+кабинети'!H207</f>
        <v>Вълчева</v>
      </c>
      <c r="M195" s="252">
        <f>'Програма-имена+кабинети'!I207</f>
        <v>201</v>
      </c>
      <c r="N195" s="264">
        <v>4</v>
      </c>
      <c r="O195" s="250" t="str">
        <f>'Програма-имена+кабинети'!H261</f>
        <v>Кирилова</v>
      </c>
      <c r="P195" s="252" t="str">
        <f>'Програма-имена+кабинети'!I261</f>
        <v>107/108</v>
      </c>
    </row>
    <row r="196" spans="1:17" ht="20.95" customHeight="1">
      <c r="A196" s="432"/>
      <c r="B196" s="280">
        <v>5</v>
      </c>
      <c r="C196" s="296" t="str">
        <f>'Програма-имена+кабинети'!H43</f>
        <v>Клисарова</v>
      </c>
      <c r="D196" s="297">
        <f>'Програма-имена+кабинети'!I43</f>
        <v>305</v>
      </c>
      <c r="E196" s="264">
        <v>5</v>
      </c>
      <c r="F196" s="250" t="str">
        <f>'Програма-имена+кабинети'!H98</f>
        <v>Данева</v>
      </c>
      <c r="G196" s="252">
        <f>'Програма-имена+кабинети'!I98</f>
        <v>101</v>
      </c>
      <c r="H196" s="264">
        <v>5</v>
      </c>
      <c r="I196" s="250" t="str">
        <f>'Програма-имена+кабинети'!H153</f>
        <v>Клисарова</v>
      </c>
      <c r="J196" s="252">
        <f>'Програма-имена+кабинети'!I153</f>
        <v>305</v>
      </c>
      <c r="K196" s="264">
        <v>5</v>
      </c>
      <c r="L196" s="250" t="str">
        <f>'Програма-имена+кабинети'!H208</f>
        <v>Данева</v>
      </c>
      <c r="M196" s="252">
        <f>'Програма-имена+кабинети'!I208</f>
        <v>101</v>
      </c>
      <c r="N196" s="264">
        <v>5</v>
      </c>
      <c r="O196" s="250" t="str">
        <f>'Програма-имена+кабинети'!H262</f>
        <v>Славова</v>
      </c>
      <c r="P196" s="252">
        <f>'Програма-имена+кабинети'!I262</f>
        <v>114</v>
      </c>
    </row>
    <row r="197" spans="1:17" ht="20.95" customHeight="1">
      <c r="A197" s="432"/>
      <c r="B197" s="280">
        <v>6</v>
      </c>
      <c r="C197" s="296" t="str">
        <f>'Програма-имена+кабинети'!H44</f>
        <v>Киров</v>
      </c>
      <c r="D197" s="297" t="str">
        <f>'Програма-имена+кабинети'!I44</f>
        <v>109/110/111/114/102/302</v>
      </c>
      <c r="E197" s="264">
        <v>6</v>
      </c>
      <c r="F197" s="250" t="str">
        <f>'Програма-имена+кабинети'!H99</f>
        <v>В. Иванова</v>
      </c>
      <c r="G197" s="252">
        <f>'Програма-имена+кабинети'!I99</f>
        <v>109</v>
      </c>
      <c r="H197" s="264">
        <v>6</v>
      </c>
      <c r="I197" s="250" t="str">
        <f>'Програма-имена+кабинети'!H154</f>
        <v>Данева</v>
      </c>
      <c r="J197" s="252">
        <f>'Програма-имена+кабинети'!I154</f>
        <v>101</v>
      </c>
      <c r="K197" s="264">
        <v>6</v>
      </c>
      <c r="L197" s="250" t="str">
        <f>'Програма-имена+кабинети'!H209</f>
        <v>Костова</v>
      </c>
      <c r="M197" s="252" t="str">
        <f>'Програма-имена+кабинети'!I209</f>
        <v>212/214/215/217</v>
      </c>
      <c r="N197" s="264">
        <v>6</v>
      </c>
      <c r="O197" s="250" t="str">
        <f>'Програма-имена+кабинети'!H263</f>
        <v>Клисарова</v>
      </c>
      <c r="P197" s="252">
        <f>'Програма-имена+кабинети'!I263</f>
        <v>305</v>
      </c>
    </row>
    <row r="198" spans="1:17" ht="20.95" customHeight="1">
      <c r="A198" s="432"/>
      <c r="B198" s="281">
        <v>7</v>
      </c>
      <c r="C198" s="298" t="str">
        <f>'Програма-имена+кабинети'!H45</f>
        <v>Попова</v>
      </c>
      <c r="D198" s="299" t="str">
        <f>'Програма-имена+кабинети'!I45</f>
        <v>212/214/215/217</v>
      </c>
      <c r="E198" s="271">
        <v>7</v>
      </c>
      <c r="F198" s="251" t="str">
        <f>'Програма-имена+кабинети'!H100</f>
        <v>Славова</v>
      </c>
      <c r="G198" s="253">
        <f>'Програма-имена+кабинети'!I100</f>
        <v>114</v>
      </c>
      <c r="H198" s="271">
        <v>7</v>
      </c>
      <c r="I198" s="251" t="str">
        <f>'Програма-имена+кабинети'!H155</f>
        <v>Попова</v>
      </c>
      <c r="J198" s="253" t="str">
        <f>'Програма-имена+кабинети'!I155</f>
        <v>212/214/215/217</v>
      </c>
      <c r="K198" s="271">
        <v>7</v>
      </c>
      <c r="L198" s="251">
        <f>'Програма-имена+кабинети'!H210</f>
        <v>0</v>
      </c>
      <c r="M198" s="253" t="str">
        <f>'Програма-имена+кабинети'!I210</f>
        <v/>
      </c>
      <c r="N198" s="271">
        <v>7</v>
      </c>
      <c r="O198" s="251">
        <f>'Програма-имена+кабинети'!H264</f>
        <v>0</v>
      </c>
      <c r="P198" s="253" t="str">
        <f>'Програма-имена+кабинети'!I264</f>
        <v/>
      </c>
      <c r="Q198" s="292"/>
    </row>
    <row r="199" spans="1:17" ht="20.95" customHeight="1">
      <c r="Q199" s="263"/>
    </row>
    <row r="200" spans="1:17" ht="20.95" customHeight="1">
      <c r="A200" s="432" t="s">
        <v>18</v>
      </c>
      <c r="B200" s="255"/>
      <c r="C200" s="256" t="s">
        <v>24</v>
      </c>
      <c r="D200" s="257"/>
      <c r="E200" s="256"/>
      <c r="F200" s="256" t="s">
        <v>25</v>
      </c>
      <c r="G200" s="258" t="s">
        <v>209</v>
      </c>
      <c r="H200" s="261"/>
      <c r="I200" s="260" t="s">
        <v>26</v>
      </c>
      <c r="J200" s="258" t="s">
        <v>209</v>
      </c>
      <c r="K200" s="261"/>
      <c r="L200" s="261" t="s">
        <v>27</v>
      </c>
      <c r="M200" s="258" t="s">
        <v>209</v>
      </c>
      <c r="N200" s="261"/>
      <c r="O200" s="260" t="s">
        <v>28</v>
      </c>
      <c r="P200" s="300" t="s">
        <v>209</v>
      </c>
    </row>
    <row r="201" spans="1:17" ht="20.95" customHeight="1">
      <c r="A201" s="432"/>
      <c r="B201" s="280">
        <v>1</v>
      </c>
      <c r="C201" s="278" t="str">
        <f>'Програма-имена+кабинети'!J39</f>
        <v>Коларова</v>
      </c>
      <c r="D201" s="279" t="str">
        <f>'Програма-имена+кабинети'!K39</f>
        <v>212/214/215/217</v>
      </c>
      <c r="E201" s="264">
        <v>1</v>
      </c>
      <c r="F201" s="278" t="str">
        <f>'Програма-имена+кабинети'!J94</f>
        <v>Петров ФВС</v>
      </c>
      <c r="G201" s="279" t="str">
        <f>'Програма-имена+кабинети'!K94</f>
        <v>ФС</v>
      </c>
      <c r="H201" s="264">
        <v>1</v>
      </c>
      <c r="I201" s="278" t="str">
        <f>'Програма-имена+кабинети'!J149</f>
        <v>Костова</v>
      </c>
      <c r="J201" s="279" t="str">
        <f>'Програма-имена+кабинети'!K149</f>
        <v>212/214/215/217</v>
      </c>
      <c r="K201" s="264">
        <v>1</v>
      </c>
      <c r="L201" s="278" t="str">
        <f>'Програма-имена+кабинети'!J204</f>
        <v>Коларова</v>
      </c>
      <c r="M201" s="279" t="str">
        <f>'Програма-имена+кабинети'!K204</f>
        <v>212/214/215/217</v>
      </c>
      <c r="N201" s="264">
        <v>1</v>
      </c>
      <c r="O201" s="278" t="str">
        <f>'Програма-имена+кабинети'!J258</f>
        <v>Славова</v>
      </c>
      <c r="P201" s="279">
        <f>'Програма-имена+кабинети'!K258</f>
        <v>114</v>
      </c>
    </row>
    <row r="202" spans="1:17" s="263" customFormat="1" ht="20.95" customHeight="1">
      <c r="A202" s="432"/>
      <c r="B202" s="280">
        <v>2</v>
      </c>
      <c r="C202" s="250" t="str">
        <f>'Програма-имена+кабинети'!J40</f>
        <v>Вълчева</v>
      </c>
      <c r="D202" s="252">
        <f>'Програма-имена+кабинети'!K40</f>
        <v>201</v>
      </c>
      <c r="E202" s="264">
        <v>2</v>
      </c>
      <c r="F202" s="250" t="str">
        <f>'Програма-имена+кабинети'!J95</f>
        <v>Славова</v>
      </c>
      <c r="G202" s="252">
        <f>'Програма-имена+кабинети'!K95</f>
        <v>114</v>
      </c>
      <c r="H202" s="264">
        <v>2</v>
      </c>
      <c r="I202" s="250" t="str">
        <f>'Програма-имена+кабинети'!J150</f>
        <v>Костова</v>
      </c>
      <c r="J202" s="252" t="str">
        <f>'Програма-имена+кабинети'!K150</f>
        <v>212/214/215/217</v>
      </c>
      <c r="K202" s="264">
        <v>2</v>
      </c>
      <c r="L202" s="250" t="str">
        <f>'Програма-имена+кабинети'!J205</f>
        <v>Коларова</v>
      </c>
      <c r="M202" s="252" t="str">
        <f>'Програма-имена+кабинети'!K205</f>
        <v>212/214/215/217</v>
      </c>
      <c r="N202" s="264">
        <v>2</v>
      </c>
      <c r="O202" s="250" t="str">
        <f>'Програма-имена+кабинети'!J259</f>
        <v>Костова</v>
      </c>
      <c r="P202" s="252" t="str">
        <f>'Програма-имена+кабинети'!K259</f>
        <v>212/214/215/217</v>
      </c>
      <c r="Q202" s="262"/>
    </row>
    <row r="203" spans="1:17" ht="20.95" customHeight="1">
      <c r="A203" s="432"/>
      <c r="B203" s="280">
        <v>3</v>
      </c>
      <c r="C203" s="250" t="str">
        <f>'Програма-имена+кабинети'!J41</f>
        <v>Киров</v>
      </c>
      <c r="D203" s="252" t="str">
        <f>'Програма-имена+кабинети'!K41</f>
        <v>109/110/111/114/102/302</v>
      </c>
      <c r="E203" s="264">
        <v>3</v>
      </c>
      <c r="F203" s="250" t="str">
        <f>'Програма-имена+кабинети'!J96</f>
        <v>В. Иванова</v>
      </c>
      <c r="G203" s="252">
        <f>'Програма-имена+кабинети'!K96</f>
        <v>109</v>
      </c>
      <c r="H203" s="264">
        <v>3</v>
      </c>
      <c r="I203" s="250" t="str">
        <f>'Програма-имена+кабинети'!J151</f>
        <v>Данева</v>
      </c>
      <c r="J203" s="252">
        <f>'Програма-имена+кабинети'!K151</f>
        <v>101</v>
      </c>
      <c r="K203" s="264">
        <v>3</v>
      </c>
      <c r="L203" s="250" t="str">
        <f>'Програма-имена+кабинети'!J206</f>
        <v>Кирилова/Тодорова</v>
      </c>
      <c r="M203" s="252" t="str">
        <f>'Програма-имена+кабинети'!K206</f>
        <v>108/101-105</v>
      </c>
      <c r="N203" s="264">
        <v>3</v>
      </c>
      <c r="O203" s="250" t="str">
        <f>'Програма-имена+кабинети'!J260</f>
        <v>Клисарова</v>
      </c>
      <c r="P203" s="252">
        <f>'Програма-имена+кабинети'!K260</f>
        <v>305</v>
      </c>
    </row>
    <row r="204" spans="1:17" ht="20.95" customHeight="1">
      <c r="A204" s="432"/>
      <c r="B204" s="280">
        <v>4</v>
      </c>
      <c r="C204" s="250" t="str">
        <f>'Програма-имена+кабинети'!J42</f>
        <v>Попова</v>
      </c>
      <c r="D204" s="252" t="str">
        <f>'Програма-имена+кабинети'!K42</f>
        <v>212/214/215/217</v>
      </c>
      <c r="E204" s="264">
        <v>4</v>
      </c>
      <c r="F204" s="250" t="str">
        <f>'Програма-имена+кабинети'!J97</f>
        <v>Костова</v>
      </c>
      <c r="G204" s="252" t="str">
        <f>'Програма-имена+кабинети'!K97</f>
        <v>212/214/215/217</v>
      </c>
      <c r="H204" s="264">
        <v>4</v>
      </c>
      <c r="I204" s="250" t="str">
        <f>'Програма-имена+кабинети'!J152</f>
        <v>Попова</v>
      </c>
      <c r="J204" s="252" t="str">
        <f>'Програма-имена+кабинети'!K152</f>
        <v>212/214/215/217</v>
      </c>
      <c r="K204" s="264">
        <v>4</v>
      </c>
      <c r="L204" s="250" t="str">
        <f>'Програма-имена+кабинети'!J207</f>
        <v>Кирилова/Тодорова</v>
      </c>
      <c r="M204" s="252" t="str">
        <f>'Програма-имена+кабинети'!K207</f>
        <v>108/101-105</v>
      </c>
      <c r="N204" s="264">
        <v>4</v>
      </c>
      <c r="O204" s="250" t="str">
        <f>'Програма-имена+кабинети'!J261</f>
        <v>Данева</v>
      </c>
      <c r="P204" s="252">
        <f>'Програма-имена+кабинети'!K261</f>
        <v>101</v>
      </c>
    </row>
    <row r="205" spans="1:17" ht="20.95" customHeight="1">
      <c r="A205" s="432"/>
      <c r="B205" s="280">
        <v>5</v>
      </c>
      <c r="C205" s="250" t="str">
        <f>'Програма-имена+кабинети'!J43</f>
        <v>Костова</v>
      </c>
      <c r="D205" s="252" t="str">
        <f>'Програма-имена+кабинети'!K43</f>
        <v>212/214/215/217</v>
      </c>
      <c r="E205" s="264">
        <v>5</v>
      </c>
      <c r="F205" s="250" t="str">
        <f>'Програма-имена+кабинети'!J98</f>
        <v>Костова</v>
      </c>
      <c r="G205" s="252" t="str">
        <f>'Програма-имена+кабинети'!K98</f>
        <v>212/214/215/217</v>
      </c>
      <c r="H205" s="264">
        <v>5</v>
      </c>
      <c r="I205" s="250" t="str">
        <f>'Програма-имена+кабинети'!J153</f>
        <v>Вълчева</v>
      </c>
      <c r="J205" s="252">
        <f>'Програма-имена+кабинети'!K153</f>
        <v>201</v>
      </c>
      <c r="K205" s="264">
        <v>5</v>
      </c>
      <c r="L205" s="250" t="str">
        <f>'Програма-имена+кабинети'!J208</f>
        <v>Петров ФВС</v>
      </c>
      <c r="M205" s="252" t="str">
        <f>'Програма-имена+кабинети'!K208</f>
        <v>ФС</v>
      </c>
      <c r="N205" s="264">
        <v>5</v>
      </c>
      <c r="O205" s="250" t="str">
        <f>'Програма-имена+кабинети'!J262</f>
        <v>В. Иванова</v>
      </c>
      <c r="P205" s="252">
        <f>'Програма-имена+кабинети'!K262</f>
        <v>109</v>
      </c>
    </row>
    <row r="206" spans="1:17" ht="20.95" customHeight="1">
      <c r="A206" s="432"/>
      <c r="B206" s="280">
        <v>6</v>
      </c>
      <c r="C206" s="250" t="str">
        <f>'Програма-имена+кабинети'!J44</f>
        <v>Данева</v>
      </c>
      <c r="D206" s="252">
        <f>'Програма-имена+кабинети'!K44</f>
        <v>101</v>
      </c>
      <c r="E206" s="264">
        <v>6</v>
      </c>
      <c r="F206" s="250" t="str">
        <f>'Програма-имена+кабинети'!J99</f>
        <v>Коларова</v>
      </c>
      <c r="G206" s="252" t="str">
        <f>'Програма-имена+кабинети'!K99</f>
        <v>212/214/215/217</v>
      </c>
      <c r="H206" s="264">
        <v>6</v>
      </c>
      <c r="I206" s="250" t="str">
        <f>'Програма-имена+кабинети'!J154</f>
        <v>Вълчева</v>
      </c>
      <c r="J206" s="252">
        <f>'Програма-имена+кабинети'!K154</f>
        <v>201</v>
      </c>
      <c r="K206" s="264">
        <v>6</v>
      </c>
      <c r="L206" s="250" t="str">
        <f>'Програма-имена+кабинети'!J209</f>
        <v>Данева</v>
      </c>
      <c r="M206" s="252">
        <f>'Програма-имена+кабинети'!K209</f>
        <v>101</v>
      </c>
      <c r="N206" s="264">
        <v>6</v>
      </c>
      <c r="O206" s="250" t="str">
        <f>'Програма-имена+кабинети'!J263</f>
        <v>Коларова</v>
      </c>
      <c r="P206" s="252" t="str">
        <f>'Програма-имена+кабинети'!K263</f>
        <v>212/214/215/217</v>
      </c>
    </row>
    <row r="207" spans="1:17" ht="20.95" customHeight="1">
      <c r="A207" s="432"/>
      <c r="B207" s="281">
        <v>7</v>
      </c>
      <c r="C207" s="251" t="str">
        <f>'Програма-имена+кабинети'!J45</f>
        <v>Данева</v>
      </c>
      <c r="D207" s="253">
        <f>'Програма-имена+кабинети'!K45</f>
        <v>101</v>
      </c>
      <c r="E207" s="271">
        <v>7</v>
      </c>
      <c r="F207" s="251" t="str">
        <f>'Програма-имена+кабинети'!J100</f>
        <v>Клисарова</v>
      </c>
      <c r="G207" s="253">
        <f>'Програма-имена+кабинети'!K100</f>
        <v>305</v>
      </c>
      <c r="H207" s="271">
        <v>7</v>
      </c>
      <c r="I207" s="251" t="str">
        <f>'Програма-имена+кабинети'!J155</f>
        <v>Костова</v>
      </c>
      <c r="J207" s="253" t="str">
        <f>'Програма-имена+кабинети'!K155</f>
        <v>212/214/215/217</v>
      </c>
      <c r="K207" s="271">
        <v>7</v>
      </c>
      <c r="L207" s="251">
        <f>'Програма-имена+кабинети'!J210</f>
        <v>0</v>
      </c>
      <c r="M207" s="253" t="str">
        <f>'Програма-имена+кабинети'!K210</f>
        <v/>
      </c>
      <c r="N207" s="271">
        <v>7</v>
      </c>
      <c r="O207" s="251">
        <f>'Програма-имена+кабинети'!J264</f>
        <v>0</v>
      </c>
      <c r="P207" s="253" t="str">
        <f>'Програма-имена+кабинети'!K264</f>
        <v/>
      </c>
    </row>
    <row r="209" spans="1:17" ht="20.95" customHeight="1">
      <c r="A209" s="432" t="s">
        <v>48</v>
      </c>
      <c r="B209" s="255"/>
      <c r="C209" s="256" t="s">
        <v>24</v>
      </c>
      <c r="D209" s="257"/>
      <c r="E209" s="256"/>
      <c r="F209" s="256" t="s">
        <v>25</v>
      </c>
      <c r="G209" s="258" t="s">
        <v>209</v>
      </c>
      <c r="H209" s="259"/>
      <c r="I209" s="260" t="s">
        <v>26</v>
      </c>
      <c r="J209" s="258" t="s">
        <v>209</v>
      </c>
      <c r="K209" s="261"/>
      <c r="L209" s="261" t="s">
        <v>27</v>
      </c>
      <c r="M209" s="258" t="s">
        <v>209</v>
      </c>
      <c r="N209" s="261"/>
      <c r="O209" s="260" t="s">
        <v>28</v>
      </c>
      <c r="P209" s="300" t="s">
        <v>209</v>
      </c>
    </row>
    <row r="210" spans="1:17" ht="20.95" customHeight="1">
      <c r="A210" s="432"/>
      <c r="B210" s="280">
        <v>1</v>
      </c>
      <c r="C210" s="278" t="str">
        <f>'Програма-имена+кабинети'!B48</f>
        <v>Н. Николова</v>
      </c>
      <c r="D210" s="279">
        <f>'Програма-имена+кабинети'!C48</f>
        <v>202</v>
      </c>
      <c r="E210" s="264">
        <v>1</v>
      </c>
      <c r="F210" s="278" t="str">
        <f>'Програма-имена+кабинети'!B103</f>
        <v>Христонова/Цветков</v>
      </c>
      <c r="G210" s="279" t="str">
        <f>'Програма-имена+кабинети'!C103</f>
        <v>КК4/КК6</v>
      </c>
      <c r="H210" s="280">
        <v>1</v>
      </c>
      <c r="I210" s="265" t="str">
        <f>'Програма-имена+кабинети'!B158</f>
        <v>Батимов</v>
      </c>
      <c r="J210" s="266">
        <f>'Програма-имена+кабинети'!C158</f>
        <v>303</v>
      </c>
      <c r="K210" s="264">
        <v>1</v>
      </c>
      <c r="L210" s="278" t="str">
        <f>'Програма-имена+кабинети'!B213</f>
        <v>Н. Николова</v>
      </c>
      <c r="M210" s="279">
        <f>'Програма-имена+кабинети'!C213</f>
        <v>202</v>
      </c>
      <c r="N210" s="264">
        <v>1</v>
      </c>
      <c r="O210" s="278" t="str">
        <f>'Програма-имена+кабинети'!B267</f>
        <v>Батимов</v>
      </c>
      <c r="P210" s="279">
        <f>'Програма-имена+кабинети'!C267</f>
        <v>303</v>
      </c>
    </row>
    <row r="211" spans="1:17" ht="20.95" customHeight="1">
      <c r="A211" s="432"/>
      <c r="B211" s="280">
        <v>2</v>
      </c>
      <c r="C211" s="250" t="str">
        <f>'Програма-имена+кабинети'!B49</f>
        <v>Н. Николова</v>
      </c>
      <c r="D211" s="252">
        <f>'Програма-имена+кабинети'!C49</f>
        <v>202</v>
      </c>
      <c r="E211" s="264">
        <v>2</v>
      </c>
      <c r="F211" s="250" t="str">
        <f>'Програма-имена+кабинети'!B104</f>
        <v>Батимов</v>
      </c>
      <c r="G211" s="252">
        <f>'Програма-имена+кабинети'!C104</f>
        <v>303</v>
      </c>
      <c r="H211" s="280">
        <v>2</v>
      </c>
      <c r="I211" s="269" t="str">
        <f>'Програма-имена+кабинети'!B159</f>
        <v>Батимов</v>
      </c>
      <c r="J211" s="270">
        <f>'Програма-имена+кабинети'!C159</f>
        <v>303</v>
      </c>
      <c r="K211" s="264">
        <v>2</v>
      </c>
      <c r="L211" s="250" t="str">
        <f>'Програма-имена+кабинети'!B214</f>
        <v>Христонова/Цветков</v>
      </c>
      <c r="M211" s="252" t="str">
        <f>'Програма-имена+кабинети'!C214</f>
        <v>КК4/КК6</v>
      </c>
      <c r="N211" s="264">
        <v>2</v>
      </c>
      <c r="O211" s="250" t="str">
        <f>'Програма-имена+кабинети'!B268</f>
        <v>Конгалов</v>
      </c>
      <c r="P211" s="252" t="str">
        <f>'Програма-имена+кабинети'!C268</f>
        <v>ФС</v>
      </c>
    </row>
    <row r="212" spans="1:17" ht="20.95" customHeight="1">
      <c r="A212" s="432"/>
      <c r="B212" s="280">
        <v>3</v>
      </c>
      <c r="C212" s="250" t="str">
        <f>'Програма-имена+кабинети'!B50</f>
        <v>Чанкова</v>
      </c>
      <c r="D212" s="252">
        <f>'Програма-имена+кабинети'!C50</f>
        <v>105</v>
      </c>
      <c r="E212" s="264">
        <v>3</v>
      </c>
      <c r="F212" s="250" t="str">
        <f>'Програма-имена+кабинети'!B105</f>
        <v>Батимов</v>
      </c>
      <c r="G212" s="252">
        <f>'Програма-имена+кабинети'!C105</f>
        <v>303</v>
      </c>
      <c r="H212" s="280">
        <v>3</v>
      </c>
      <c r="I212" s="269" t="str">
        <f>'Програма-имена+кабинети'!B160</f>
        <v>В. Иванова</v>
      </c>
      <c r="J212" s="270">
        <f>'Програма-имена+кабинети'!C160</f>
        <v>109</v>
      </c>
      <c r="K212" s="264">
        <v>3</v>
      </c>
      <c r="L212" s="250" t="str">
        <f>'Програма-имена+кабинети'!B215</f>
        <v>Батимов</v>
      </c>
      <c r="M212" s="252">
        <f>'Програма-имена+кабинети'!C215</f>
        <v>303</v>
      </c>
      <c r="N212" s="264">
        <v>3</v>
      </c>
      <c r="O212" s="250" t="str">
        <f>'Програма-имена+кабинети'!B269</f>
        <v>Даскалова/Тодорова</v>
      </c>
      <c r="P212" s="252" t="str">
        <f>'Програма-имена+кабинети'!C269</f>
        <v>107-108/101-105</v>
      </c>
    </row>
    <row r="213" spans="1:17" ht="20.95" customHeight="1">
      <c r="A213" s="432"/>
      <c r="B213" s="280">
        <v>4</v>
      </c>
      <c r="C213" s="250" t="str">
        <f>'Програма-имена+кабинети'!B51</f>
        <v>Христонова/Цветков</v>
      </c>
      <c r="D213" s="252" t="str">
        <f>'Програма-имена+кабинети'!C51</f>
        <v>КК4/КК6</v>
      </c>
      <c r="E213" s="264">
        <v>4</v>
      </c>
      <c r="F213" s="250" t="str">
        <f>'Програма-имена+кабинети'!B106</f>
        <v>Попова</v>
      </c>
      <c r="G213" s="252" t="str">
        <f>'Програма-имена+кабинети'!C106</f>
        <v>212/214/215/217</v>
      </c>
      <c r="H213" s="280">
        <v>4</v>
      </c>
      <c r="I213" s="269" t="str">
        <f>'Програма-имена+кабинети'!B161</f>
        <v>Н. Николова</v>
      </c>
      <c r="J213" s="270">
        <f>'Програма-имена+кабинети'!C161</f>
        <v>202</v>
      </c>
      <c r="K213" s="264">
        <v>4</v>
      </c>
      <c r="L213" s="250" t="str">
        <f>'Програма-имена+кабинети'!B216</f>
        <v>Батимов</v>
      </c>
      <c r="M213" s="252">
        <f>'Програма-имена+кабинети'!C216</f>
        <v>303</v>
      </c>
      <c r="N213" s="264">
        <v>4</v>
      </c>
      <c r="O213" s="250" t="str">
        <f>'Програма-имена+кабинети'!B270</f>
        <v>Даскалова/Тодорова</v>
      </c>
      <c r="P213" s="252" t="str">
        <f>'Програма-имена+кабинети'!C270</f>
        <v>107-108/101-105</v>
      </c>
    </row>
    <row r="214" spans="1:17" ht="20.95" customHeight="1">
      <c r="A214" s="432"/>
      <c r="B214" s="280">
        <v>5</v>
      </c>
      <c r="C214" s="250" t="str">
        <f>'Програма-имена+кабинети'!B52</f>
        <v>Славова</v>
      </c>
      <c r="D214" s="252">
        <f>'Програма-имена+кабинети'!C52</f>
        <v>114</v>
      </c>
      <c r="E214" s="264">
        <v>5</v>
      </c>
      <c r="F214" s="250" t="str">
        <f>'Програма-имена+кабинети'!B107</f>
        <v>Конгалов</v>
      </c>
      <c r="G214" s="252" t="str">
        <f>'Програма-имена+кабинети'!C107</f>
        <v>ФС</v>
      </c>
      <c r="H214" s="280">
        <v>5</v>
      </c>
      <c r="I214" s="269" t="str">
        <f>'Програма-имена+кабинети'!B162</f>
        <v>Славова</v>
      </c>
      <c r="J214" s="270">
        <f>'Програма-имена+кабинети'!C162</f>
        <v>114</v>
      </c>
      <c r="K214" s="264">
        <v>5</v>
      </c>
      <c r="L214" s="250" t="str">
        <f>'Програма-имена+кабинети'!B217</f>
        <v>Чанкова</v>
      </c>
      <c r="M214" s="252">
        <f>'Програма-имена+кабинети'!C217</f>
        <v>105</v>
      </c>
      <c r="N214" s="264">
        <v>5</v>
      </c>
      <c r="O214" s="250" t="str">
        <f>'Програма-имена+кабинети'!B271</f>
        <v>Чанкова</v>
      </c>
      <c r="P214" s="252">
        <f>'Програма-имена+кабинети'!C271</f>
        <v>105</v>
      </c>
    </row>
    <row r="215" spans="1:17" ht="20.95" customHeight="1">
      <c r="A215" s="432"/>
      <c r="B215" s="280">
        <v>6</v>
      </c>
      <c r="C215" s="250" t="str">
        <f>'Програма-имена+кабинети'!B53</f>
        <v>В. Иванова</v>
      </c>
      <c r="D215" s="252">
        <f>'Програма-имена+кабинети'!C53</f>
        <v>109</v>
      </c>
      <c r="E215" s="264">
        <v>6</v>
      </c>
      <c r="F215" s="250" t="str">
        <f>'Програма-имена+кабинети'!B108</f>
        <v>Чанкова</v>
      </c>
      <c r="G215" s="252">
        <f>'Програма-имена+кабинети'!C108</f>
        <v>105</v>
      </c>
      <c r="H215" s="280">
        <v>6</v>
      </c>
      <c r="I215" s="269" t="str">
        <f>'Програма-имена+кабинети'!B163</f>
        <v>Христонова/Цветков</v>
      </c>
      <c r="J215" s="270" t="str">
        <f>'Програма-имена+кабинети'!C163</f>
        <v>КК4/КК6</v>
      </c>
      <c r="K215" s="264">
        <v>6</v>
      </c>
      <c r="L215" s="250" t="str">
        <f>'Програма-имена+кабинети'!B218</f>
        <v>Чанкова</v>
      </c>
      <c r="M215" s="252">
        <f>'Програма-имена+кабинети'!C218</f>
        <v>105</v>
      </c>
      <c r="N215" s="264">
        <v>6</v>
      </c>
      <c r="O215" s="250" t="str">
        <f>'Програма-имена+кабинети'!B272</f>
        <v>Христонова/Цветков</v>
      </c>
      <c r="P215" s="252" t="str">
        <f>'Програма-имена+кабинети'!C272</f>
        <v>КК4/КК6</v>
      </c>
      <c r="Q215" s="263"/>
    </row>
    <row r="216" spans="1:17" ht="20.95" customHeight="1">
      <c r="A216" s="432"/>
      <c r="B216" s="281">
        <v>7</v>
      </c>
      <c r="C216" s="251" t="str">
        <f>'Програма-имена+кабинети'!B54</f>
        <v>Батимов</v>
      </c>
      <c r="D216" s="253">
        <f>'Програма-имена+кабинети'!C54</f>
        <v>303</v>
      </c>
      <c r="E216" s="271">
        <v>7</v>
      </c>
      <c r="F216" s="251" t="str">
        <f>'Програма-имена+кабинети'!B109</f>
        <v>Киров</v>
      </c>
      <c r="G216" s="253" t="str">
        <f>'Програма-имена+кабинети'!C109</f>
        <v>109/110/111/114/102/302</v>
      </c>
      <c r="H216" s="281">
        <v>7</v>
      </c>
      <c r="I216" s="272" t="str">
        <f>'Програма-имена+кабинети'!B164</f>
        <v>Тодорова</v>
      </c>
      <c r="J216" s="273" t="str">
        <f>'Програма-имена+кабинети'!C164</f>
        <v>107/108/206/301/302/305</v>
      </c>
      <c r="K216" s="271">
        <v>7</v>
      </c>
      <c r="L216" s="251">
        <f>'Програма-имена+кабинети'!B219</f>
        <v>0</v>
      </c>
      <c r="M216" s="253" t="str">
        <f>'Програма-имена+кабинети'!C219</f>
        <v/>
      </c>
      <c r="N216" s="271">
        <v>7</v>
      </c>
      <c r="O216" s="251">
        <f>'Програма-имена+кабинети'!B273</f>
        <v>0</v>
      </c>
      <c r="P216" s="253" t="str">
        <f>'Програма-имена+кабинети'!C273</f>
        <v/>
      </c>
    </row>
    <row r="218" spans="1:17" ht="20.95" customHeight="1">
      <c r="A218" s="432" t="s">
        <v>49</v>
      </c>
      <c r="B218" s="255"/>
      <c r="C218" s="256" t="s">
        <v>24</v>
      </c>
      <c r="D218" s="257"/>
      <c r="E218" s="256"/>
      <c r="F218" s="256" t="s">
        <v>25</v>
      </c>
      <c r="G218" s="258" t="s">
        <v>209</v>
      </c>
      <c r="H218" s="261"/>
      <c r="I218" s="260" t="s">
        <v>26</v>
      </c>
      <c r="J218" s="258" t="s">
        <v>209</v>
      </c>
      <c r="K218" s="261"/>
      <c r="L218" s="261" t="s">
        <v>27</v>
      </c>
      <c r="M218" s="258" t="s">
        <v>209</v>
      </c>
      <c r="N218" s="261"/>
      <c r="O218" s="260" t="s">
        <v>28</v>
      </c>
      <c r="P218" s="300" t="s">
        <v>209</v>
      </c>
    </row>
    <row r="219" spans="1:17" ht="20.95" customHeight="1">
      <c r="A219" s="432"/>
      <c r="B219" s="280">
        <v>1</v>
      </c>
      <c r="C219" s="278" t="str">
        <f>'Програма-имена+кабинети'!D48</f>
        <v>Гочева</v>
      </c>
      <c r="D219" s="279">
        <f>'Програма-имена+кабинети'!E48</f>
        <v>301</v>
      </c>
      <c r="E219" s="264">
        <v>1</v>
      </c>
      <c r="F219" s="278" t="str">
        <f>'Програма-имена+кабинети'!D103</f>
        <v>Конгалов</v>
      </c>
      <c r="G219" s="279" t="str">
        <f>'Програма-имена+кабинети'!E103</f>
        <v>ФС</v>
      </c>
      <c r="H219" s="264">
        <v>1</v>
      </c>
      <c r="I219" s="278" t="str">
        <f>'Програма-имена+кабинети'!D158</f>
        <v>Н. Николова</v>
      </c>
      <c r="J219" s="279">
        <f>'Програма-имена+кабинети'!E158</f>
        <v>202</v>
      </c>
      <c r="K219" s="264">
        <v>1</v>
      </c>
      <c r="L219" s="278" t="str">
        <f>'Програма-имена+кабинети'!D213</f>
        <v>Христонова/Цветков</v>
      </c>
      <c r="M219" s="279" t="str">
        <f>'Програма-имена+кабинети'!E213</f>
        <v>КК4/КК6</v>
      </c>
      <c r="N219" s="264">
        <v>1</v>
      </c>
      <c r="O219" s="278" t="str">
        <f>'Програма-имена+кабинети'!D267</f>
        <v>Гочева</v>
      </c>
      <c r="P219" s="279">
        <f>'Програма-имена+кабинети'!E267</f>
        <v>301</v>
      </c>
    </row>
    <row r="220" spans="1:17" ht="20.95" customHeight="1">
      <c r="A220" s="432"/>
      <c r="B220" s="280">
        <v>2</v>
      </c>
      <c r="C220" s="250" t="str">
        <f>'Програма-имена+кабинети'!D49</f>
        <v>В. Иванова</v>
      </c>
      <c r="D220" s="252">
        <f>'Програма-имена+кабинети'!E49</f>
        <v>109</v>
      </c>
      <c r="E220" s="264">
        <v>2</v>
      </c>
      <c r="F220" s="250" t="str">
        <f>'Програма-имена+кабинети'!D104</f>
        <v>Христонова/Цветков</v>
      </c>
      <c r="G220" s="252" t="str">
        <f>'Програма-имена+кабинети'!E104</f>
        <v>КК4/КК6</v>
      </c>
      <c r="H220" s="264">
        <v>2</v>
      </c>
      <c r="I220" s="250" t="str">
        <f>'Програма-имена+кабинети'!D159</f>
        <v>Славова</v>
      </c>
      <c r="J220" s="252">
        <f>'Програма-имена+кабинети'!E159</f>
        <v>114</v>
      </c>
      <c r="K220" s="264">
        <v>2</v>
      </c>
      <c r="L220" s="250" t="str">
        <f>'Програма-имена+кабинети'!D214</f>
        <v>Чанкова</v>
      </c>
      <c r="M220" s="252">
        <f>'Програма-имена+кабинети'!E214</f>
        <v>105</v>
      </c>
      <c r="N220" s="264">
        <v>2</v>
      </c>
      <c r="O220" s="250" t="str">
        <f>'Програма-имена+кабинети'!D268</f>
        <v>Гочева</v>
      </c>
      <c r="P220" s="252">
        <f>'Програма-имена+кабинети'!E268</f>
        <v>301</v>
      </c>
    </row>
    <row r="221" spans="1:17" ht="20.95" customHeight="1">
      <c r="A221" s="432"/>
      <c r="B221" s="280">
        <v>3</v>
      </c>
      <c r="C221" s="250" t="str">
        <f>'Програма-имена+кабинети'!D50</f>
        <v>Н. Николова</v>
      </c>
      <c r="D221" s="252">
        <f>'Програма-имена+кабинети'!E50</f>
        <v>202</v>
      </c>
      <c r="E221" s="264">
        <v>3</v>
      </c>
      <c r="F221" s="250" t="str">
        <f>'Програма-имена+кабинети'!D105</f>
        <v>Киров</v>
      </c>
      <c r="G221" s="252" t="str">
        <f>'Програма-имена+кабинети'!E105</f>
        <v>109/110/111/114/102/302</v>
      </c>
      <c r="H221" s="264">
        <v>3</v>
      </c>
      <c r="I221" s="250" t="str">
        <f>'Програма-имена+кабинети'!D160</f>
        <v>Христонова/Цветков</v>
      </c>
      <c r="J221" s="252" t="str">
        <f>'Програма-имена+кабинети'!E160</f>
        <v>КК4/КК6</v>
      </c>
      <c r="K221" s="264">
        <v>3</v>
      </c>
      <c r="L221" s="250" t="str">
        <f>'Програма-имена+кабинети'!D215</f>
        <v>Чанкова</v>
      </c>
      <c r="M221" s="252">
        <f>'Програма-имена+кабинети'!E215</f>
        <v>105</v>
      </c>
      <c r="N221" s="264">
        <v>3</v>
      </c>
      <c r="O221" s="250" t="str">
        <f>'Програма-имена+кабинети'!D269</f>
        <v>Христонова/Цветков</v>
      </c>
      <c r="P221" s="252" t="str">
        <f>'Програма-имена+кабинети'!E269</f>
        <v>КК4/КК6</v>
      </c>
    </row>
    <row r="222" spans="1:17" ht="20.95" customHeight="1">
      <c r="A222" s="432"/>
      <c r="B222" s="280">
        <v>4</v>
      </c>
      <c r="C222" s="250" t="str">
        <f>'Програма-имена+кабинети'!D51</f>
        <v>Н. Николова</v>
      </c>
      <c r="D222" s="252">
        <f>'Програма-имена+кабинети'!E51</f>
        <v>202</v>
      </c>
      <c r="E222" s="264">
        <v>4</v>
      </c>
      <c r="F222" s="250" t="str">
        <f>'Програма-имена+кабинети'!D106</f>
        <v>Гочева</v>
      </c>
      <c r="G222" s="252">
        <f>'Програма-имена+кабинети'!E106</f>
        <v>301</v>
      </c>
      <c r="H222" s="264">
        <v>4</v>
      </c>
      <c r="I222" s="250" t="str">
        <f>'Програма-имена+кабинети'!D161</f>
        <v>В. Иванова</v>
      </c>
      <c r="J222" s="252">
        <f>'Програма-имена+кабинети'!E161</f>
        <v>109</v>
      </c>
      <c r="K222" s="264">
        <v>4</v>
      </c>
      <c r="L222" s="250" t="str">
        <f>'Програма-имена+кабинети'!D216</f>
        <v>Гочева</v>
      </c>
      <c r="M222" s="252">
        <f>'Програма-имена+кабинети'!E216</f>
        <v>301</v>
      </c>
      <c r="N222" s="264">
        <v>4</v>
      </c>
      <c r="O222" s="250" t="str">
        <f>'Програма-имена+кабинети'!D270</f>
        <v>Чанкова</v>
      </c>
      <c r="P222" s="252">
        <f>'Програма-имена+кабинети'!E270</f>
        <v>105</v>
      </c>
    </row>
    <row r="223" spans="1:17" ht="20.95" customHeight="1">
      <c r="A223" s="432"/>
      <c r="B223" s="280">
        <v>5</v>
      </c>
      <c r="C223" s="250" t="str">
        <f>'Програма-имена+кабинети'!D52</f>
        <v>Чанкова</v>
      </c>
      <c r="D223" s="252">
        <f>'Програма-имена+кабинети'!E52</f>
        <v>105</v>
      </c>
      <c r="E223" s="264">
        <v>5</v>
      </c>
      <c r="F223" s="250" t="str">
        <f>'Програма-имена+кабинети'!D107</f>
        <v>Гочева</v>
      </c>
      <c r="G223" s="252">
        <f>'Програма-имена+кабинети'!E107</f>
        <v>301</v>
      </c>
      <c r="H223" s="264">
        <v>5</v>
      </c>
      <c r="I223" s="250" t="str">
        <f>'Програма-имена+кабинети'!D162</f>
        <v>Гочева</v>
      </c>
      <c r="J223" s="252">
        <f>'Програма-имена+кабинети'!E162</f>
        <v>301</v>
      </c>
      <c r="K223" s="264">
        <v>5</v>
      </c>
      <c r="L223" s="250" t="str">
        <f>'Програма-имена+кабинети'!D217</f>
        <v>Конгалов</v>
      </c>
      <c r="M223" s="252" t="str">
        <f>'Програма-имена+кабинети'!E217</f>
        <v>ФС</v>
      </c>
      <c r="N223" s="264">
        <v>5</v>
      </c>
      <c r="O223" s="250" t="str">
        <f>'Програма-имена+кабинети'!D271</f>
        <v>Кирилова/Тодорова</v>
      </c>
      <c r="P223" s="252" t="str">
        <f>'Програма-имена+кабинети'!E271</f>
        <v>108/101-105</v>
      </c>
      <c r="Q223" s="263"/>
    </row>
    <row r="224" spans="1:17" ht="20.95" customHeight="1">
      <c r="A224" s="432"/>
      <c r="B224" s="280">
        <v>6</v>
      </c>
      <c r="C224" s="250" t="str">
        <f>'Програма-имена+кабинети'!D53</f>
        <v>Христонова/Цветков</v>
      </c>
      <c r="D224" s="252" t="str">
        <f>'Програма-имена+кабинети'!E53</f>
        <v>КК4/КК6</v>
      </c>
      <c r="E224" s="264">
        <v>6</v>
      </c>
      <c r="F224" s="250" t="str">
        <f>'Програма-имена+кабинети'!D108</f>
        <v>Попова</v>
      </c>
      <c r="G224" s="252" t="str">
        <f>'Програма-имена+кабинети'!E108</f>
        <v>212/214/215/217</v>
      </c>
      <c r="H224" s="264">
        <v>6</v>
      </c>
      <c r="I224" s="250" t="str">
        <f>'Програма-имена+кабинети'!D163</f>
        <v>Гочева</v>
      </c>
      <c r="J224" s="252">
        <f>'Програма-имена+кабинети'!E163</f>
        <v>301</v>
      </c>
      <c r="K224" s="264">
        <v>6</v>
      </c>
      <c r="L224" s="250" t="str">
        <f>'Програма-имена+кабинети'!D218</f>
        <v>Н. Николова</v>
      </c>
      <c r="M224" s="252">
        <f>'Програма-имена+кабинети'!E218</f>
        <v>202</v>
      </c>
      <c r="N224" s="264">
        <v>6</v>
      </c>
      <c r="O224" s="250" t="str">
        <f>'Програма-имена+кабинети'!D272</f>
        <v>Кирилова/Тодорова</v>
      </c>
      <c r="P224" s="252" t="str">
        <f>'Програма-имена+кабинети'!E272</f>
        <v>108/101-105</v>
      </c>
    </row>
    <row r="225" spans="1:17" ht="20.95" customHeight="1">
      <c r="A225" s="432"/>
      <c r="B225" s="281">
        <v>7</v>
      </c>
      <c r="C225" s="251" t="str">
        <f>'Програма-имена+кабинети'!D54</f>
        <v>Славова</v>
      </c>
      <c r="D225" s="253">
        <f>'Програма-имена+кабинети'!E54</f>
        <v>114</v>
      </c>
      <c r="E225" s="281">
        <v>7</v>
      </c>
      <c r="F225" s="251" t="str">
        <f>'Програма-имена+кабинети'!D109</f>
        <v>Чанкова</v>
      </c>
      <c r="G225" s="253">
        <f>'Програма-имена+кабинети'!E109</f>
        <v>105</v>
      </c>
      <c r="H225" s="281">
        <v>7</v>
      </c>
      <c r="I225" s="251" t="str">
        <f>'Програма-имена+кабинети'!D164</f>
        <v>Гочева</v>
      </c>
      <c r="J225" s="253">
        <f>'Програма-имена+кабинети'!E164</f>
        <v>301</v>
      </c>
      <c r="K225" s="281">
        <v>7</v>
      </c>
      <c r="L225" s="251">
        <f>'Програма-имена+кабинети'!D219</f>
        <v>0</v>
      </c>
      <c r="M225" s="253" t="str">
        <f>'Програма-имена+кабинети'!E219</f>
        <v/>
      </c>
      <c r="N225" s="281">
        <v>7</v>
      </c>
      <c r="O225" s="251">
        <f>'Програма-имена+кабинети'!D273</f>
        <v>0</v>
      </c>
      <c r="P225" s="253" t="str">
        <f>'Програма-имена+кабинети'!E273</f>
        <v/>
      </c>
    </row>
    <row r="227" spans="1:17" ht="20.95" customHeight="1">
      <c r="A227" s="432" t="s">
        <v>50</v>
      </c>
      <c r="B227" s="255"/>
      <c r="C227" s="256" t="s">
        <v>24</v>
      </c>
      <c r="D227" s="257"/>
      <c r="E227" s="256"/>
      <c r="F227" s="256" t="s">
        <v>25</v>
      </c>
      <c r="G227" s="258" t="s">
        <v>209</v>
      </c>
      <c r="H227" s="261"/>
      <c r="I227" s="260" t="s">
        <v>26</v>
      </c>
      <c r="J227" s="258" t="s">
        <v>209</v>
      </c>
      <c r="K227" s="261"/>
      <c r="L227" s="261" t="s">
        <v>27</v>
      </c>
      <c r="M227" s="258" t="s">
        <v>209</v>
      </c>
      <c r="N227" s="261"/>
      <c r="O227" s="260" t="s">
        <v>28</v>
      </c>
      <c r="P227" s="300" t="s">
        <v>209</v>
      </c>
    </row>
    <row r="228" spans="1:17" ht="20.95" customHeight="1">
      <c r="A228" s="432"/>
      <c r="B228" s="280">
        <v>1</v>
      </c>
      <c r="C228" s="278" t="str">
        <f>'Програма-имена+кабинети'!F48</f>
        <v>Славова</v>
      </c>
      <c r="D228" s="279">
        <f>'Програма-имена+кабинети'!G48</f>
        <v>114</v>
      </c>
      <c r="E228" s="264">
        <v>1</v>
      </c>
      <c r="F228" s="278" t="str">
        <f>'Програма-имена+кабинети'!F103</f>
        <v>Попова</v>
      </c>
      <c r="G228" s="279" t="str">
        <f>'Програма-имена+кабинети'!G103</f>
        <v>212/214/215/217</v>
      </c>
      <c r="H228" s="264">
        <v>1</v>
      </c>
      <c r="I228" s="278" t="str">
        <f>'Програма-имена+кабинети'!F158</f>
        <v>Чанкова</v>
      </c>
      <c r="J228" s="279">
        <f>'Програма-имена+кабинети'!G158</f>
        <v>105</v>
      </c>
      <c r="K228" s="264">
        <v>1</v>
      </c>
      <c r="L228" s="278" t="str">
        <f>'Програма-имена+кабинети'!F213</f>
        <v>Гочева</v>
      </c>
      <c r="M228" s="279">
        <f>'Програма-имена+кабинети'!G213</f>
        <v>301</v>
      </c>
      <c r="N228" s="264">
        <v>1</v>
      </c>
      <c r="O228" s="278" t="str">
        <f>'Програма-имена+кабинети'!F267</f>
        <v>Н. Николова</v>
      </c>
      <c r="P228" s="279">
        <f>'Програма-имена+кабинети'!G267</f>
        <v>202</v>
      </c>
    </row>
    <row r="229" spans="1:17" ht="20.95" customHeight="1">
      <c r="A229" s="432"/>
      <c r="B229" s="280">
        <v>2</v>
      </c>
      <c r="C229" s="250" t="str">
        <f>'Програма-имена+кабинети'!F49</f>
        <v>Гочева</v>
      </c>
      <c r="D229" s="252">
        <f>'Програма-имена+кабинети'!G49</f>
        <v>301</v>
      </c>
      <c r="E229" s="264">
        <v>2</v>
      </c>
      <c r="F229" s="250" t="str">
        <f>'Програма-имена+кабинети'!F104</f>
        <v>Киров</v>
      </c>
      <c r="G229" s="252" t="str">
        <f>'Програма-имена+кабинети'!G104</f>
        <v>109/110/111/114/102/302</v>
      </c>
      <c r="H229" s="264">
        <v>2</v>
      </c>
      <c r="I229" s="250" t="str">
        <f>'Програма-имена+кабинети'!F159</f>
        <v>Чанкова</v>
      </c>
      <c r="J229" s="252">
        <f>'Програма-имена+кабинети'!G159</f>
        <v>105</v>
      </c>
      <c r="K229" s="264">
        <v>2</v>
      </c>
      <c r="L229" s="250" t="str">
        <f>'Програма-имена+кабинети'!F214</f>
        <v>Гочева</v>
      </c>
      <c r="M229" s="252">
        <f>'Програма-имена+кабинети'!G214</f>
        <v>301</v>
      </c>
      <c r="N229" s="264">
        <v>2</v>
      </c>
      <c r="O229" s="250" t="str">
        <f>'Програма-имена+кабинети'!F268</f>
        <v>Чанкова</v>
      </c>
      <c r="P229" s="252">
        <f>'Програма-имена+кабинети'!G268</f>
        <v>105</v>
      </c>
    </row>
    <row r="230" spans="1:17" ht="20.95" customHeight="1">
      <c r="A230" s="432"/>
      <c r="B230" s="280">
        <v>3</v>
      </c>
      <c r="C230" s="250" t="str">
        <f>'Програма-имена+кабинети'!F50</f>
        <v>Филипова</v>
      </c>
      <c r="D230" s="252" t="str">
        <f>'Програма-имена+кабинети'!G50</f>
        <v>109/110/301/302/306</v>
      </c>
      <c r="E230" s="264">
        <v>3</v>
      </c>
      <c r="F230" s="250" t="str">
        <f>'Програма-имена+кабинети'!F105</f>
        <v>Конгалов</v>
      </c>
      <c r="G230" s="252" t="str">
        <f>'Програма-имена+кабинети'!G105</f>
        <v>ФС</v>
      </c>
      <c r="H230" s="264">
        <v>3</v>
      </c>
      <c r="I230" s="250" t="str">
        <f>'Програма-имена+кабинети'!F160</f>
        <v>Гочева</v>
      </c>
      <c r="J230" s="252">
        <f>'Програма-имена+кабинети'!G160</f>
        <v>301</v>
      </c>
      <c r="K230" s="264">
        <v>3</v>
      </c>
      <c r="L230" s="250" t="str">
        <f>'Програма-имена+кабинети'!F215</f>
        <v>Христонова/Цветков</v>
      </c>
      <c r="M230" s="252" t="str">
        <f>'Програма-имена+кабинети'!G215</f>
        <v>КК4/КК6</v>
      </c>
      <c r="N230" s="264">
        <v>3</v>
      </c>
      <c r="O230" s="250" t="str">
        <f>'Програма-имена+кабинети'!F269</f>
        <v>Даскалова/Тодорова</v>
      </c>
      <c r="P230" s="252" t="str">
        <f>'Програма-имена+кабинети'!G269</f>
        <v>107-108/101-105</v>
      </c>
    </row>
    <row r="231" spans="1:17" ht="20.95" customHeight="1">
      <c r="A231" s="432"/>
      <c r="B231" s="280">
        <v>4</v>
      </c>
      <c r="C231" s="250" t="str">
        <f>'Програма-имена+кабинети'!F51</f>
        <v>Чанкова</v>
      </c>
      <c r="D231" s="252">
        <f>'Програма-имена+кабинети'!G51</f>
        <v>105</v>
      </c>
      <c r="E231" s="264">
        <v>4</v>
      </c>
      <c r="F231" s="250" t="str">
        <f>'Програма-имена+кабинети'!F106</f>
        <v>Христонова/Цветков</v>
      </c>
      <c r="G231" s="252" t="str">
        <f>'Програма-имена+кабинети'!G106</f>
        <v>КК4/КК6</v>
      </c>
      <c r="H231" s="264">
        <v>4</v>
      </c>
      <c r="I231" s="250" t="str">
        <f>'Програма-имена+кабинети'!F161</f>
        <v>Христонова/Цветков</v>
      </c>
      <c r="J231" s="252" t="str">
        <f>'Програма-имена+кабинети'!G161</f>
        <v>КК4/КК6</v>
      </c>
      <c r="K231" s="264">
        <v>4</v>
      </c>
      <c r="L231" s="250" t="str">
        <f>'Програма-имена+кабинети'!F216</f>
        <v>Конгалов</v>
      </c>
      <c r="M231" s="252" t="str">
        <f>'Програма-имена+кабинети'!G216</f>
        <v>ФС</v>
      </c>
      <c r="N231" s="264">
        <v>4</v>
      </c>
      <c r="O231" s="250" t="str">
        <f>'Програма-имена+кабинети'!F270</f>
        <v>Даскалова/Тодорова</v>
      </c>
      <c r="P231" s="252" t="str">
        <f>'Програма-имена+кабинети'!G270</f>
        <v>107-108/101-105</v>
      </c>
    </row>
    <row r="232" spans="1:17" ht="20.95" customHeight="1">
      <c r="A232" s="432"/>
      <c r="B232" s="280">
        <v>5</v>
      </c>
      <c r="C232" s="250" t="str">
        <f>'Програма-имена+кабинети'!F52</f>
        <v>Христонова/Цветков</v>
      </c>
      <c r="D232" s="252" t="str">
        <f>'Програма-имена+кабинети'!G52</f>
        <v>КК4/КК6</v>
      </c>
      <c r="E232" s="264">
        <v>5</v>
      </c>
      <c r="F232" s="250" t="str">
        <f>'Програма-имена+кабинети'!F107</f>
        <v>Чанкова</v>
      </c>
      <c r="G232" s="252">
        <f>'Програма-имена+кабинети'!G107</f>
        <v>105</v>
      </c>
      <c r="H232" s="264">
        <v>5</v>
      </c>
      <c r="I232" s="250" t="str">
        <f>'Програма-имена+кабинети'!F162</f>
        <v>Христонова/Цветков</v>
      </c>
      <c r="J232" s="252" t="str">
        <f>'Програма-имена+кабинети'!G162</f>
        <v>КК4/КК6</v>
      </c>
      <c r="K232" s="264">
        <v>5</v>
      </c>
      <c r="L232" s="250" t="str">
        <f>'Програма-имена+кабинети'!F217</f>
        <v>Н. Николова</v>
      </c>
      <c r="M232" s="252">
        <f>'Програма-имена+кабинети'!G217</f>
        <v>202</v>
      </c>
      <c r="N232" s="264">
        <v>5</v>
      </c>
      <c r="O232" s="250" t="str">
        <f>'Програма-имена+кабинети'!F271</f>
        <v>Гочева</v>
      </c>
      <c r="P232" s="252">
        <f>'Програма-имена+кабинети'!G271</f>
        <v>301</v>
      </c>
      <c r="Q232" s="263"/>
    </row>
    <row r="233" spans="1:17" s="263" customFormat="1" ht="20.95" customHeight="1">
      <c r="A233" s="432"/>
      <c r="B233" s="280">
        <v>6</v>
      </c>
      <c r="C233" s="250" t="str">
        <f>'Програма-имена+кабинети'!F53</f>
        <v>Н. Николова</v>
      </c>
      <c r="D233" s="252">
        <f>'Програма-имена+кабинети'!G53</f>
        <v>202</v>
      </c>
      <c r="E233" s="264">
        <v>6</v>
      </c>
      <c r="F233" s="250" t="str">
        <f>'Програма-имена+кабинети'!F108</f>
        <v>Гочева</v>
      </c>
      <c r="G233" s="252">
        <f>'Програма-имена+кабинети'!G108</f>
        <v>301</v>
      </c>
      <c r="H233" s="264">
        <v>6</v>
      </c>
      <c r="I233" s="250" t="str">
        <f>'Програма-имена+кабинети'!F163</f>
        <v>Филипова</v>
      </c>
      <c r="J233" s="252" t="str">
        <f>'Програма-имена+кабинети'!G163</f>
        <v>109/110/301/302/306</v>
      </c>
      <c r="K233" s="264">
        <v>6</v>
      </c>
      <c r="L233" s="250" t="str">
        <f>'Програма-имена+кабинети'!F218</f>
        <v>Славова</v>
      </c>
      <c r="M233" s="252">
        <f>'Програма-имена+кабинети'!G218</f>
        <v>114</v>
      </c>
      <c r="N233" s="264">
        <v>6</v>
      </c>
      <c r="O233" s="250" t="str">
        <f>'Програма-имена+кабинети'!F272</f>
        <v>Гочева</v>
      </c>
      <c r="P233" s="252">
        <f>'Програма-имена+кабинети'!G272</f>
        <v>301</v>
      </c>
      <c r="Q233" s="262"/>
    </row>
    <row r="234" spans="1:17" ht="20.95" customHeight="1">
      <c r="A234" s="432"/>
      <c r="B234" s="281">
        <v>7</v>
      </c>
      <c r="C234" s="251" t="str">
        <f>'Програма-имена+кабинети'!F54</f>
        <v>Н. Николова</v>
      </c>
      <c r="D234" s="253">
        <f>'Програма-имена+кабинети'!G54</f>
        <v>202</v>
      </c>
      <c r="E234" s="281">
        <v>7</v>
      </c>
      <c r="F234" s="251" t="str">
        <f>'Програма-имена+кабинети'!F109</f>
        <v>Гочева</v>
      </c>
      <c r="G234" s="253">
        <f>'Програма-имена+кабинети'!G109</f>
        <v>301</v>
      </c>
      <c r="H234" s="281">
        <v>7</v>
      </c>
      <c r="I234" s="251" t="str">
        <f>'Програма-имена+кабинети'!F164</f>
        <v>Чанкова</v>
      </c>
      <c r="J234" s="253">
        <f>'Програма-имена+кабинети'!G164</f>
        <v>105</v>
      </c>
      <c r="K234" s="281">
        <v>7</v>
      </c>
      <c r="L234" s="251">
        <f>'Програма-имена+кабинети'!F219</f>
        <v>0</v>
      </c>
      <c r="M234" s="253" t="str">
        <f>'Програма-имена+кабинети'!G219</f>
        <v/>
      </c>
      <c r="N234" s="281">
        <v>7</v>
      </c>
      <c r="O234" s="251">
        <f>'Програма-имена+кабинети'!F273</f>
        <v>0</v>
      </c>
      <c r="P234" s="253" t="str">
        <f>'Програма-имена+кабинети'!G273</f>
        <v/>
      </c>
    </row>
    <row r="236" spans="1:17" ht="20.95" customHeight="1">
      <c r="A236" s="432" t="s">
        <v>51</v>
      </c>
      <c r="B236" s="255"/>
      <c r="C236" s="256" t="s">
        <v>24</v>
      </c>
      <c r="D236" s="257"/>
      <c r="E236" s="256"/>
      <c r="F236" s="256" t="s">
        <v>25</v>
      </c>
      <c r="G236" s="258" t="s">
        <v>209</v>
      </c>
      <c r="H236" s="261"/>
      <c r="I236" s="260" t="s">
        <v>26</v>
      </c>
      <c r="J236" s="258" t="s">
        <v>209</v>
      </c>
      <c r="K236" s="261"/>
      <c r="L236" s="261" t="s">
        <v>27</v>
      </c>
      <c r="M236" s="258" t="s">
        <v>209</v>
      </c>
      <c r="N236" s="261"/>
      <c r="O236" s="260" t="s">
        <v>28</v>
      </c>
      <c r="P236" s="300" t="s">
        <v>209</v>
      </c>
    </row>
    <row r="237" spans="1:17" ht="20.95" customHeight="1">
      <c r="A237" s="432"/>
      <c r="B237" s="280">
        <v>1</v>
      </c>
      <c r="C237" s="278" t="str">
        <f>'Програма-имена+кабинети'!H48</f>
        <v>Филипова</v>
      </c>
      <c r="D237" s="279" t="str">
        <f>'Програма-имена+кабинети'!I48</f>
        <v>109/110/301/302/306</v>
      </c>
      <c r="E237" s="264">
        <v>1</v>
      </c>
      <c r="F237" s="278" t="str">
        <f>'Програма-имена+кабинети'!H103</f>
        <v>Батимов</v>
      </c>
      <c r="G237" s="279">
        <f>'Програма-имена+кабинети'!I103</f>
        <v>303</v>
      </c>
      <c r="H237" s="264">
        <v>1</v>
      </c>
      <c r="I237" s="278" t="str">
        <f>'Програма-имена+кабинети'!H158</f>
        <v>Христонова/Цветков</v>
      </c>
      <c r="J237" s="279" t="str">
        <f>'Програма-имена+кабинети'!I158</f>
        <v>КК4/КК6</v>
      </c>
      <c r="K237" s="264">
        <v>1</v>
      </c>
      <c r="L237" s="278" t="str">
        <f>'Програма-имена+кабинети'!H213</f>
        <v>Батимов</v>
      </c>
      <c r="M237" s="279">
        <f>'Програма-имена+кабинети'!I213</f>
        <v>303</v>
      </c>
      <c r="N237" s="264">
        <v>1</v>
      </c>
      <c r="O237" s="278" t="str">
        <f>'Програма-имена+кабинети'!H267</f>
        <v>Даскалова</v>
      </c>
      <c r="P237" s="279">
        <f>'Програма-имена+кабинети'!I267</f>
        <v>108</v>
      </c>
    </row>
    <row r="238" spans="1:17" ht="20.95" customHeight="1">
      <c r="A238" s="432"/>
      <c r="B238" s="280">
        <v>2</v>
      </c>
      <c r="C238" s="250" t="str">
        <f>'Програма-имена+кабинети'!H49</f>
        <v>Чанкова</v>
      </c>
      <c r="D238" s="252">
        <f>'Програма-имена+кабинети'!I49</f>
        <v>105</v>
      </c>
      <c r="E238" s="264">
        <v>2</v>
      </c>
      <c r="F238" s="250" t="str">
        <f>'Програма-имена+кабинети'!H104</f>
        <v>Конгалов</v>
      </c>
      <c r="G238" s="252" t="str">
        <f>'Програма-имена+кабинети'!I104</f>
        <v>ФС</v>
      </c>
      <c r="H238" s="264">
        <v>2</v>
      </c>
      <c r="I238" s="250" t="str">
        <f>'Програма-имена+кабинети'!H159</f>
        <v>Филипова</v>
      </c>
      <c r="J238" s="252" t="str">
        <f>'Програма-имена+кабинети'!I159</f>
        <v>109/110/301/302/306</v>
      </c>
      <c r="K238" s="264">
        <v>2</v>
      </c>
      <c r="L238" s="250" t="str">
        <f>'Програма-имена+кабинети'!H214</f>
        <v>Батимов</v>
      </c>
      <c r="M238" s="252">
        <f>'Програма-имена+кабинети'!I214</f>
        <v>303</v>
      </c>
      <c r="N238" s="264">
        <v>2</v>
      </c>
      <c r="O238" s="250" t="str">
        <f>'Програма-имена+кабинети'!H268</f>
        <v>Даскалова</v>
      </c>
      <c r="P238" s="252">
        <f>'Програма-имена+кабинети'!I268</f>
        <v>108</v>
      </c>
    </row>
    <row r="239" spans="1:17" ht="20.95" customHeight="1">
      <c r="A239" s="432"/>
      <c r="B239" s="280">
        <v>3</v>
      </c>
      <c r="C239" s="250" t="str">
        <f>'Програма-имена+кабинети'!H50</f>
        <v>Батимов</v>
      </c>
      <c r="D239" s="252">
        <f>'Програма-имена+кабинети'!I50</f>
        <v>303</v>
      </c>
      <c r="E239" s="264">
        <v>3</v>
      </c>
      <c r="F239" s="250" t="str">
        <f>'Програма-имена+кабинети'!H105</f>
        <v>Христонова/Цветков</v>
      </c>
      <c r="G239" s="252" t="str">
        <f>'Програма-имена+кабинети'!I105</f>
        <v>КК4/КК6</v>
      </c>
      <c r="H239" s="264">
        <v>3</v>
      </c>
      <c r="I239" s="250" t="str">
        <f>'Програма-имена+кабинети'!H160</f>
        <v>Чанкова</v>
      </c>
      <c r="J239" s="252">
        <f>'Програма-имена+кабинети'!I160</f>
        <v>105</v>
      </c>
      <c r="K239" s="264">
        <v>3</v>
      </c>
      <c r="L239" s="250" t="str">
        <f>'Програма-имена+кабинети'!H215</f>
        <v>Киров</v>
      </c>
      <c r="M239" s="252" t="str">
        <f>'Програма-имена+кабинети'!I215</f>
        <v>109/110/111/114/102/302</v>
      </c>
      <c r="N239" s="264">
        <v>3</v>
      </c>
      <c r="O239" s="250" t="str">
        <f>'Програма-имена+кабинети'!H269</f>
        <v>Н. Николова</v>
      </c>
      <c r="P239" s="252">
        <f>'Програма-имена+кабинети'!I269</f>
        <v>202</v>
      </c>
    </row>
    <row r="240" spans="1:17" ht="20.95" customHeight="1">
      <c r="A240" s="432"/>
      <c r="B240" s="280">
        <v>4</v>
      </c>
      <c r="C240" s="250" t="str">
        <f>'Програма-имена+кабинети'!H51</f>
        <v>Батимов</v>
      </c>
      <c r="D240" s="252">
        <f>'Програма-имена+кабинети'!I51</f>
        <v>303</v>
      </c>
      <c r="E240" s="264">
        <v>4</v>
      </c>
      <c r="F240" s="250" t="str">
        <f>'Програма-имена+кабинети'!H106</f>
        <v>Чанкова</v>
      </c>
      <c r="G240" s="252">
        <f>'Програма-имена+кабинети'!I106</f>
        <v>105</v>
      </c>
      <c r="H240" s="264">
        <v>4</v>
      </c>
      <c r="I240" s="250" t="str">
        <f>'Програма-имена+кабинети'!H161</f>
        <v>Чанкова</v>
      </c>
      <c r="J240" s="252">
        <f>'Програма-имена+кабинети'!I161</f>
        <v>105</v>
      </c>
      <c r="K240" s="264">
        <v>4</v>
      </c>
      <c r="L240" s="250" t="str">
        <f>'Програма-имена+кабинети'!H216</f>
        <v>Н. Николова</v>
      </c>
      <c r="M240" s="252">
        <f>'Програма-имена+кабинети'!I216</f>
        <v>202</v>
      </c>
      <c r="N240" s="264">
        <v>4</v>
      </c>
      <c r="O240" s="250" t="str">
        <f>'Програма-имена+кабинети'!H270</f>
        <v>Батимов</v>
      </c>
      <c r="P240" s="252">
        <f>'Програма-имена+кабинети'!I270</f>
        <v>303</v>
      </c>
    </row>
    <row r="241" spans="1:17" ht="20.95" customHeight="1">
      <c r="A241" s="432"/>
      <c r="B241" s="280">
        <v>5</v>
      </c>
      <c r="C241" s="250" t="str">
        <f>'Програма-имена+кабинети'!H52</f>
        <v>Даскалова</v>
      </c>
      <c r="D241" s="252">
        <f>'Програма-имена+кабинети'!I52</f>
        <v>108</v>
      </c>
      <c r="E241" s="264">
        <v>5</v>
      </c>
      <c r="F241" s="250" t="str">
        <f>'Програма-имена+кабинети'!H107</f>
        <v>Попова</v>
      </c>
      <c r="G241" s="252" t="str">
        <f>'Програма-имена+кабинети'!I107</f>
        <v>212/214/215/217</v>
      </c>
      <c r="H241" s="264">
        <v>5</v>
      </c>
      <c r="I241" s="250" t="str">
        <f>'Програма-имена+кабинети'!H162</f>
        <v>Даскалова</v>
      </c>
      <c r="J241" s="252">
        <f>'Програма-имена+кабинети'!I162</f>
        <v>108</v>
      </c>
      <c r="K241" s="264">
        <v>5</v>
      </c>
      <c r="L241" s="250" t="str">
        <f>'Програма-имена+кабинети'!H217</f>
        <v>Славова</v>
      </c>
      <c r="M241" s="252">
        <f>'Програма-имена+кабинети'!I217</f>
        <v>114</v>
      </c>
      <c r="N241" s="264">
        <v>5</v>
      </c>
      <c r="O241" s="250" t="str">
        <f>'Програма-имена+кабинети'!H271</f>
        <v>Христонова/Цветков</v>
      </c>
      <c r="P241" s="252" t="str">
        <f>'Програма-имена+кабинети'!I271</f>
        <v>КК4/КК6</v>
      </c>
      <c r="Q241" s="263"/>
    </row>
    <row r="242" spans="1:17" ht="20.95" customHeight="1">
      <c r="A242" s="432"/>
      <c r="B242" s="280">
        <v>6</v>
      </c>
      <c r="C242" s="250" t="str">
        <f>'Програма-имена+кабинети'!H53</f>
        <v>Славова</v>
      </c>
      <c r="D242" s="252">
        <f>'Програма-имена+кабинети'!I53</f>
        <v>114</v>
      </c>
      <c r="E242" s="264">
        <v>6</v>
      </c>
      <c r="F242" s="250" t="str">
        <f>'Програма-имена+кабинети'!H108</f>
        <v>Н. Николова</v>
      </c>
      <c r="G242" s="252">
        <f>'Програма-имена+кабинети'!I108</f>
        <v>202</v>
      </c>
      <c r="H242" s="264">
        <v>6</v>
      </c>
      <c r="I242" s="250" t="str">
        <f>'Програма-имена+кабинети'!H163</f>
        <v>Даскалова</v>
      </c>
      <c r="J242" s="252">
        <f>'Програма-имена+кабинети'!I163</f>
        <v>108</v>
      </c>
      <c r="K242" s="264">
        <v>6</v>
      </c>
      <c r="L242" s="250" t="str">
        <f>'Програма-имена+кабинети'!H218</f>
        <v>Конгалов</v>
      </c>
      <c r="M242" s="252" t="str">
        <f>'Програма-имена+кабинети'!I218</f>
        <v>ФС</v>
      </c>
      <c r="N242" s="264">
        <v>6</v>
      </c>
      <c r="O242" s="250" t="str">
        <f>'Програма-имена+кабинети'!H272</f>
        <v>Чанкова</v>
      </c>
      <c r="P242" s="252">
        <f>'Програма-имена+кабинети'!I272</f>
        <v>105</v>
      </c>
    </row>
    <row r="243" spans="1:17" ht="20.95" customHeight="1">
      <c r="A243" s="432"/>
      <c r="B243" s="281">
        <v>7</v>
      </c>
      <c r="C243" s="251" t="str">
        <f>'Програма-имена+кабинети'!H54</f>
        <v>Христонова/Цветков</v>
      </c>
      <c r="D243" s="253" t="str">
        <f>'Програма-имена+кабинети'!I54</f>
        <v>КК4/КК6</v>
      </c>
      <c r="E243" s="281">
        <v>7</v>
      </c>
      <c r="F243" s="251" t="str">
        <f>'Програма-имена+кабинети'!H109</f>
        <v>Н. Николова</v>
      </c>
      <c r="G243" s="253">
        <f>'Програма-имена+кабинети'!I109</f>
        <v>202</v>
      </c>
      <c r="H243" s="281">
        <v>7</v>
      </c>
      <c r="I243" s="251" t="str">
        <f>'Програма-имена+кабинети'!H164</f>
        <v>Даскалова</v>
      </c>
      <c r="J243" s="253">
        <f>'Програма-имена+кабинети'!I164</f>
        <v>108</v>
      </c>
      <c r="K243" s="281">
        <v>7</v>
      </c>
      <c r="L243" s="251">
        <f>'Програма-имена+кабинети'!H219</f>
        <v>0</v>
      </c>
      <c r="M243" s="253" t="str">
        <f>'Програма-имена+кабинети'!I219</f>
        <v/>
      </c>
      <c r="N243" s="281">
        <v>7</v>
      </c>
      <c r="O243" s="251">
        <f>'Програма-имена+кабинети'!H273</f>
        <v>0</v>
      </c>
      <c r="P243" s="253" t="str">
        <f>'Програма-имена+кабинети'!I273</f>
        <v/>
      </c>
    </row>
    <row r="245" spans="1:17" ht="20.95" customHeight="1">
      <c r="A245" s="433" t="s">
        <v>52</v>
      </c>
      <c r="B245" s="255"/>
      <c r="C245" s="256" t="s">
        <v>24</v>
      </c>
      <c r="D245" s="257"/>
      <c r="E245" s="256"/>
      <c r="F245" s="256" t="s">
        <v>25</v>
      </c>
      <c r="G245" s="258" t="s">
        <v>209</v>
      </c>
      <c r="H245" s="261"/>
      <c r="I245" s="260" t="s">
        <v>26</v>
      </c>
      <c r="J245" s="258" t="s">
        <v>209</v>
      </c>
      <c r="K245" s="261"/>
      <c r="L245" s="261" t="s">
        <v>27</v>
      </c>
      <c r="M245" s="258" t="s">
        <v>209</v>
      </c>
      <c r="N245" s="261"/>
      <c r="O245" s="260" t="s">
        <v>28</v>
      </c>
      <c r="P245" s="300" t="s">
        <v>209</v>
      </c>
    </row>
    <row r="246" spans="1:17" ht="20.95" customHeight="1">
      <c r="A246" s="434"/>
      <c r="B246" s="280">
        <v>1</v>
      </c>
      <c r="C246" s="278" t="str">
        <f>'Програма-имена+кабинети'!J48</f>
        <v>Чанкова</v>
      </c>
      <c r="D246" s="279">
        <f>'Програма-имена+кабинети'!K48</f>
        <v>105</v>
      </c>
      <c r="E246" s="264">
        <v>1</v>
      </c>
      <c r="F246" s="278" t="str">
        <f>'Програма-имена+кабинети'!J103</f>
        <v>Чанкова</v>
      </c>
      <c r="G246" s="279">
        <f>'Програма-имена+кабинети'!K103</f>
        <v>105</v>
      </c>
      <c r="H246" s="264">
        <v>1</v>
      </c>
      <c r="I246" s="278" t="str">
        <f>'Програма-имена+кабинети'!J158</f>
        <v>Филипова</v>
      </c>
      <c r="J246" s="279" t="str">
        <f>'Програма-имена+кабинети'!K158</f>
        <v>109/110/301/302/306</v>
      </c>
      <c r="K246" s="264">
        <v>1</v>
      </c>
      <c r="L246" s="278" t="str">
        <f>'Програма-имена+кабинети'!J213</f>
        <v>Минчева</v>
      </c>
      <c r="M246" s="279" t="str">
        <f>'Програма-имена+кабинети'!K213</f>
        <v>212/214/215/217</v>
      </c>
      <c r="N246" s="264">
        <v>1</v>
      </c>
      <c r="O246" s="278" t="str">
        <f>'Програма-имена+кабинети'!J267</f>
        <v>Минчева</v>
      </c>
      <c r="P246" s="279" t="str">
        <f>'Програма-имена+кабинети'!K267</f>
        <v>212/214/215/217</v>
      </c>
    </row>
    <row r="247" spans="1:17" ht="20.95" customHeight="1">
      <c r="A247" s="434"/>
      <c r="B247" s="280">
        <v>2</v>
      </c>
      <c r="C247" s="250" t="str">
        <f>'Програма-имена+кабинети'!J49</f>
        <v>Филипова</v>
      </c>
      <c r="D247" s="252" t="str">
        <f>'Програма-имена+кабинети'!K49</f>
        <v>109/110/301/302/306</v>
      </c>
      <c r="E247" s="264">
        <v>2</v>
      </c>
      <c r="F247" s="250" t="str">
        <f>'Програма-имена+кабинети'!J104</f>
        <v>Чанкова</v>
      </c>
      <c r="G247" s="252">
        <f>'Програма-имена+кабинети'!K104</f>
        <v>105</v>
      </c>
      <c r="H247" s="264">
        <v>2</v>
      </c>
      <c r="I247" s="250" t="str">
        <f>'Програма-имена+кабинети'!J159</f>
        <v>Минчева</v>
      </c>
      <c r="J247" s="252" t="str">
        <f>'Програма-имена+кабинети'!K159</f>
        <v>212/214/215/217</v>
      </c>
      <c r="K247" s="264">
        <v>2</v>
      </c>
      <c r="L247" s="250" t="str">
        <f>'Програма-имена+кабинети'!J214</f>
        <v>Минчева</v>
      </c>
      <c r="M247" s="252" t="str">
        <f>'Програма-имена+кабинети'!K214</f>
        <v>212/214/215/217</v>
      </c>
      <c r="N247" s="264">
        <v>2</v>
      </c>
      <c r="O247" s="250" t="str">
        <f>'Програма-имена+кабинети'!J268</f>
        <v>Н. Николова</v>
      </c>
      <c r="P247" s="252">
        <f>'Програма-имена+кабинети'!K268</f>
        <v>202</v>
      </c>
    </row>
    <row r="248" spans="1:17" ht="20.95" customHeight="1">
      <c r="A248" s="434"/>
      <c r="B248" s="280">
        <v>3</v>
      </c>
      <c r="C248" s="250" t="str">
        <f>'Програма-имена+кабинети'!J50</f>
        <v>Козалиева</v>
      </c>
      <c r="D248" s="252" t="str">
        <f>'Програма-имена+кабинети'!K50</f>
        <v>212/214/215/217</v>
      </c>
      <c r="E248" s="264">
        <v>3</v>
      </c>
      <c r="F248" s="250" t="str">
        <f>'Програма-имена+кабинети'!J105</f>
        <v>Гочева</v>
      </c>
      <c r="G248" s="252">
        <f>'Програма-имена+кабинети'!K105</f>
        <v>301</v>
      </c>
      <c r="H248" s="264">
        <v>3</v>
      </c>
      <c r="I248" s="250" t="str">
        <f>'Програма-имена+кабинети'!J160</f>
        <v>Козалиева</v>
      </c>
      <c r="J248" s="252" t="str">
        <f>'Програма-имена+кабинети'!K160</f>
        <v>212/214/215/217</v>
      </c>
      <c r="K248" s="264">
        <v>3</v>
      </c>
      <c r="L248" s="250" t="str">
        <f>'Програма-имена+кабинети'!J215</f>
        <v>Н. Николова</v>
      </c>
      <c r="M248" s="252">
        <f>'Програма-имена+кабинети'!K215</f>
        <v>202</v>
      </c>
      <c r="N248" s="264">
        <v>3</v>
      </c>
      <c r="O248" s="250" t="str">
        <f>'Програма-имена+кабинети'!J269</f>
        <v>Чанкова</v>
      </c>
      <c r="P248" s="252">
        <f>'Програма-имена+кабинети'!K269</f>
        <v>105</v>
      </c>
    </row>
    <row r="249" spans="1:17" ht="20.95" customHeight="1">
      <c r="A249" s="434"/>
      <c r="B249" s="280">
        <v>4</v>
      </c>
      <c r="C249" s="250" t="str">
        <f>'Програма-имена+кабинети'!J51</f>
        <v>Славова</v>
      </c>
      <c r="D249" s="252">
        <f>'Програма-имена+кабинети'!K51</f>
        <v>114</v>
      </c>
      <c r="E249" s="264">
        <v>4</v>
      </c>
      <c r="F249" s="250" t="str">
        <f>'Програма-имена+кабинети'!J106</f>
        <v>Н. Николова</v>
      </c>
      <c r="G249" s="252">
        <f>'Програма-имена+кабинети'!K106</f>
        <v>202</v>
      </c>
      <c r="H249" s="264">
        <v>4</v>
      </c>
      <c r="I249" s="250" t="str">
        <f>'Програма-имена+кабинети'!J161</f>
        <v>Козалиева</v>
      </c>
      <c r="J249" s="252" t="str">
        <f>'Програма-имена+кабинети'!K161</f>
        <v>212/214/215/217</v>
      </c>
      <c r="K249" s="264">
        <v>4</v>
      </c>
      <c r="L249" s="250" t="str">
        <f>'Програма-имена+кабинети'!J216</f>
        <v>Славова</v>
      </c>
      <c r="M249" s="252">
        <f>'Програма-имена+кабинети'!K216</f>
        <v>114</v>
      </c>
      <c r="N249" s="264">
        <v>4</v>
      </c>
      <c r="O249" s="250" t="str">
        <f>'Програма-имена+кабинети'!J270</f>
        <v>Гочева</v>
      </c>
      <c r="P249" s="252">
        <f>'Програма-имена+кабинети'!K270</f>
        <v>301</v>
      </c>
    </row>
    <row r="250" spans="1:17" ht="20.95" customHeight="1">
      <c r="A250" s="434"/>
      <c r="B250" s="280">
        <v>5</v>
      </c>
      <c r="C250" s="250" t="str">
        <f>'Програма-имена+кабинети'!J52</f>
        <v>Конгалов</v>
      </c>
      <c r="D250" s="252" t="str">
        <f>'Програма-имена+кабинети'!K52</f>
        <v>ФС</v>
      </c>
      <c r="E250" s="264">
        <v>5</v>
      </c>
      <c r="F250" s="250" t="str">
        <f>'Програма-имена+кабинети'!J107</f>
        <v>Н. Николова</v>
      </c>
      <c r="G250" s="252">
        <f>'Програма-имена+кабинети'!K107</f>
        <v>202</v>
      </c>
      <c r="H250" s="264">
        <v>5</v>
      </c>
      <c r="I250" s="250" t="str">
        <f>'Програма-имена+кабинети'!J162</f>
        <v>Киров</v>
      </c>
      <c r="J250" s="252" t="str">
        <f>'Програма-имена+кабинети'!K162</f>
        <v>109/110/111/114/102/302</v>
      </c>
      <c r="K250" s="264">
        <v>5</v>
      </c>
      <c r="L250" s="250" t="str">
        <f>'Програма-имена+кабинети'!J217</f>
        <v>Козалиева</v>
      </c>
      <c r="M250" s="252" t="str">
        <f>'Програма-имена+кабинети'!K217</f>
        <v>212/214/215/217</v>
      </c>
      <c r="N250" s="264">
        <v>5</v>
      </c>
      <c r="O250" s="250" t="str">
        <f>'Програма-имена+кабинети'!J271</f>
        <v>Даскалова/Тодорова</v>
      </c>
      <c r="P250" s="252" t="str">
        <f>'Програма-имена+кабинети'!K271</f>
        <v>107-108/101-105</v>
      </c>
      <c r="Q250" s="263"/>
    </row>
    <row r="251" spans="1:17" ht="20.95" customHeight="1">
      <c r="A251" s="434"/>
      <c r="B251" s="280">
        <v>6</v>
      </c>
      <c r="C251" s="250" t="str">
        <f>'Програма-имена+кабинети'!J53</f>
        <v>Минчева</v>
      </c>
      <c r="D251" s="252" t="str">
        <f>'Програма-имена+кабинети'!K53</f>
        <v>212/214/215/217</v>
      </c>
      <c r="E251" s="264">
        <v>6</v>
      </c>
      <c r="F251" s="250" t="str">
        <f>'Програма-имена+кабинети'!J108</f>
        <v>Конгалов</v>
      </c>
      <c r="G251" s="252" t="str">
        <f>'Програма-имена+кабинети'!K108</f>
        <v>ФС</v>
      </c>
      <c r="H251" s="264">
        <v>6</v>
      </c>
      <c r="I251" s="250" t="str">
        <f>'Програма-имена+кабинети'!J163</f>
        <v>Чанкова</v>
      </c>
      <c r="J251" s="252">
        <f>'Програма-имена+кабинети'!K163</f>
        <v>105</v>
      </c>
      <c r="K251" s="264">
        <v>6</v>
      </c>
      <c r="L251" s="250" t="str">
        <f>'Програма-имена+кабинети'!J218</f>
        <v>Козалиева</v>
      </c>
      <c r="M251" s="252" t="str">
        <f>'Програма-имена+кабинети'!K218</f>
        <v>212/214/215/217</v>
      </c>
      <c r="N251" s="264">
        <v>6</v>
      </c>
      <c r="O251" s="250" t="str">
        <f>'Програма-имена+кабинети'!J272</f>
        <v>Даскалова/Тодорова</v>
      </c>
      <c r="P251" s="252" t="str">
        <f>'Програма-имена+кабинети'!K272</f>
        <v>107-108/101-105</v>
      </c>
    </row>
    <row r="252" spans="1:17" ht="20.95" customHeight="1">
      <c r="A252" s="435"/>
      <c r="B252" s="281">
        <v>7</v>
      </c>
      <c r="C252" s="251" t="str">
        <f>'Програма-имена+кабинети'!J54</f>
        <v>Минчева</v>
      </c>
      <c r="D252" s="253" t="str">
        <f>'Програма-имена+кабинети'!K54</f>
        <v>212/214/215/217</v>
      </c>
      <c r="E252" s="281">
        <v>7</v>
      </c>
      <c r="F252" s="251" t="str">
        <f>'Програма-имена+кабинети'!J109</f>
        <v>Попова</v>
      </c>
      <c r="G252" s="253" t="str">
        <f>'Програма-имена+кабинети'!K109</f>
        <v>212/214/215/217</v>
      </c>
      <c r="H252" s="281">
        <v>7</v>
      </c>
      <c r="I252" s="251" t="str">
        <f>'Програма-имена+кабинети'!J164</f>
        <v>Козалиева</v>
      </c>
      <c r="J252" s="253" t="str">
        <f>'Програма-имена+кабинети'!K164</f>
        <v>212/214/215/217</v>
      </c>
      <c r="K252" s="281">
        <v>7</v>
      </c>
      <c r="L252" s="251">
        <f>'Програма-имена+кабинети'!J219</f>
        <v>0</v>
      </c>
      <c r="M252" s="253" t="str">
        <f>'Програма-имена+кабинети'!K219</f>
        <v/>
      </c>
      <c r="N252" s="281">
        <v>7</v>
      </c>
      <c r="O252" s="251">
        <f>'Програма-имена+кабинети'!J273</f>
        <v>0</v>
      </c>
      <c r="P252" s="253" t="str">
        <f>'Програма-имена+кабинети'!K273</f>
        <v/>
      </c>
    </row>
    <row r="284" spans="17:17" ht="20.95" customHeight="1">
      <c r="Q284" s="263"/>
    </row>
  </sheetData>
  <mergeCells count="28"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47:A54"/>
    <mergeCell ref="A2:A9"/>
    <mergeCell ref="A11:A18"/>
    <mergeCell ref="A20:A27"/>
    <mergeCell ref="A29:A36"/>
    <mergeCell ref="A38:A45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N52"/>
  <sheetViews>
    <sheetView zoomScale="130" zoomScaleNormal="130" workbookViewId="0">
      <selection activeCell="C3" sqref="C3"/>
    </sheetView>
  </sheetViews>
  <sheetFormatPr defaultColWidth="9.125" defaultRowHeight="11.8"/>
  <cols>
    <col min="1" max="1" width="4.25" style="31" customWidth="1"/>
    <col min="2" max="2" width="12.125" style="23" customWidth="1"/>
    <col min="3" max="7" width="3.375" style="31" customWidth="1"/>
    <col min="8" max="9" width="3.75" style="31" customWidth="1"/>
    <col min="10" max="23" width="3.625" style="31" customWidth="1"/>
    <col min="24" max="36" width="3.375" style="31" customWidth="1"/>
    <col min="37" max="37" width="1.625" style="31" customWidth="1"/>
    <col min="38" max="16384" width="9.125" style="23"/>
  </cols>
  <sheetData>
    <row r="1" spans="1:37" ht="10.5" customHeight="1">
      <c r="A1" s="37"/>
      <c r="B1" s="38"/>
      <c r="C1" s="436" t="s">
        <v>24</v>
      </c>
      <c r="D1" s="437"/>
      <c r="E1" s="437"/>
      <c r="F1" s="437"/>
      <c r="G1" s="437"/>
      <c r="H1" s="437"/>
      <c r="I1" s="437"/>
      <c r="J1" s="437" t="s">
        <v>25</v>
      </c>
      <c r="K1" s="437"/>
      <c r="L1" s="437"/>
      <c r="M1" s="437"/>
      <c r="N1" s="437"/>
      <c r="O1" s="437"/>
      <c r="P1" s="437"/>
      <c r="Q1" s="437" t="s">
        <v>26</v>
      </c>
      <c r="R1" s="437"/>
      <c r="S1" s="437"/>
      <c r="T1" s="437"/>
      <c r="U1" s="437"/>
      <c r="V1" s="437"/>
      <c r="W1" s="437"/>
      <c r="X1" s="437" t="s">
        <v>27</v>
      </c>
      <c r="Y1" s="437"/>
      <c r="Z1" s="437"/>
      <c r="AA1" s="437"/>
      <c r="AB1" s="437"/>
      <c r="AC1" s="437"/>
      <c r="AD1" s="437"/>
      <c r="AE1" s="437" t="s">
        <v>28</v>
      </c>
      <c r="AF1" s="437"/>
      <c r="AG1" s="437"/>
      <c r="AH1" s="437"/>
      <c r="AI1" s="437"/>
      <c r="AJ1" s="437"/>
      <c r="AK1" s="437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85" customHeight="1">
      <c r="A3" s="41">
        <v>1</v>
      </c>
      <c r="B3" s="42" t="str">
        <f>Списък!B2</f>
        <v>Г. Петрова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7</v>
      </c>
      <c r="AB3" s="20" t="s">
        <v>9</v>
      </c>
      <c r="AC3" s="20" t="s">
        <v>54</v>
      </c>
      <c r="AD3" s="203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3" customHeight="1">
      <c r="A4" s="35">
        <v>2</v>
      </c>
      <c r="B4" s="42" t="str">
        <f>Списък!B3</f>
        <v>Н. Николова</v>
      </c>
      <c r="C4" s="34" t="s">
        <v>48</v>
      </c>
      <c r="D4" s="10" t="s">
        <v>48</v>
      </c>
      <c r="E4" s="10" t="s">
        <v>49</v>
      </c>
      <c r="F4" s="10" t="s">
        <v>49</v>
      </c>
      <c r="G4" s="10">
        <v>6</v>
      </c>
      <c r="H4" s="10" t="s">
        <v>50</v>
      </c>
      <c r="I4" s="10" t="s">
        <v>50</v>
      </c>
      <c r="J4" s="20" t="s">
        <v>54</v>
      </c>
      <c r="K4" s="20" t="s">
        <v>54</v>
      </c>
      <c r="L4" s="20" t="s">
        <v>54</v>
      </c>
      <c r="M4" s="20" t="s">
        <v>52</v>
      </c>
      <c r="N4" s="20" t="s">
        <v>52</v>
      </c>
      <c r="O4" s="20" t="s">
        <v>51</v>
      </c>
      <c r="P4" s="20" t="s">
        <v>51</v>
      </c>
      <c r="Q4" s="10" t="s">
        <v>49</v>
      </c>
      <c r="R4" s="10">
        <v>6</v>
      </c>
      <c r="S4" s="10">
        <v>6</v>
      </c>
      <c r="T4" s="10" t="s">
        <v>48</v>
      </c>
      <c r="U4" s="10" t="s">
        <v>54</v>
      </c>
      <c r="V4" s="10" t="s">
        <v>54</v>
      </c>
      <c r="W4" s="33" t="s">
        <v>54</v>
      </c>
      <c r="X4" s="20" t="s">
        <v>48</v>
      </c>
      <c r="Y4" s="20">
        <v>6</v>
      </c>
      <c r="Z4" s="20" t="s">
        <v>52</v>
      </c>
      <c r="AA4" s="20" t="s">
        <v>51</v>
      </c>
      <c r="AB4" s="20" t="s">
        <v>50</v>
      </c>
      <c r="AC4" s="20" t="s">
        <v>49</v>
      </c>
      <c r="AD4" s="203" t="s">
        <v>54</v>
      </c>
      <c r="AE4" s="10" t="s">
        <v>50</v>
      </c>
      <c r="AF4" s="10" t="s">
        <v>52</v>
      </c>
      <c r="AG4" s="10" t="s">
        <v>51</v>
      </c>
      <c r="AH4" s="10">
        <v>6</v>
      </c>
      <c r="AI4" s="10" t="s">
        <v>54</v>
      </c>
      <c r="AJ4" s="10" t="s">
        <v>54</v>
      </c>
      <c r="AK4" s="22" t="s">
        <v>54</v>
      </c>
    </row>
    <row r="5" spans="1:37" ht="11.3" customHeight="1">
      <c r="A5" s="35">
        <v>3</v>
      </c>
      <c r="B5" s="42" t="str">
        <f>Списък!B4</f>
        <v>Трифонова</v>
      </c>
      <c r="C5" s="34" t="s">
        <v>1</v>
      </c>
      <c r="D5" s="10" t="s">
        <v>1</v>
      </c>
      <c r="E5" s="10" t="s">
        <v>2</v>
      </c>
      <c r="F5" s="10" t="s">
        <v>2</v>
      </c>
      <c r="G5" s="10">
        <v>7</v>
      </c>
      <c r="H5" s="10" t="s">
        <v>3</v>
      </c>
      <c r="I5" s="10" t="s">
        <v>3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 t="s">
        <v>4</v>
      </c>
      <c r="P5" s="20" t="s">
        <v>4</v>
      </c>
      <c r="Q5" s="10" t="s">
        <v>2</v>
      </c>
      <c r="R5" s="10" t="s">
        <v>4</v>
      </c>
      <c r="S5" s="10" t="s">
        <v>3</v>
      </c>
      <c r="T5" s="10" t="s">
        <v>54</v>
      </c>
      <c r="U5" s="10">
        <v>7</v>
      </c>
      <c r="V5" s="10" t="s">
        <v>1</v>
      </c>
      <c r="W5" s="33" t="s">
        <v>1</v>
      </c>
      <c r="X5" s="20">
        <v>7</v>
      </c>
      <c r="Y5" s="20">
        <v>7</v>
      </c>
      <c r="Z5" s="20" t="s">
        <v>54</v>
      </c>
      <c r="AA5" s="20" t="s">
        <v>54</v>
      </c>
      <c r="AB5" s="20" t="s">
        <v>54</v>
      </c>
      <c r="AC5" s="20" t="s">
        <v>54</v>
      </c>
      <c r="AD5" s="203" t="s">
        <v>54</v>
      </c>
      <c r="AE5" s="10" t="s">
        <v>1</v>
      </c>
      <c r="AF5" s="10" t="s">
        <v>4</v>
      </c>
      <c r="AG5" s="10" t="s">
        <v>3</v>
      </c>
      <c r="AH5" s="10" t="s">
        <v>54</v>
      </c>
      <c r="AI5" s="10">
        <v>7</v>
      </c>
      <c r="AJ5" s="10" t="s">
        <v>2</v>
      </c>
      <c r="AK5" s="22" t="s">
        <v>54</v>
      </c>
    </row>
    <row r="6" spans="1:37" ht="11.3" customHeight="1">
      <c r="A6" s="35">
        <v>4</v>
      </c>
      <c r="B6" s="42" t="str">
        <f>Списък!B5</f>
        <v>Вълчева</v>
      </c>
      <c r="C6" s="34" t="s">
        <v>17</v>
      </c>
      <c r="D6" s="10" t="s">
        <v>18</v>
      </c>
      <c r="E6" s="10" t="s">
        <v>54</v>
      </c>
      <c r="F6" s="10" t="s">
        <v>6</v>
      </c>
      <c r="G6" s="10" t="s">
        <v>6</v>
      </c>
      <c r="H6" s="10" t="s">
        <v>54</v>
      </c>
      <c r="I6" s="10" t="s">
        <v>54</v>
      </c>
      <c r="J6" s="20" t="s">
        <v>46</v>
      </c>
      <c r="K6" s="20" t="s">
        <v>15</v>
      </c>
      <c r="L6" s="20" t="s">
        <v>54</v>
      </c>
      <c r="M6" s="20" t="s">
        <v>16</v>
      </c>
      <c r="N6" s="20" t="s">
        <v>54</v>
      </c>
      <c r="O6" s="20" t="s">
        <v>54</v>
      </c>
      <c r="P6" s="20" t="s">
        <v>54</v>
      </c>
      <c r="Q6" s="10" t="s">
        <v>17</v>
      </c>
      <c r="R6" s="10" t="s">
        <v>17</v>
      </c>
      <c r="S6" s="10" t="s">
        <v>54</v>
      </c>
      <c r="T6" s="10" t="s">
        <v>6</v>
      </c>
      <c r="U6" s="10" t="s">
        <v>18</v>
      </c>
      <c r="V6" s="10" t="s">
        <v>18</v>
      </c>
      <c r="W6" s="33" t="s">
        <v>6</v>
      </c>
      <c r="X6" s="20" t="s">
        <v>54</v>
      </c>
      <c r="Y6" s="20" t="s">
        <v>54</v>
      </c>
      <c r="Z6" s="20" t="s">
        <v>46</v>
      </c>
      <c r="AA6" s="20" t="s">
        <v>46</v>
      </c>
      <c r="AB6" s="20" t="s">
        <v>16</v>
      </c>
      <c r="AC6" s="20" t="s">
        <v>16</v>
      </c>
      <c r="AD6" s="203" t="s">
        <v>54</v>
      </c>
      <c r="AE6" s="10" t="s">
        <v>15</v>
      </c>
      <c r="AF6" s="10" t="s">
        <v>15</v>
      </c>
      <c r="AG6" s="10" t="s">
        <v>6</v>
      </c>
      <c r="AH6" s="10" t="s">
        <v>54</v>
      </c>
      <c r="AI6" s="10" t="s">
        <v>54</v>
      </c>
      <c r="AJ6" s="10" t="s">
        <v>54</v>
      </c>
      <c r="AK6" s="22" t="s">
        <v>54</v>
      </c>
    </row>
    <row r="7" spans="1:37" ht="11.3" customHeight="1">
      <c r="A7" s="35">
        <v>5</v>
      </c>
      <c r="B7" s="42" t="str">
        <f>Списък!B6</f>
        <v>Стефанова</v>
      </c>
      <c r="C7" s="34" t="s">
        <v>112</v>
      </c>
      <c r="D7" s="10" t="s">
        <v>112</v>
      </c>
      <c r="E7" s="10" t="s">
        <v>9</v>
      </c>
      <c r="F7" s="10" t="s">
        <v>54</v>
      </c>
      <c r="G7" s="10" t="s">
        <v>8</v>
      </c>
      <c r="H7" s="10" t="s">
        <v>7</v>
      </c>
      <c r="I7" s="10" t="s">
        <v>5</v>
      </c>
      <c r="J7" s="20">
        <v>5</v>
      </c>
      <c r="K7" s="20" t="s">
        <v>112</v>
      </c>
      <c r="L7" s="20" t="s">
        <v>5</v>
      </c>
      <c r="M7" s="20" t="s">
        <v>5</v>
      </c>
      <c r="N7" s="20" t="s">
        <v>54</v>
      </c>
      <c r="O7" s="20" t="s">
        <v>8</v>
      </c>
      <c r="P7" s="20" t="s">
        <v>8</v>
      </c>
      <c r="Q7" s="10" t="s">
        <v>7</v>
      </c>
      <c r="R7" s="10" t="s">
        <v>7</v>
      </c>
      <c r="S7" s="10">
        <v>5</v>
      </c>
      <c r="T7" s="10" t="s">
        <v>54</v>
      </c>
      <c r="U7" s="10" t="s">
        <v>54</v>
      </c>
      <c r="V7" s="10" t="s">
        <v>54</v>
      </c>
      <c r="W7" s="33" t="s">
        <v>54</v>
      </c>
      <c r="X7" s="20">
        <v>5</v>
      </c>
      <c r="Y7" s="20">
        <v>5</v>
      </c>
      <c r="Z7" s="20" t="s">
        <v>9</v>
      </c>
      <c r="AA7" s="20" t="s">
        <v>9</v>
      </c>
      <c r="AB7" s="20" t="s">
        <v>54</v>
      </c>
      <c r="AC7" s="20" t="s">
        <v>112</v>
      </c>
      <c r="AD7" s="203" t="s">
        <v>54</v>
      </c>
      <c r="AE7" s="10" t="s">
        <v>9</v>
      </c>
      <c r="AF7" s="10" t="s">
        <v>5</v>
      </c>
      <c r="AG7" s="10" t="s">
        <v>54</v>
      </c>
      <c r="AH7" s="10" t="s">
        <v>8</v>
      </c>
      <c r="AI7" s="10">
        <v>5</v>
      </c>
      <c r="AJ7" s="10" t="s">
        <v>7</v>
      </c>
      <c r="AK7" s="22" t="s">
        <v>54</v>
      </c>
    </row>
    <row r="8" spans="1:37" ht="11.3" customHeight="1">
      <c r="A8" s="35">
        <v>6</v>
      </c>
      <c r="B8" s="42" t="str">
        <f>Списък!B7</f>
        <v>Гюлева</v>
      </c>
      <c r="C8" s="34" t="s">
        <v>54</v>
      </c>
      <c r="D8" s="10" t="s">
        <v>54</v>
      </c>
      <c r="E8" s="10" t="s">
        <v>54</v>
      </c>
      <c r="F8" s="10" t="s">
        <v>54</v>
      </c>
      <c r="G8" s="10" t="s">
        <v>54</v>
      </c>
      <c r="H8" s="10" t="s">
        <v>12</v>
      </c>
      <c r="I8" s="10" t="s">
        <v>11</v>
      </c>
      <c r="J8" s="20" t="s">
        <v>12</v>
      </c>
      <c r="K8" s="20" t="s">
        <v>12</v>
      </c>
      <c r="L8" s="20" t="s">
        <v>54</v>
      </c>
      <c r="M8" s="20" t="s">
        <v>11</v>
      </c>
      <c r="N8" s="20" t="s">
        <v>11</v>
      </c>
      <c r="O8" s="20" t="s">
        <v>10</v>
      </c>
      <c r="P8" s="20" t="s">
        <v>10</v>
      </c>
      <c r="Q8" s="10" t="s">
        <v>54</v>
      </c>
      <c r="R8" s="10" t="s">
        <v>54</v>
      </c>
      <c r="S8" s="10" t="s">
        <v>14</v>
      </c>
      <c r="T8" s="10" t="s">
        <v>54</v>
      </c>
      <c r="U8" s="10" t="s">
        <v>13</v>
      </c>
      <c r="V8" s="10" t="s">
        <v>13</v>
      </c>
      <c r="W8" s="33" t="s">
        <v>10</v>
      </c>
      <c r="X8" s="20" t="s">
        <v>12</v>
      </c>
      <c r="Y8" s="20" t="s">
        <v>54</v>
      </c>
      <c r="Z8" s="20" t="s">
        <v>13</v>
      </c>
      <c r="AA8" s="20" t="s">
        <v>11</v>
      </c>
      <c r="AB8" s="20" t="s">
        <v>10</v>
      </c>
      <c r="AC8" s="20" t="s">
        <v>14</v>
      </c>
      <c r="AD8" s="203" t="s">
        <v>54</v>
      </c>
      <c r="AE8" s="10" t="s">
        <v>54</v>
      </c>
      <c r="AF8" s="10" t="s">
        <v>54</v>
      </c>
      <c r="AG8" s="10" t="s">
        <v>14</v>
      </c>
      <c r="AH8" s="10" t="s">
        <v>14</v>
      </c>
      <c r="AI8" s="10" t="s">
        <v>10</v>
      </c>
      <c r="AJ8" s="10" t="s">
        <v>13</v>
      </c>
      <c r="AK8" s="22" t="s">
        <v>54</v>
      </c>
    </row>
    <row r="9" spans="1:37" ht="11.3" customHeight="1">
      <c r="A9" s="35">
        <v>7</v>
      </c>
      <c r="B9" s="42" t="str">
        <f>Списък!B8</f>
        <v>Чанкова</v>
      </c>
      <c r="C9" s="34" t="s">
        <v>52</v>
      </c>
      <c r="D9" s="10" t="s">
        <v>51</v>
      </c>
      <c r="E9" s="10" t="s">
        <v>48</v>
      </c>
      <c r="F9" s="10" t="s">
        <v>50</v>
      </c>
      <c r="G9" s="10" t="s">
        <v>49</v>
      </c>
      <c r="H9" s="10" t="s">
        <v>54</v>
      </c>
      <c r="I9" s="10" t="s">
        <v>54</v>
      </c>
      <c r="J9" s="20" t="s">
        <v>52</v>
      </c>
      <c r="K9" s="20" t="s">
        <v>52</v>
      </c>
      <c r="L9" s="20" t="s">
        <v>54</v>
      </c>
      <c r="M9" s="20" t="s">
        <v>51</v>
      </c>
      <c r="N9" s="20" t="s">
        <v>50</v>
      </c>
      <c r="O9" s="20" t="s">
        <v>48</v>
      </c>
      <c r="P9" s="20" t="s">
        <v>49</v>
      </c>
      <c r="Q9" s="10" t="s">
        <v>50</v>
      </c>
      <c r="R9" s="10" t="s">
        <v>50</v>
      </c>
      <c r="S9" s="10" t="s">
        <v>51</v>
      </c>
      <c r="T9" s="10" t="s">
        <v>51</v>
      </c>
      <c r="U9" s="10" t="s">
        <v>54</v>
      </c>
      <c r="V9" s="10" t="s">
        <v>52</v>
      </c>
      <c r="W9" s="33" t="s">
        <v>50</v>
      </c>
      <c r="X9" s="20" t="s">
        <v>54</v>
      </c>
      <c r="Y9" s="20" t="s">
        <v>49</v>
      </c>
      <c r="Z9" s="20" t="s">
        <v>49</v>
      </c>
      <c r="AA9" s="20" t="s">
        <v>54</v>
      </c>
      <c r="AB9" s="20" t="s">
        <v>48</v>
      </c>
      <c r="AC9" s="20" t="s">
        <v>48</v>
      </c>
      <c r="AD9" s="203" t="s">
        <v>54</v>
      </c>
      <c r="AE9" s="10" t="s">
        <v>54</v>
      </c>
      <c r="AF9" s="10" t="s">
        <v>50</v>
      </c>
      <c r="AG9" s="10" t="s">
        <v>52</v>
      </c>
      <c r="AH9" s="10" t="s">
        <v>49</v>
      </c>
      <c r="AI9" s="10" t="s">
        <v>48</v>
      </c>
      <c r="AJ9" s="10" t="s">
        <v>51</v>
      </c>
      <c r="AK9" s="22" t="s">
        <v>54</v>
      </c>
    </row>
    <row r="10" spans="1:37" ht="11.3" customHeight="1">
      <c r="A10" s="35">
        <v>8</v>
      </c>
      <c r="B10" s="42" t="str">
        <f>Списък!B9</f>
        <v>Маркова</v>
      </c>
      <c r="C10" s="34" t="s">
        <v>4</v>
      </c>
      <c r="D10" s="10" t="s">
        <v>4</v>
      </c>
      <c r="E10" s="10" t="s">
        <v>4</v>
      </c>
      <c r="F10" s="10" t="s">
        <v>4</v>
      </c>
      <c r="G10" s="10" t="s">
        <v>54</v>
      </c>
      <c r="H10" s="10" t="s">
        <v>54</v>
      </c>
      <c r="I10" s="10" t="s">
        <v>54</v>
      </c>
      <c r="J10" s="20" t="s">
        <v>4</v>
      </c>
      <c r="K10" s="20" t="s">
        <v>4</v>
      </c>
      <c r="L10" s="20" t="s">
        <v>4</v>
      </c>
      <c r="M10" s="20" t="s">
        <v>54</v>
      </c>
      <c r="N10" s="20" t="s">
        <v>54</v>
      </c>
      <c r="O10" s="20" t="s">
        <v>54</v>
      </c>
      <c r="P10" s="20" t="s">
        <v>54</v>
      </c>
      <c r="Q10" s="10" t="s">
        <v>54</v>
      </c>
      <c r="R10" s="10" t="s">
        <v>54</v>
      </c>
      <c r="S10" s="10" t="s">
        <v>54</v>
      </c>
      <c r="T10" s="10" t="s">
        <v>4</v>
      </c>
      <c r="U10" s="10" t="s">
        <v>4</v>
      </c>
      <c r="V10" s="10" t="s">
        <v>4</v>
      </c>
      <c r="W10" s="33" t="s">
        <v>4</v>
      </c>
      <c r="X10" s="20" t="s">
        <v>4</v>
      </c>
      <c r="Y10" s="20" t="s">
        <v>4</v>
      </c>
      <c r="Z10" s="20" t="s">
        <v>4</v>
      </c>
      <c r="AA10" s="20" t="s">
        <v>4</v>
      </c>
      <c r="AB10" s="20" t="s">
        <v>54</v>
      </c>
      <c r="AC10" s="20" t="s">
        <v>54</v>
      </c>
      <c r="AD10" s="203" t="s">
        <v>54</v>
      </c>
      <c r="AE10" s="10" t="s">
        <v>54</v>
      </c>
      <c r="AF10" s="10" t="s">
        <v>54</v>
      </c>
      <c r="AG10" s="10" t="s">
        <v>4</v>
      </c>
      <c r="AH10" s="10" t="s">
        <v>4</v>
      </c>
      <c r="AI10" s="10" t="s">
        <v>4</v>
      </c>
      <c r="AJ10" s="10" t="s">
        <v>4</v>
      </c>
      <c r="AK10" s="22" t="s">
        <v>54</v>
      </c>
    </row>
    <row r="11" spans="1:37" ht="11.3" customHeight="1">
      <c r="A11" s="35">
        <v>9</v>
      </c>
      <c r="B11" s="42" t="str">
        <f>Списък!B10</f>
        <v>Д. Николова</v>
      </c>
      <c r="C11" s="34" t="s">
        <v>54</v>
      </c>
      <c r="D11" s="10" t="s">
        <v>54</v>
      </c>
      <c r="E11" s="10" t="s">
        <v>54</v>
      </c>
      <c r="F11" s="10" t="s">
        <v>54</v>
      </c>
      <c r="G11" s="10" t="s">
        <v>2</v>
      </c>
      <c r="H11" s="10" t="s">
        <v>2</v>
      </c>
      <c r="I11" s="10" t="s">
        <v>2</v>
      </c>
      <c r="J11" s="20" t="s">
        <v>54</v>
      </c>
      <c r="K11" s="20" t="s">
        <v>54</v>
      </c>
      <c r="L11" s="20" t="s">
        <v>54</v>
      </c>
      <c r="M11" s="20" t="s">
        <v>2</v>
      </c>
      <c r="N11" s="20" t="s">
        <v>2</v>
      </c>
      <c r="O11" s="20" t="s">
        <v>2</v>
      </c>
      <c r="P11" s="20" t="s">
        <v>2</v>
      </c>
      <c r="Q11" s="10" t="s">
        <v>54</v>
      </c>
      <c r="R11" s="10" t="s">
        <v>2</v>
      </c>
      <c r="S11" s="10" t="s">
        <v>2</v>
      </c>
      <c r="T11" s="10" t="s">
        <v>2</v>
      </c>
      <c r="U11" s="10" t="s">
        <v>54</v>
      </c>
      <c r="V11" s="10" t="s">
        <v>54</v>
      </c>
      <c r="W11" s="33" t="s">
        <v>2</v>
      </c>
      <c r="X11" s="20" t="s">
        <v>54</v>
      </c>
      <c r="Y11" s="20" t="s">
        <v>54</v>
      </c>
      <c r="Z11" s="20" t="s">
        <v>2</v>
      </c>
      <c r="AA11" s="20" t="s">
        <v>2</v>
      </c>
      <c r="AB11" s="20" t="s">
        <v>2</v>
      </c>
      <c r="AC11" s="20" t="s">
        <v>2</v>
      </c>
      <c r="AD11" s="203" t="s">
        <v>54</v>
      </c>
      <c r="AE11" s="10" t="s">
        <v>2</v>
      </c>
      <c r="AF11" s="10" t="s">
        <v>2</v>
      </c>
      <c r="AG11" s="10" t="s">
        <v>2</v>
      </c>
      <c r="AH11" s="10" t="s">
        <v>2</v>
      </c>
      <c r="AI11" s="10" t="s">
        <v>54</v>
      </c>
      <c r="AJ11" s="10" t="s">
        <v>54</v>
      </c>
      <c r="AK11" s="22" t="s">
        <v>54</v>
      </c>
    </row>
    <row r="12" spans="1:37" ht="11.3" customHeight="1">
      <c r="A12" s="35">
        <v>10</v>
      </c>
      <c r="B12" s="42" t="str">
        <f>Списък!B11</f>
        <v>Данева</v>
      </c>
      <c r="C12" s="34" t="s">
        <v>54</v>
      </c>
      <c r="D12" s="10" t="s">
        <v>54</v>
      </c>
      <c r="E12" s="10" t="s">
        <v>15</v>
      </c>
      <c r="F12" s="10" t="s">
        <v>15</v>
      </c>
      <c r="G12" s="10" t="s">
        <v>54</v>
      </c>
      <c r="H12" s="10" t="s">
        <v>18</v>
      </c>
      <c r="I12" s="10" t="s">
        <v>18</v>
      </c>
      <c r="J12" s="20" t="s">
        <v>54</v>
      </c>
      <c r="K12" s="20" t="s">
        <v>54</v>
      </c>
      <c r="L12" s="20" t="s">
        <v>54</v>
      </c>
      <c r="M12" s="20" t="s">
        <v>46</v>
      </c>
      <c r="N12" s="20" t="s">
        <v>46</v>
      </c>
      <c r="O12" s="20" t="s">
        <v>17</v>
      </c>
      <c r="P12" s="20" t="s">
        <v>17</v>
      </c>
      <c r="Q12" s="10" t="s">
        <v>15</v>
      </c>
      <c r="R12" s="10" t="s">
        <v>15</v>
      </c>
      <c r="S12" s="10" t="s">
        <v>18</v>
      </c>
      <c r="T12" s="10" t="s">
        <v>17</v>
      </c>
      <c r="U12" s="10" t="s">
        <v>54</v>
      </c>
      <c r="V12" s="10" t="s">
        <v>46</v>
      </c>
      <c r="W12" s="33" t="s">
        <v>17</v>
      </c>
      <c r="X12" s="20" t="s">
        <v>54</v>
      </c>
      <c r="Y12" s="20" t="s">
        <v>54</v>
      </c>
      <c r="Z12" s="20" t="s">
        <v>54</v>
      </c>
      <c r="AA12" s="20" t="s">
        <v>54</v>
      </c>
      <c r="AB12" s="20" t="s">
        <v>46</v>
      </c>
      <c r="AC12" s="20" t="s">
        <v>18</v>
      </c>
      <c r="AD12" s="203" t="s">
        <v>54</v>
      </c>
      <c r="AE12" s="10" t="s">
        <v>46</v>
      </c>
      <c r="AF12" s="10" t="s">
        <v>54</v>
      </c>
      <c r="AG12" s="10" t="s">
        <v>15</v>
      </c>
      <c r="AH12" s="10" t="s">
        <v>18</v>
      </c>
      <c r="AI12" s="10" t="s">
        <v>17</v>
      </c>
      <c r="AJ12" s="10" t="s">
        <v>17</v>
      </c>
      <c r="AK12" s="22" t="s">
        <v>54</v>
      </c>
    </row>
    <row r="13" spans="1:37" ht="11.3" customHeight="1">
      <c r="A13" s="35">
        <v>11</v>
      </c>
      <c r="B13" s="42" t="str">
        <f>Списък!B12</f>
        <v>Габарова</v>
      </c>
      <c r="C13" s="34" t="s">
        <v>54</v>
      </c>
      <c r="D13" s="10" t="s">
        <v>54</v>
      </c>
      <c r="E13" s="10" t="s">
        <v>54</v>
      </c>
      <c r="F13" s="10" t="s">
        <v>1</v>
      </c>
      <c r="G13" s="10" t="s">
        <v>1</v>
      </c>
      <c r="H13" s="10" t="s">
        <v>1</v>
      </c>
      <c r="I13" s="10" t="s">
        <v>1</v>
      </c>
      <c r="J13" s="20" t="s">
        <v>1</v>
      </c>
      <c r="K13" s="20" t="s">
        <v>1</v>
      </c>
      <c r="L13" s="20" t="s">
        <v>1</v>
      </c>
      <c r="M13" s="20" t="s">
        <v>1</v>
      </c>
      <c r="N13" s="20" t="s">
        <v>54</v>
      </c>
      <c r="O13" s="20" t="s">
        <v>16</v>
      </c>
      <c r="P13" s="20" t="s">
        <v>16</v>
      </c>
      <c r="Q13" s="10" t="s">
        <v>1</v>
      </c>
      <c r="R13" s="10" t="s">
        <v>1</v>
      </c>
      <c r="S13" s="10" t="s">
        <v>1</v>
      </c>
      <c r="T13" s="10" t="s">
        <v>16</v>
      </c>
      <c r="U13" s="10" t="s">
        <v>54</v>
      </c>
      <c r="V13" s="10" t="s">
        <v>54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3" t="s">
        <v>54</v>
      </c>
      <c r="AE13" s="10" t="s">
        <v>16</v>
      </c>
      <c r="AF13" s="10" t="s">
        <v>16</v>
      </c>
      <c r="AG13" s="10" t="s">
        <v>1</v>
      </c>
      <c r="AH13" s="10" t="s">
        <v>54</v>
      </c>
      <c r="AI13" s="10" t="s">
        <v>1</v>
      </c>
      <c r="AJ13" s="10" t="s">
        <v>1</v>
      </c>
      <c r="AK13" s="22" t="s">
        <v>54</v>
      </c>
    </row>
    <row r="14" spans="1:37" ht="11.3" customHeight="1">
      <c r="A14" s="35">
        <v>12</v>
      </c>
      <c r="B14" s="42" t="str">
        <f>Списък!B13</f>
        <v>Гинева</v>
      </c>
      <c r="C14" s="34">
        <v>7</v>
      </c>
      <c r="D14" s="10" t="s">
        <v>3</v>
      </c>
      <c r="E14" s="10" t="s">
        <v>3</v>
      </c>
      <c r="F14" s="10" t="s">
        <v>3</v>
      </c>
      <c r="G14" s="10" t="s">
        <v>3</v>
      </c>
      <c r="H14" s="10" t="s">
        <v>54</v>
      </c>
      <c r="I14" s="10" t="s">
        <v>54</v>
      </c>
      <c r="J14" s="20" t="s">
        <v>54</v>
      </c>
      <c r="K14" s="20" t="s">
        <v>54</v>
      </c>
      <c r="L14" s="20" t="s">
        <v>3</v>
      </c>
      <c r="M14" s="20" t="s">
        <v>3</v>
      </c>
      <c r="N14" s="20" t="s">
        <v>3</v>
      </c>
      <c r="O14" s="20">
        <v>7</v>
      </c>
      <c r="P14" s="20" t="s">
        <v>3</v>
      </c>
      <c r="Q14" s="10" t="s">
        <v>54</v>
      </c>
      <c r="R14" s="10" t="s">
        <v>54</v>
      </c>
      <c r="S14" s="10" t="s">
        <v>54</v>
      </c>
      <c r="T14" s="10" t="s">
        <v>3</v>
      </c>
      <c r="U14" s="10" t="s">
        <v>3</v>
      </c>
      <c r="V14" s="10" t="s">
        <v>3</v>
      </c>
      <c r="W14" s="33" t="s">
        <v>3</v>
      </c>
      <c r="X14" s="20" t="s">
        <v>54</v>
      </c>
      <c r="Y14" s="20" t="s">
        <v>3</v>
      </c>
      <c r="Z14" s="20">
        <v>7</v>
      </c>
      <c r="AA14" s="20" t="s">
        <v>3</v>
      </c>
      <c r="AB14" s="20" t="s">
        <v>3</v>
      </c>
      <c r="AC14" s="20" t="s">
        <v>3</v>
      </c>
      <c r="AD14" s="203" t="s">
        <v>54</v>
      </c>
      <c r="AE14" s="10" t="s">
        <v>54</v>
      </c>
      <c r="AF14" s="10" t="s">
        <v>54</v>
      </c>
      <c r="AG14" s="10" t="s">
        <v>54</v>
      </c>
      <c r="AH14" s="10" t="s">
        <v>3</v>
      </c>
      <c r="AI14" s="10" t="s">
        <v>3</v>
      </c>
      <c r="AJ14" s="10" t="s">
        <v>3</v>
      </c>
      <c r="AK14" s="22" t="s">
        <v>54</v>
      </c>
    </row>
    <row r="15" spans="1:37" ht="11.3" customHeight="1">
      <c r="A15" s="35">
        <v>13</v>
      </c>
      <c r="B15" s="42" t="str">
        <f>Списък!B14</f>
        <v>Сапунджиева</v>
      </c>
      <c r="C15" s="34" t="s">
        <v>5</v>
      </c>
      <c r="D15" s="10" t="s">
        <v>5</v>
      </c>
      <c r="E15" s="10" t="s">
        <v>8</v>
      </c>
      <c r="F15" s="10" t="s">
        <v>8</v>
      </c>
      <c r="G15" s="10" t="s">
        <v>54</v>
      </c>
      <c r="H15" s="10" t="s">
        <v>54</v>
      </c>
      <c r="I15" s="10" t="s">
        <v>54</v>
      </c>
      <c r="J15" s="20" t="s">
        <v>6</v>
      </c>
      <c r="K15" s="20" t="s">
        <v>6</v>
      </c>
      <c r="L15" s="20" t="s">
        <v>54</v>
      </c>
      <c r="M15" s="20" t="s">
        <v>7</v>
      </c>
      <c r="N15" s="20" t="s">
        <v>7</v>
      </c>
      <c r="O15" s="20" t="s">
        <v>9</v>
      </c>
      <c r="P15" s="20" t="s">
        <v>9</v>
      </c>
      <c r="Q15" s="10" t="s">
        <v>9</v>
      </c>
      <c r="R15" s="10" t="s">
        <v>54</v>
      </c>
      <c r="S15" s="10" t="s">
        <v>6</v>
      </c>
      <c r="T15" s="10" t="s">
        <v>8</v>
      </c>
      <c r="U15" s="10" t="s">
        <v>7</v>
      </c>
      <c r="V15" s="10" t="s">
        <v>5</v>
      </c>
      <c r="W15" s="33" t="s">
        <v>9</v>
      </c>
      <c r="X15" s="20" t="s">
        <v>54</v>
      </c>
      <c r="Y15" s="20" t="s">
        <v>54</v>
      </c>
      <c r="Z15" s="20" t="s">
        <v>54</v>
      </c>
      <c r="AA15" s="20" t="s">
        <v>8</v>
      </c>
      <c r="AB15" s="20" t="s">
        <v>7</v>
      </c>
      <c r="AC15" s="20" t="s">
        <v>5</v>
      </c>
      <c r="AD15" s="203" t="s">
        <v>54</v>
      </c>
      <c r="AE15" s="10" t="s">
        <v>6</v>
      </c>
      <c r="AF15" s="10" t="s">
        <v>9</v>
      </c>
      <c r="AG15" s="10" t="s">
        <v>54</v>
      </c>
      <c r="AH15" s="10" t="s">
        <v>54</v>
      </c>
      <c r="AI15" s="10" t="s">
        <v>54</v>
      </c>
      <c r="AJ15" s="10" t="s">
        <v>54</v>
      </c>
      <c r="AK15" s="22" t="s">
        <v>54</v>
      </c>
    </row>
    <row r="16" spans="1:37" ht="11.3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112</v>
      </c>
      <c r="F16" s="10" t="s">
        <v>112</v>
      </c>
      <c r="G16" s="10" t="s">
        <v>54</v>
      </c>
      <c r="H16" s="10" t="s">
        <v>112</v>
      </c>
      <c r="I16" s="10" t="s">
        <v>112</v>
      </c>
      <c r="J16" s="20" t="s">
        <v>54</v>
      </c>
      <c r="K16" s="20" t="s">
        <v>54</v>
      </c>
      <c r="L16" s="20" t="s">
        <v>54</v>
      </c>
      <c r="M16" s="20" t="s">
        <v>112</v>
      </c>
      <c r="N16" s="20" t="s">
        <v>112</v>
      </c>
      <c r="O16" s="20" t="s">
        <v>112</v>
      </c>
      <c r="P16" s="20" t="s">
        <v>112</v>
      </c>
      <c r="Q16" s="10" t="s">
        <v>54</v>
      </c>
      <c r="R16" s="10" t="s">
        <v>54</v>
      </c>
      <c r="S16" s="10" t="s">
        <v>54</v>
      </c>
      <c r="T16" s="10" t="s">
        <v>112</v>
      </c>
      <c r="U16" s="10" t="s">
        <v>112</v>
      </c>
      <c r="V16" s="10" t="s">
        <v>112</v>
      </c>
      <c r="W16" s="33" t="s">
        <v>112</v>
      </c>
      <c r="X16" s="20" t="s">
        <v>112</v>
      </c>
      <c r="Y16" s="20" t="s">
        <v>112</v>
      </c>
      <c r="Z16" s="20" t="s">
        <v>112</v>
      </c>
      <c r="AA16" s="20" t="s">
        <v>54</v>
      </c>
      <c r="AB16" s="20" t="s">
        <v>54</v>
      </c>
      <c r="AC16" s="20" t="s">
        <v>54</v>
      </c>
      <c r="AD16" s="203" t="s">
        <v>54</v>
      </c>
      <c r="AE16" s="10" t="s">
        <v>112</v>
      </c>
      <c r="AF16" s="10" t="s">
        <v>112</v>
      </c>
      <c r="AG16" s="10" t="s">
        <v>112</v>
      </c>
      <c r="AH16" s="10" t="s">
        <v>112</v>
      </c>
      <c r="AI16" s="10" t="s">
        <v>54</v>
      </c>
      <c r="AJ16" s="10" t="s">
        <v>54</v>
      </c>
      <c r="AK16" s="22" t="s">
        <v>54</v>
      </c>
    </row>
    <row r="17" spans="1:40" ht="11.3" customHeight="1">
      <c r="A17" s="35">
        <v>15</v>
      </c>
      <c r="B17" s="42" t="str">
        <f>Списък!B16</f>
        <v>Иванова</v>
      </c>
      <c r="C17" s="34" t="s">
        <v>14</v>
      </c>
      <c r="D17" s="10" t="s">
        <v>14</v>
      </c>
      <c r="E17" s="10">
        <v>6</v>
      </c>
      <c r="F17" s="10" t="s">
        <v>54</v>
      </c>
      <c r="G17" s="10" t="s">
        <v>54</v>
      </c>
      <c r="H17" s="10" t="s">
        <v>54</v>
      </c>
      <c r="I17" s="10" t="s">
        <v>54</v>
      </c>
      <c r="J17" s="20">
        <v>6</v>
      </c>
      <c r="K17" s="20" t="s">
        <v>54</v>
      </c>
      <c r="L17" s="20" t="s">
        <v>13</v>
      </c>
      <c r="M17" s="20" t="s">
        <v>13</v>
      </c>
      <c r="N17" s="20" t="s">
        <v>12</v>
      </c>
      <c r="O17" s="20" t="s">
        <v>12</v>
      </c>
      <c r="P17" s="20" t="s">
        <v>54</v>
      </c>
      <c r="Q17" s="10" t="s">
        <v>10</v>
      </c>
      <c r="R17" s="10" t="s">
        <v>10</v>
      </c>
      <c r="S17" s="10" t="s">
        <v>54</v>
      </c>
      <c r="T17" s="10" t="s">
        <v>54</v>
      </c>
      <c r="U17" s="10" t="s">
        <v>11</v>
      </c>
      <c r="V17" s="10" t="s">
        <v>11</v>
      </c>
      <c r="W17" s="33" t="s">
        <v>14</v>
      </c>
      <c r="X17" s="20">
        <v>6</v>
      </c>
      <c r="Y17" s="20" t="s">
        <v>14</v>
      </c>
      <c r="Z17" s="20" t="s">
        <v>54</v>
      </c>
      <c r="AA17" s="20" t="s">
        <v>54</v>
      </c>
      <c r="AB17" s="20" t="s">
        <v>54</v>
      </c>
      <c r="AC17" s="20" t="s">
        <v>54</v>
      </c>
      <c r="AD17" s="203" t="s">
        <v>54</v>
      </c>
      <c r="AE17" s="10" t="s">
        <v>54</v>
      </c>
      <c r="AF17" s="10" t="s">
        <v>54</v>
      </c>
      <c r="AG17" s="10" t="s">
        <v>10</v>
      </c>
      <c r="AH17" s="10" t="s">
        <v>13</v>
      </c>
      <c r="AI17" s="10" t="s">
        <v>11</v>
      </c>
      <c r="AJ17" s="10" t="s">
        <v>12</v>
      </c>
      <c r="AK17" s="22" t="s">
        <v>54</v>
      </c>
    </row>
    <row r="18" spans="1:40" ht="11.3" customHeight="1">
      <c r="A18" s="35">
        <v>16</v>
      </c>
      <c r="B18" s="42" t="str">
        <f>Списък!B17</f>
        <v>Кирилова</v>
      </c>
      <c r="C18" s="34" t="s">
        <v>46</v>
      </c>
      <c r="D18" s="10" t="s">
        <v>46</v>
      </c>
      <c r="E18" s="10" t="s">
        <v>54</v>
      </c>
      <c r="F18" s="10" t="s">
        <v>54</v>
      </c>
      <c r="G18" s="10" t="s">
        <v>54</v>
      </c>
      <c r="H18" s="10" t="s">
        <v>54</v>
      </c>
      <c r="I18" s="10" t="s">
        <v>54</v>
      </c>
      <c r="J18" s="20" t="s">
        <v>380</v>
      </c>
      <c r="K18" s="20" t="s">
        <v>380</v>
      </c>
      <c r="L18" s="20" t="s">
        <v>46</v>
      </c>
      <c r="M18" s="20" t="s">
        <v>54</v>
      </c>
      <c r="N18" s="20" t="s">
        <v>54</v>
      </c>
      <c r="O18" s="20" t="s">
        <v>54</v>
      </c>
      <c r="P18" s="20" t="s">
        <v>54</v>
      </c>
      <c r="Q18" s="10" t="s">
        <v>54</v>
      </c>
      <c r="R18" s="10" t="s">
        <v>54</v>
      </c>
      <c r="S18" s="10" t="s">
        <v>381</v>
      </c>
      <c r="T18" s="10" t="s">
        <v>381</v>
      </c>
      <c r="U18" s="10" t="s">
        <v>382</v>
      </c>
      <c r="V18" s="10" t="s">
        <v>382</v>
      </c>
      <c r="W18" s="33" t="s">
        <v>54</v>
      </c>
      <c r="X18" s="20" t="s">
        <v>17</v>
      </c>
      <c r="Y18" s="20" t="s">
        <v>17</v>
      </c>
      <c r="Z18" s="20" t="s">
        <v>18</v>
      </c>
      <c r="AA18" s="20" t="s">
        <v>18</v>
      </c>
      <c r="AB18" s="20" t="s">
        <v>15</v>
      </c>
      <c r="AC18" s="20" t="s">
        <v>15</v>
      </c>
      <c r="AD18" s="203" t="s">
        <v>54</v>
      </c>
      <c r="AE18" s="10" t="s">
        <v>54</v>
      </c>
      <c r="AF18" s="10" t="s">
        <v>54</v>
      </c>
      <c r="AG18" s="10" t="s">
        <v>54</v>
      </c>
      <c r="AH18" s="10" t="s">
        <v>46</v>
      </c>
      <c r="AI18" s="10" t="s">
        <v>49</v>
      </c>
      <c r="AJ18" s="10" t="s">
        <v>49</v>
      </c>
      <c r="AK18" s="22" t="s">
        <v>54</v>
      </c>
    </row>
    <row r="19" spans="1:40" ht="11.3" customHeight="1">
      <c r="A19" s="35">
        <v>17</v>
      </c>
      <c r="B19" s="42" t="str">
        <f>Списък!B18</f>
        <v>Даскалова</v>
      </c>
      <c r="C19" s="34" t="s">
        <v>54</v>
      </c>
      <c r="D19" s="10" t="s">
        <v>54</v>
      </c>
      <c r="E19" s="10">
        <v>5</v>
      </c>
      <c r="F19" s="10" t="s">
        <v>54</v>
      </c>
      <c r="G19" s="10" t="s">
        <v>51</v>
      </c>
      <c r="H19" s="10" t="s">
        <v>9</v>
      </c>
      <c r="I19" s="10" t="s">
        <v>9</v>
      </c>
      <c r="J19" s="20" t="s">
        <v>54</v>
      </c>
      <c r="K19" s="20" t="s">
        <v>54</v>
      </c>
      <c r="L19" s="20" t="s">
        <v>383</v>
      </c>
      <c r="M19" s="20" t="s">
        <v>383</v>
      </c>
      <c r="N19" s="20" t="s">
        <v>54</v>
      </c>
      <c r="O19" s="20" t="s">
        <v>54</v>
      </c>
      <c r="P19" s="20" t="s">
        <v>54</v>
      </c>
      <c r="Q19" s="10">
        <v>5</v>
      </c>
      <c r="R19" s="10" t="s">
        <v>54</v>
      </c>
      <c r="S19" s="10" t="s">
        <v>381</v>
      </c>
      <c r="T19" s="10" t="s">
        <v>381</v>
      </c>
      <c r="U19" s="10" t="s">
        <v>51</v>
      </c>
      <c r="V19" s="10" t="s">
        <v>51</v>
      </c>
      <c r="W19" s="33" t="s">
        <v>51</v>
      </c>
      <c r="X19" s="20" t="s">
        <v>16</v>
      </c>
      <c r="Y19" s="20" t="s">
        <v>16</v>
      </c>
      <c r="Z19" s="20">
        <v>5</v>
      </c>
      <c r="AA19" s="20" t="s">
        <v>54</v>
      </c>
      <c r="AB19" s="20" t="s">
        <v>54</v>
      </c>
      <c r="AC19" s="20" t="s">
        <v>54</v>
      </c>
      <c r="AD19" s="203" t="s">
        <v>54</v>
      </c>
      <c r="AE19" s="10" t="s">
        <v>51</v>
      </c>
      <c r="AF19" s="10" t="s">
        <v>51</v>
      </c>
      <c r="AG19" s="10" t="s">
        <v>384</v>
      </c>
      <c r="AH19" s="10" t="s">
        <v>384</v>
      </c>
      <c r="AI19" s="10" t="s">
        <v>52</v>
      </c>
      <c r="AJ19" s="10" t="s">
        <v>52</v>
      </c>
      <c r="AK19" s="22" t="s">
        <v>54</v>
      </c>
    </row>
    <row r="20" spans="1:40" ht="11.3" customHeight="1">
      <c r="A20" s="35">
        <v>18</v>
      </c>
      <c r="B20" s="42" t="str">
        <f>Списък!B19</f>
        <v>Тодорова</v>
      </c>
      <c r="C20" s="34" t="s">
        <v>54</v>
      </c>
      <c r="D20" s="10" t="s">
        <v>54</v>
      </c>
      <c r="E20" s="10" t="s">
        <v>54</v>
      </c>
      <c r="F20" s="10" t="s">
        <v>54</v>
      </c>
      <c r="G20" s="10" t="s">
        <v>54</v>
      </c>
      <c r="H20" s="10" t="s">
        <v>9</v>
      </c>
      <c r="I20" s="10" t="s">
        <v>9</v>
      </c>
      <c r="J20" s="20" t="s">
        <v>380</v>
      </c>
      <c r="K20" s="20" t="s">
        <v>380</v>
      </c>
      <c r="L20" s="20" t="s">
        <v>383</v>
      </c>
      <c r="M20" s="20" t="s">
        <v>383</v>
      </c>
      <c r="N20" s="20" t="s">
        <v>54</v>
      </c>
      <c r="O20" s="20" t="s">
        <v>54</v>
      </c>
      <c r="P20" s="20" t="s">
        <v>54</v>
      </c>
      <c r="Q20" s="10" t="s">
        <v>54</v>
      </c>
      <c r="R20" s="10" t="s">
        <v>54</v>
      </c>
      <c r="S20" s="10" t="s">
        <v>381</v>
      </c>
      <c r="T20" s="10" t="s">
        <v>381</v>
      </c>
      <c r="U20" s="10" t="s">
        <v>382</v>
      </c>
      <c r="V20" s="10" t="s">
        <v>382</v>
      </c>
      <c r="W20" s="33" t="s">
        <v>48</v>
      </c>
      <c r="X20" s="20" t="s">
        <v>385</v>
      </c>
      <c r="Y20" s="20" t="s">
        <v>385</v>
      </c>
      <c r="Z20" s="20" t="s">
        <v>18</v>
      </c>
      <c r="AA20" s="20" t="s">
        <v>18</v>
      </c>
      <c r="AB20" s="20" t="s">
        <v>15</v>
      </c>
      <c r="AC20" s="20" t="s">
        <v>15</v>
      </c>
      <c r="AD20" s="203" t="s">
        <v>54</v>
      </c>
      <c r="AE20" s="10" t="s">
        <v>54</v>
      </c>
      <c r="AF20" s="10" t="s">
        <v>54</v>
      </c>
      <c r="AG20" s="10" t="s">
        <v>384</v>
      </c>
      <c r="AH20" s="10" t="s">
        <v>384</v>
      </c>
      <c r="AI20" s="10" t="s">
        <v>386</v>
      </c>
      <c r="AJ20" s="10" t="s">
        <v>386</v>
      </c>
      <c r="AK20" s="22" t="s">
        <v>54</v>
      </c>
    </row>
    <row r="21" spans="1:40" ht="11.3" customHeight="1">
      <c r="A21" s="35">
        <v>19</v>
      </c>
      <c r="B21" s="42" t="str">
        <f>Списък!B20</f>
        <v>Батимов</v>
      </c>
      <c r="C21" s="34" t="s">
        <v>54</v>
      </c>
      <c r="D21" s="10" t="s">
        <v>54</v>
      </c>
      <c r="E21" s="10" t="s">
        <v>51</v>
      </c>
      <c r="F21" s="10" t="s">
        <v>51</v>
      </c>
      <c r="G21" s="10" t="s">
        <v>9</v>
      </c>
      <c r="H21" s="10" t="s">
        <v>5</v>
      </c>
      <c r="I21" s="10" t="s">
        <v>48</v>
      </c>
      <c r="J21" s="20" t="s">
        <v>51</v>
      </c>
      <c r="K21" s="20" t="s">
        <v>48</v>
      </c>
      <c r="L21" s="20" t="s">
        <v>48</v>
      </c>
      <c r="M21" s="20" t="s">
        <v>54</v>
      </c>
      <c r="N21" s="20" t="s">
        <v>54</v>
      </c>
      <c r="O21" s="20" t="s">
        <v>54</v>
      </c>
      <c r="P21" s="20" t="s">
        <v>54</v>
      </c>
      <c r="Q21" s="10" t="s">
        <v>48</v>
      </c>
      <c r="R21" s="10" t="s">
        <v>48</v>
      </c>
      <c r="S21" s="10" t="s">
        <v>5</v>
      </c>
      <c r="T21" s="10" t="s">
        <v>5</v>
      </c>
      <c r="U21" s="10" t="s">
        <v>54</v>
      </c>
      <c r="V21" s="10" t="s">
        <v>9</v>
      </c>
      <c r="W21" s="33" t="s">
        <v>5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54</v>
      </c>
      <c r="AC21" s="20" t="s">
        <v>9</v>
      </c>
      <c r="AD21" s="203" t="s">
        <v>54</v>
      </c>
      <c r="AE21" s="10" t="s">
        <v>48</v>
      </c>
      <c r="AF21" s="10" t="s">
        <v>54</v>
      </c>
      <c r="AG21" s="10" t="s">
        <v>5</v>
      </c>
      <c r="AH21" s="10" t="s">
        <v>51</v>
      </c>
      <c r="AI21" s="10" t="s">
        <v>54</v>
      </c>
      <c r="AJ21" s="10" t="s">
        <v>54</v>
      </c>
      <c r="AK21" s="22" t="s">
        <v>54</v>
      </c>
    </row>
    <row r="22" spans="1:40" ht="11.3" customHeight="1">
      <c r="A22" s="35">
        <v>20</v>
      </c>
      <c r="B22" s="42" t="str">
        <f>Списък!B21</f>
        <v>Краева</v>
      </c>
      <c r="C22" s="34" t="s">
        <v>10</v>
      </c>
      <c r="D22" s="10" t="s">
        <v>10</v>
      </c>
      <c r="E22" s="10" t="s">
        <v>54</v>
      </c>
      <c r="F22" s="10">
        <v>6</v>
      </c>
      <c r="G22" s="10" t="s">
        <v>13</v>
      </c>
      <c r="H22" s="10" t="s">
        <v>13</v>
      </c>
      <c r="I22" s="10" t="s">
        <v>7</v>
      </c>
      <c r="J22" s="20" t="s">
        <v>13</v>
      </c>
      <c r="K22" s="20" t="s">
        <v>10</v>
      </c>
      <c r="L22" s="20">
        <v>6</v>
      </c>
      <c r="M22" s="20" t="s">
        <v>54</v>
      </c>
      <c r="N22" s="20" t="s">
        <v>54</v>
      </c>
      <c r="O22" s="20" t="s">
        <v>54</v>
      </c>
      <c r="P22" s="20" t="s">
        <v>54</v>
      </c>
      <c r="Q22" s="10" t="s">
        <v>54</v>
      </c>
      <c r="R22" s="10" t="s">
        <v>54</v>
      </c>
      <c r="S22" s="10" t="s">
        <v>54</v>
      </c>
      <c r="T22" s="10" t="s">
        <v>54</v>
      </c>
      <c r="U22" s="10" t="s">
        <v>54</v>
      </c>
      <c r="V22" s="10">
        <v>6</v>
      </c>
      <c r="W22" s="33" t="s">
        <v>13</v>
      </c>
      <c r="X22" s="20" t="s">
        <v>10</v>
      </c>
      <c r="Y22" s="20" t="s">
        <v>54</v>
      </c>
      <c r="Z22" s="20" t="s">
        <v>7</v>
      </c>
      <c r="AA22" s="20">
        <v>6</v>
      </c>
      <c r="AB22" s="20">
        <v>6</v>
      </c>
      <c r="AC22" s="20" t="s">
        <v>13</v>
      </c>
      <c r="AD22" s="203" t="s">
        <v>54</v>
      </c>
      <c r="AE22" s="10">
        <v>6</v>
      </c>
      <c r="AF22" s="10" t="s">
        <v>7</v>
      </c>
      <c r="AG22" s="10" t="s">
        <v>7</v>
      </c>
      <c r="AH22" s="10" t="s">
        <v>54</v>
      </c>
      <c r="AI22" s="10" t="s">
        <v>54</v>
      </c>
      <c r="AJ22" s="10" t="s">
        <v>54</v>
      </c>
      <c r="AK22" s="22" t="s">
        <v>54</v>
      </c>
    </row>
    <row r="23" spans="1:40" ht="11.3" customHeight="1">
      <c r="A23" s="35">
        <v>21</v>
      </c>
      <c r="B23" s="42" t="str">
        <f>Списък!B22</f>
        <v>Клисарова</v>
      </c>
      <c r="C23" s="34">
        <v>5</v>
      </c>
      <c r="D23" s="10">
        <v>5</v>
      </c>
      <c r="E23" s="10" t="s">
        <v>54</v>
      </c>
      <c r="F23" s="10" t="s">
        <v>46</v>
      </c>
      <c r="G23" s="10" t="s">
        <v>46</v>
      </c>
      <c r="H23" s="10" t="s">
        <v>15</v>
      </c>
      <c r="I23" s="10" t="s">
        <v>15</v>
      </c>
      <c r="J23" s="20" t="s">
        <v>54</v>
      </c>
      <c r="K23" s="20" t="s">
        <v>54</v>
      </c>
      <c r="L23" s="20" t="s">
        <v>54</v>
      </c>
      <c r="M23" s="20" t="s">
        <v>54</v>
      </c>
      <c r="N23" s="20" t="s">
        <v>15</v>
      </c>
      <c r="O23" s="20">
        <v>5</v>
      </c>
      <c r="P23" s="20" t="s">
        <v>18</v>
      </c>
      <c r="Q23" s="10" t="s">
        <v>54</v>
      </c>
      <c r="R23" s="10" t="s">
        <v>54</v>
      </c>
      <c r="S23" s="10" t="s">
        <v>54</v>
      </c>
      <c r="T23" s="10" t="s">
        <v>54</v>
      </c>
      <c r="U23" s="10" t="s">
        <v>46</v>
      </c>
      <c r="V23" s="10">
        <v>5</v>
      </c>
      <c r="W23" s="33">
        <v>5</v>
      </c>
      <c r="X23" s="20" t="s">
        <v>54</v>
      </c>
      <c r="Y23" s="20" t="s">
        <v>54</v>
      </c>
      <c r="Z23" s="20" t="s">
        <v>54</v>
      </c>
      <c r="AA23" s="20" t="s">
        <v>15</v>
      </c>
      <c r="AB23" s="20" t="s">
        <v>54</v>
      </c>
      <c r="AC23" s="20">
        <v>5</v>
      </c>
      <c r="AD23" s="203" t="s">
        <v>54</v>
      </c>
      <c r="AE23" s="10" t="s">
        <v>54</v>
      </c>
      <c r="AF23" s="10">
        <v>5</v>
      </c>
      <c r="AG23" s="10" t="s">
        <v>18</v>
      </c>
      <c r="AH23" s="10" t="s">
        <v>15</v>
      </c>
      <c r="AI23" s="10" t="s">
        <v>15</v>
      </c>
      <c r="AJ23" s="10" t="s">
        <v>46</v>
      </c>
      <c r="AK23" s="22" t="s">
        <v>54</v>
      </c>
    </row>
    <row r="24" spans="1:40" ht="11.3" customHeight="1">
      <c r="A24" s="35">
        <v>22</v>
      </c>
      <c r="B24" s="42" t="str">
        <f>Списък!B23</f>
        <v>Мерджанова</v>
      </c>
      <c r="C24" s="34" t="s">
        <v>11</v>
      </c>
      <c r="D24" s="10" t="s">
        <v>11</v>
      </c>
      <c r="E24" s="10" t="s">
        <v>12</v>
      </c>
      <c r="F24" s="10" t="s">
        <v>12</v>
      </c>
      <c r="G24" s="10" t="s">
        <v>4</v>
      </c>
      <c r="H24" s="10" t="s">
        <v>54</v>
      </c>
      <c r="I24" s="10" t="s">
        <v>54</v>
      </c>
      <c r="J24" s="20" t="s">
        <v>54</v>
      </c>
      <c r="K24" s="20" t="s">
        <v>54</v>
      </c>
      <c r="L24" s="20" t="s">
        <v>112</v>
      </c>
      <c r="M24" s="20" t="s">
        <v>54</v>
      </c>
      <c r="N24" s="20" t="s">
        <v>1</v>
      </c>
      <c r="O24" s="20" t="s">
        <v>3</v>
      </c>
      <c r="P24" s="20" t="s">
        <v>11</v>
      </c>
      <c r="Q24" s="10" t="s">
        <v>4</v>
      </c>
      <c r="R24" s="10" t="s">
        <v>3</v>
      </c>
      <c r="S24" s="10" t="s">
        <v>112</v>
      </c>
      <c r="T24" s="10" t="s">
        <v>54</v>
      </c>
      <c r="U24" s="10" t="s">
        <v>1</v>
      </c>
      <c r="V24" s="10" t="s">
        <v>12</v>
      </c>
      <c r="W24" s="33" t="s">
        <v>11</v>
      </c>
      <c r="X24" s="20" t="s">
        <v>54</v>
      </c>
      <c r="Y24" s="20" t="s">
        <v>54</v>
      </c>
      <c r="Z24" s="20" t="s">
        <v>54</v>
      </c>
      <c r="AA24" s="20" t="s">
        <v>112</v>
      </c>
      <c r="AB24" s="20" t="s">
        <v>4</v>
      </c>
      <c r="AC24" s="20" t="s">
        <v>12</v>
      </c>
      <c r="AD24" s="203" t="s">
        <v>54</v>
      </c>
      <c r="AE24" s="10" t="s">
        <v>3</v>
      </c>
      <c r="AF24" s="10" t="s">
        <v>1</v>
      </c>
      <c r="AG24" s="10" t="s">
        <v>11</v>
      </c>
      <c r="AH24" s="10" t="s">
        <v>54</v>
      </c>
      <c r="AI24" s="10" t="s">
        <v>54</v>
      </c>
      <c r="AJ24" s="10" t="s">
        <v>54</v>
      </c>
      <c r="AK24" s="22" t="s">
        <v>54</v>
      </c>
    </row>
    <row r="25" spans="1:40" ht="11.3" customHeight="1">
      <c r="A25" s="35">
        <v>23</v>
      </c>
      <c r="B25" s="42" t="str">
        <f>Списък!B24</f>
        <v>Гочева</v>
      </c>
      <c r="C25" s="34" t="s">
        <v>49</v>
      </c>
      <c r="D25" s="10" t="s">
        <v>50</v>
      </c>
      <c r="E25" s="10" t="s">
        <v>6</v>
      </c>
      <c r="F25" s="10" t="s">
        <v>54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52</v>
      </c>
      <c r="M25" s="20" t="s">
        <v>49</v>
      </c>
      <c r="N25" s="20" t="s">
        <v>49</v>
      </c>
      <c r="O25" s="20" t="s">
        <v>50</v>
      </c>
      <c r="P25" s="20" t="s">
        <v>50</v>
      </c>
      <c r="Q25" s="10" t="s">
        <v>54</v>
      </c>
      <c r="R25" s="10" t="s">
        <v>6</v>
      </c>
      <c r="S25" s="10" t="s">
        <v>50</v>
      </c>
      <c r="T25" s="10" t="s">
        <v>54</v>
      </c>
      <c r="U25" s="10" t="s">
        <v>49</v>
      </c>
      <c r="V25" s="10" t="s">
        <v>49</v>
      </c>
      <c r="W25" s="33" t="s">
        <v>49</v>
      </c>
      <c r="X25" s="20" t="s">
        <v>50</v>
      </c>
      <c r="Y25" s="20" t="s">
        <v>50</v>
      </c>
      <c r="Z25" s="20" t="s">
        <v>6</v>
      </c>
      <c r="AA25" s="20" t="s">
        <v>49</v>
      </c>
      <c r="AB25" s="20" t="s">
        <v>54</v>
      </c>
      <c r="AC25" s="20" t="s">
        <v>54</v>
      </c>
      <c r="AD25" s="203" t="s">
        <v>54</v>
      </c>
      <c r="AE25" s="10" t="s">
        <v>49</v>
      </c>
      <c r="AF25" s="10" t="s">
        <v>49</v>
      </c>
      <c r="AG25" s="10" t="s">
        <v>54</v>
      </c>
      <c r="AH25" s="10" t="s">
        <v>52</v>
      </c>
      <c r="AI25" s="10" t="s">
        <v>50</v>
      </c>
      <c r="AJ25" s="10" t="s">
        <v>50</v>
      </c>
      <c r="AK25" s="22" t="s">
        <v>54</v>
      </c>
    </row>
    <row r="26" spans="1:40" ht="11.3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 t="s">
        <v>16</v>
      </c>
      <c r="F26" s="10" t="s">
        <v>16</v>
      </c>
      <c r="G26" s="10" t="s">
        <v>17</v>
      </c>
      <c r="H26" s="10" t="s">
        <v>17</v>
      </c>
      <c r="I26" s="10">
        <v>7</v>
      </c>
      <c r="J26" s="20" t="s">
        <v>16</v>
      </c>
      <c r="K26" s="20" t="s">
        <v>17</v>
      </c>
      <c r="L26" s="20" t="s">
        <v>14</v>
      </c>
      <c r="M26" s="20">
        <v>7</v>
      </c>
      <c r="N26" s="20" t="s">
        <v>54</v>
      </c>
      <c r="O26" s="20" t="s">
        <v>54</v>
      </c>
      <c r="P26" s="20" t="s">
        <v>54</v>
      </c>
      <c r="Q26" s="10" t="s">
        <v>54</v>
      </c>
      <c r="R26" s="10" t="s">
        <v>54</v>
      </c>
      <c r="S26" s="10">
        <v>7</v>
      </c>
      <c r="T26" s="10" t="s">
        <v>14</v>
      </c>
      <c r="U26" s="10" t="s">
        <v>17</v>
      </c>
      <c r="V26" s="10" t="s">
        <v>54</v>
      </c>
      <c r="W26" s="33" t="s">
        <v>16</v>
      </c>
      <c r="X26" s="20" t="s">
        <v>54</v>
      </c>
      <c r="Y26" s="20" t="s">
        <v>54</v>
      </c>
      <c r="Z26" s="20" t="s">
        <v>54</v>
      </c>
      <c r="AA26" s="20" t="s">
        <v>54</v>
      </c>
      <c r="AB26" s="20">
        <v>7</v>
      </c>
      <c r="AC26" s="20" t="s">
        <v>17</v>
      </c>
      <c r="AD26" s="203" t="s">
        <v>54</v>
      </c>
      <c r="AE26" s="10">
        <v>7</v>
      </c>
      <c r="AF26" s="10">
        <v>7</v>
      </c>
      <c r="AG26" s="10" t="s">
        <v>54</v>
      </c>
      <c r="AH26" s="10" t="s">
        <v>16</v>
      </c>
      <c r="AI26" s="10" t="s">
        <v>16</v>
      </c>
      <c r="AJ26" s="10" t="s">
        <v>14</v>
      </c>
      <c r="AK26" s="22" t="s">
        <v>54</v>
      </c>
    </row>
    <row r="27" spans="1:40" ht="11.3" customHeight="1">
      <c r="A27" s="35">
        <v>25</v>
      </c>
      <c r="B27" s="42" t="str">
        <f>Списък!B26</f>
        <v>Петкова</v>
      </c>
      <c r="C27" s="34" t="s">
        <v>54</v>
      </c>
      <c r="D27" s="10" t="s">
        <v>13</v>
      </c>
      <c r="E27" s="10" t="s">
        <v>10</v>
      </c>
      <c r="F27" s="10" t="s">
        <v>54</v>
      </c>
      <c r="G27" s="10" t="s">
        <v>54</v>
      </c>
      <c r="H27" s="10" t="s">
        <v>54</v>
      </c>
      <c r="I27" s="10" t="s">
        <v>54</v>
      </c>
      <c r="J27" s="20" t="s">
        <v>112</v>
      </c>
      <c r="K27" s="20" t="s">
        <v>3</v>
      </c>
      <c r="L27" s="20" t="s">
        <v>2</v>
      </c>
      <c r="M27" s="20" t="s">
        <v>54</v>
      </c>
      <c r="N27" s="20" t="s">
        <v>4</v>
      </c>
      <c r="O27" s="20" t="s">
        <v>1</v>
      </c>
      <c r="P27" s="20" t="s">
        <v>54</v>
      </c>
      <c r="Q27" s="10" t="s">
        <v>3</v>
      </c>
      <c r="R27" s="10" t="s">
        <v>112</v>
      </c>
      <c r="S27" s="10" t="s">
        <v>54</v>
      </c>
      <c r="T27" s="10" t="s">
        <v>1</v>
      </c>
      <c r="U27" s="10" t="s">
        <v>2</v>
      </c>
      <c r="V27" s="10" t="s">
        <v>54</v>
      </c>
      <c r="W27" s="33" t="s">
        <v>54</v>
      </c>
      <c r="X27" s="20" t="s">
        <v>11</v>
      </c>
      <c r="Y27" s="20" t="s">
        <v>12</v>
      </c>
      <c r="Z27" s="20" t="s">
        <v>54</v>
      </c>
      <c r="AA27" s="20" t="s">
        <v>54</v>
      </c>
      <c r="AB27" s="20" t="s">
        <v>54</v>
      </c>
      <c r="AC27" s="20" t="s">
        <v>54</v>
      </c>
      <c r="AD27" s="203" t="s">
        <v>54</v>
      </c>
      <c r="AE27" s="10" t="s">
        <v>4</v>
      </c>
      <c r="AF27" s="10" t="s">
        <v>3</v>
      </c>
      <c r="AG27" s="10" t="s">
        <v>54</v>
      </c>
      <c r="AH27" s="10" t="s">
        <v>1</v>
      </c>
      <c r="AI27" s="10" t="s">
        <v>2</v>
      </c>
      <c r="AJ27" s="10" t="s">
        <v>112</v>
      </c>
      <c r="AK27" s="22" t="s">
        <v>54</v>
      </c>
    </row>
    <row r="28" spans="1:40" ht="11.3" customHeight="1">
      <c r="A28" s="35">
        <v>26</v>
      </c>
      <c r="B28" s="42" t="str">
        <f>Списък!B27</f>
        <v>Д. Иванова</v>
      </c>
      <c r="C28" s="34" t="s">
        <v>2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8</v>
      </c>
      <c r="J28" s="20" t="s">
        <v>2</v>
      </c>
      <c r="K28" s="20" t="s">
        <v>54</v>
      </c>
      <c r="L28" s="20" t="s">
        <v>54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8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2</v>
      </c>
      <c r="Y28" s="20" t="s">
        <v>54</v>
      </c>
      <c r="Z28" s="20" t="s">
        <v>54</v>
      </c>
      <c r="AA28" s="20" t="s">
        <v>7</v>
      </c>
      <c r="AB28" s="20" t="s">
        <v>9</v>
      </c>
      <c r="AC28" s="20" t="s">
        <v>8</v>
      </c>
      <c r="AD28" s="203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248</v>
      </c>
    </row>
    <row r="29" spans="1:40" ht="11.3" customHeight="1">
      <c r="A29" s="35">
        <v>27</v>
      </c>
      <c r="B29" s="42" t="str">
        <f>Списък!B28</f>
        <v>Киркова</v>
      </c>
      <c r="C29" s="34" t="s">
        <v>16</v>
      </c>
      <c r="D29" s="10" t="s">
        <v>17</v>
      </c>
      <c r="E29" s="10" t="s">
        <v>54</v>
      </c>
      <c r="F29" s="10" t="s">
        <v>54</v>
      </c>
      <c r="G29" s="10" t="s">
        <v>54</v>
      </c>
      <c r="H29" s="10" t="s">
        <v>54</v>
      </c>
      <c r="I29" s="10" t="s">
        <v>54</v>
      </c>
      <c r="J29" s="20" t="s">
        <v>17</v>
      </c>
      <c r="K29" s="20" t="s">
        <v>46</v>
      </c>
      <c r="L29" s="20" t="s">
        <v>16</v>
      </c>
      <c r="M29" s="20" t="s">
        <v>15</v>
      </c>
      <c r="N29" s="20" t="s">
        <v>54</v>
      </c>
      <c r="O29" s="20" t="s">
        <v>54</v>
      </c>
      <c r="P29" s="20" t="s">
        <v>54</v>
      </c>
      <c r="Q29" s="10" t="s">
        <v>6</v>
      </c>
      <c r="R29" s="10" t="s">
        <v>8</v>
      </c>
      <c r="S29" s="10" t="s">
        <v>17</v>
      </c>
      <c r="T29" s="10" t="s">
        <v>46</v>
      </c>
      <c r="U29" s="10" t="s">
        <v>15</v>
      </c>
      <c r="V29" s="10" t="s">
        <v>16</v>
      </c>
      <c r="W29" s="33" t="s">
        <v>54</v>
      </c>
      <c r="X29" s="20" t="s">
        <v>15</v>
      </c>
      <c r="Y29" s="20" t="s">
        <v>46</v>
      </c>
      <c r="Z29" s="20" t="s">
        <v>17</v>
      </c>
      <c r="AA29" s="20" t="s">
        <v>16</v>
      </c>
      <c r="AB29" s="20" t="s">
        <v>54</v>
      </c>
      <c r="AC29" s="20" t="s">
        <v>54</v>
      </c>
      <c r="AD29" s="203" t="s">
        <v>54</v>
      </c>
      <c r="AE29" s="10" t="s">
        <v>8</v>
      </c>
      <c r="AF29" s="10" t="s">
        <v>6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3" customHeight="1">
      <c r="A30" s="35">
        <v>28</v>
      </c>
      <c r="B30" s="42" t="str">
        <f>Списък!B29</f>
        <v>К. Петрова</v>
      </c>
      <c r="C30" s="34" t="s">
        <v>16</v>
      </c>
      <c r="D30" s="10" t="s">
        <v>17</v>
      </c>
      <c r="E30" s="10" t="s">
        <v>54</v>
      </c>
      <c r="F30" s="10" t="s">
        <v>54</v>
      </c>
      <c r="G30" s="10" t="s">
        <v>54</v>
      </c>
      <c r="H30" s="10" t="s">
        <v>54</v>
      </c>
      <c r="I30" s="10" t="s">
        <v>54</v>
      </c>
      <c r="J30" s="20" t="s">
        <v>17</v>
      </c>
      <c r="K30" s="20" t="s">
        <v>46</v>
      </c>
      <c r="L30" s="20" t="s">
        <v>16</v>
      </c>
      <c r="M30" s="20" t="s">
        <v>15</v>
      </c>
      <c r="N30" s="20" t="s">
        <v>54</v>
      </c>
      <c r="O30" s="20" t="s">
        <v>54</v>
      </c>
      <c r="P30" s="20" t="s">
        <v>54</v>
      </c>
      <c r="Q30" s="10" t="s">
        <v>6</v>
      </c>
      <c r="R30" s="10" t="s">
        <v>8</v>
      </c>
      <c r="S30" s="10" t="s">
        <v>17</v>
      </c>
      <c r="T30" s="10" t="s">
        <v>46</v>
      </c>
      <c r="U30" s="10" t="s">
        <v>15</v>
      </c>
      <c r="V30" s="10" t="s">
        <v>16</v>
      </c>
      <c r="W30" s="33" t="s">
        <v>54</v>
      </c>
      <c r="X30" s="20" t="s">
        <v>15</v>
      </c>
      <c r="Y30" s="20" t="s">
        <v>46</v>
      </c>
      <c r="Z30" s="20" t="s">
        <v>17</v>
      </c>
      <c r="AA30" s="20" t="s">
        <v>16</v>
      </c>
      <c r="AB30" s="20" t="s">
        <v>54</v>
      </c>
      <c r="AC30" s="20" t="s">
        <v>54</v>
      </c>
      <c r="AD30" s="203" t="s">
        <v>54</v>
      </c>
      <c r="AE30" s="10" t="s">
        <v>8</v>
      </c>
      <c r="AF30" s="10" t="s">
        <v>6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3" customHeight="1">
      <c r="A31" s="35">
        <v>29</v>
      </c>
      <c r="B31" s="42" t="str">
        <f>Списък!B30</f>
        <v>Димитрова</v>
      </c>
      <c r="C31" s="34" t="s">
        <v>54</v>
      </c>
      <c r="D31" s="10" t="s">
        <v>13</v>
      </c>
      <c r="E31" s="10" t="s">
        <v>10</v>
      </c>
      <c r="F31" s="10" t="s">
        <v>54</v>
      </c>
      <c r="G31" s="10" t="s">
        <v>12</v>
      </c>
      <c r="H31" s="10" t="s">
        <v>11</v>
      </c>
      <c r="I31" s="10" t="s">
        <v>14</v>
      </c>
      <c r="J31" s="20" t="s">
        <v>54</v>
      </c>
      <c r="K31" s="20" t="s">
        <v>54</v>
      </c>
      <c r="L31" s="20">
        <v>5</v>
      </c>
      <c r="M31" s="20">
        <v>6</v>
      </c>
      <c r="N31" s="20" t="s">
        <v>54</v>
      </c>
      <c r="O31" s="20" t="s">
        <v>54</v>
      </c>
      <c r="P31" s="20" t="s">
        <v>54</v>
      </c>
      <c r="Q31" s="10" t="s">
        <v>3</v>
      </c>
      <c r="R31" s="10" t="s">
        <v>112</v>
      </c>
      <c r="S31" s="10" t="s">
        <v>4</v>
      </c>
      <c r="T31" s="10" t="s">
        <v>1</v>
      </c>
      <c r="U31" s="10" t="s">
        <v>2</v>
      </c>
      <c r="V31" s="10">
        <v>7</v>
      </c>
      <c r="W31" s="33" t="s">
        <v>54</v>
      </c>
      <c r="X31" s="20" t="s">
        <v>11</v>
      </c>
      <c r="Y31" s="20" t="s">
        <v>12</v>
      </c>
      <c r="Z31" s="20" t="s">
        <v>54</v>
      </c>
      <c r="AA31" s="20" t="s">
        <v>10</v>
      </c>
      <c r="AB31" s="20" t="s">
        <v>13</v>
      </c>
      <c r="AC31" s="20" t="s">
        <v>54</v>
      </c>
      <c r="AD31" s="203" t="s">
        <v>54</v>
      </c>
      <c r="AE31" s="10">
        <v>5</v>
      </c>
      <c r="AF31" s="10" t="s">
        <v>54</v>
      </c>
      <c r="AG31" s="10">
        <v>6</v>
      </c>
      <c r="AH31" s="10" t="s">
        <v>54</v>
      </c>
      <c r="AI31" s="10" t="s">
        <v>54</v>
      </c>
      <c r="AJ31" s="10" t="s">
        <v>54</v>
      </c>
      <c r="AK31" s="22" t="s">
        <v>54</v>
      </c>
    </row>
    <row r="32" spans="1:40" ht="11.3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48</v>
      </c>
      <c r="G32" s="10" t="s">
        <v>50</v>
      </c>
      <c r="H32" s="10" t="s">
        <v>49</v>
      </c>
      <c r="I32" s="10" t="s">
        <v>51</v>
      </c>
      <c r="J32" s="20" t="s">
        <v>48</v>
      </c>
      <c r="K32" s="20" t="s">
        <v>49</v>
      </c>
      <c r="L32" s="20" t="s">
        <v>51</v>
      </c>
      <c r="M32" s="20" t="s">
        <v>50</v>
      </c>
      <c r="N32" s="20">
        <v>5</v>
      </c>
      <c r="O32" s="20" t="s">
        <v>54</v>
      </c>
      <c r="P32" s="20" t="s">
        <v>5</v>
      </c>
      <c r="Q32" s="10" t="s">
        <v>51</v>
      </c>
      <c r="R32" s="10" t="s">
        <v>54</v>
      </c>
      <c r="S32" s="10" t="s">
        <v>49</v>
      </c>
      <c r="T32" s="10" t="s">
        <v>50</v>
      </c>
      <c r="U32" s="10" t="s">
        <v>50</v>
      </c>
      <c r="V32" s="10" t="s">
        <v>48</v>
      </c>
      <c r="W32" s="33" t="s">
        <v>54</v>
      </c>
      <c r="X32" s="20" t="s">
        <v>49</v>
      </c>
      <c r="Y32" s="20" t="s">
        <v>48</v>
      </c>
      <c r="Z32" s="20" t="s">
        <v>50</v>
      </c>
      <c r="AA32" s="20" t="s">
        <v>54</v>
      </c>
      <c r="AB32" s="20" t="s">
        <v>54</v>
      </c>
      <c r="AC32" s="20" t="s">
        <v>54</v>
      </c>
      <c r="AD32" s="203" t="s">
        <v>54</v>
      </c>
      <c r="AE32" s="10" t="s">
        <v>54</v>
      </c>
      <c r="AF32" s="10" t="s">
        <v>54</v>
      </c>
      <c r="AG32" s="10" t="s">
        <v>49</v>
      </c>
      <c r="AH32" s="10">
        <v>5</v>
      </c>
      <c r="AI32" s="10" t="s">
        <v>51</v>
      </c>
      <c r="AJ32" s="10" t="s">
        <v>48</v>
      </c>
      <c r="AK32" s="22" t="s">
        <v>54</v>
      </c>
    </row>
    <row r="33" spans="1:40" ht="11.3" customHeight="1">
      <c r="A33" s="35">
        <v>31</v>
      </c>
      <c r="B33" s="42" t="str">
        <f>Списък!B32</f>
        <v>Янева</v>
      </c>
      <c r="C33" s="34" t="s">
        <v>54</v>
      </c>
      <c r="D33" s="10" t="s">
        <v>54</v>
      </c>
      <c r="E33" s="10" t="s">
        <v>54</v>
      </c>
      <c r="F33" s="10" t="s">
        <v>54</v>
      </c>
      <c r="G33" s="10" t="s">
        <v>12</v>
      </c>
      <c r="H33" s="10" t="s">
        <v>11</v>
      </c>
      <c r="I33" s="10" t="s">
        <v>14</v>
      </c>
      <c r="J33" s="20" t="s">
        <v>112</v>
      </c>
      <c r="K33" s="20" t="s">
        <v>3</v>
      </c>
      <c r="L33" s="20" t="s">
        <v>2</v>
      </c>
      <c r="M33" s="20" t="s">
        <v>54</v>
      </c>
      <c r="N33" s="20" t="s">
        <v>4</v>
      </c>
      <c r="O33" s="20" t="s">
        <v>1</v>
      </c>
      <c r="P33" s="20" t="s">
        <v>5</v>
      </c>
      <c r="Q33" s="10" t="s">
        <v>54</v>
      </c>
      <c r="R33" s="10">
        <v>7</v>
      </c>
      <c r="S33" s="10" t="s">
        <v>4</v>
      </c>
      <c r="T33" s="10" t="s">
        <v>54</v>
      </c>
      <c r="U33" s="10" t="s">
        <v>54</v>
      </c>
      <c r="V33" s="10" t="s">
        <v>54</v>
      </c>
      <c r="W33" s="33" t="s">
        <v>54</v>
      </c>
      <c r="X33" s="20" t="s">
        <v>54</v>
      </c>
      <c r="Y33" s="20" t="s">
        <v>54</v>
      </c>
      <c r="Z33" s="20" t="s">
        <v>54</v>
      </c>
      <c r="AA33" s="20" t="s">
        <v>10</v>
      </c>
      <c r="AB33" s="20" t="s">
        <v>13</v>
      </c>
      <c r="AC33" s="20" t="s">
        <v>54</v>
      </c>
      <c r="AD33" s="203" t="s">
        <v>54</v>
      </c>
      <c r="AE33" s="10" t="s">
        <v>4</v>
      </c>
      <c r="AF33" s="10" t="s">
        <v>3</v>
      </c>
      <c r="AG33" s="10" t="s">
        <v>54</v>
      </c>
      <c r="AH33" s="10" t="s">
        <v>1</v>
      </c>
      <c r="AI33" s="10" t="s">
        <v>2</v>
      </c>
      <c r="AJ33" s="10" t="s">
        <v>112</v>
      </c>
      <c r="AK33" s="22" t="s">
        <v>54</v>
      </c>
    </row>
    <row r="34" spans="1:40" ht="11.3" customHeight="1">
      <c r="A34" s="35">
        <v>32</v>
      </c>
      <c r="B34" s="42" t="str">
        <f>Списък!B33</f>
        <v>Цветков</v>
      </c>
      <c r="C34" s="34" t="s">
        <v>54</v>
      </c>
      <c r="D34" s="10" t="s">
        <v>54</v>
      </c>
      <c r="E34" s="10" t="s">
        <v>54</v>
      </c>
      <c r="F34" s="10" t="s">
        <v>48</v>
      </c>
      <c r="G34" s="10" t="s">
        <v>50</v>
      </c>
      <c r="H34" s="10" t="s">
        <v>49</v>
      </c>
      <c r="I34" s="10" t="s">
        <v>51</v>
      </c>
      <c r="J34" s="20" t="s">
        <v>48</v>
      </c>
      <c r="K34" s="20" t="s">
        <v>49</v>
      </c>
      <c r="L34" s="20" t="s">
        <v>51</v>
      </c>
      <c r="M34" s="20" t="s">
        <v>50</v>
      </c>
      <c r="N34" s="20" t="s">
        <v>54</v>
      </c>
      <c r="O34" s="20">
        <v>6</v>
      </c>
      <c r="P34" s="20" t="s">
        <v>54</v>
      </c>
      <c r="Q34" s="10" t="s">
        <v>51</v>
      </c>
      <c r="R34" s="10" t="s">
        <v>54</v>
      </c>
      <c r="S34" s="10" t="s">
        <v>49</v>
      </c>
      <c r="T34" s="10" t="s">
        <v>50</v>
      </c>
      <c r="U34" s="10" t="s">
        <v>50</v>
      </c>
      <c r="V34" s="10" t="s">
        <v>48</v>
      </c>
      <c r="W34" s="33" t="s">
        <v>54</v>
      </c>
      <c r="X34" s="20" t="s">
        <v>49</v>
      </c>
      <c r="Y34" s="20" t="s">
        <v>48</v>
      </c>
      <c r="Z34" s="20" t="s">
        <v>50</v>
      </c>
      <c r="AA34" s="20" t="s">
        <v>54</v>
      </c>
      <c r="AB34" s="20" t="s">
        <v>54</v>
      </c>
      <c r="AC34" s="20" t="s">
        <v>54</v>
      </c>
      <c r="AD34" s="203" t="s">
        <v>54</v>
      </c>
      <c r="AE34" s="10" t="s">
        <v>54</v>
      </c>
      <c r="AF34" s="10">
        <v>6</v>
      </c>
      <c r="AG34" s="10" t="s">
        <v>49</v>
      </c>
      <c r="AH34" s="10" t="s">
        <v>54</v>
      </c>
      <c r="AI34" s="10" t="s">
        <v>51</v>
      </c>
      <c r="AJ34" s="10" t="s">
        <v>48</v>
      </c>
      <c r="AK34" s="22" t="s">
        <v>54</v>
      </c>
    </row>
    <row r="35" spans="1:40" ht="11.3" customHeight="1">
      <c r="A35" s="35">
        <v>33</v>
      </c>
      <c r="B35" s="42" t="str">
        <f>Списък!B34</f>
        <v>Киров</v>
      </c>
      <c r="C35" s="34">
        <v>6</v>
      </c>
      <c r="D35" s="10" t="s">
        <v>15</v>
      </c>
      <c r="E35" s="10" t="s">
        <v>18</v>
      </c>
      <c r="F35" s="10" t="s">
        <v>17</v>
      </c>
      <c r="G35" s="10" t="s">
        <v>16</v>
      </c>
      <c r="H35" s="10" t="s">
        <v>46</v>
      </c>
      <c r="I35" s="10" t="s">
        <v>54</v>
      </c>
      <c r="J35" s="20" t="s">
        <v>54</v>
      </c>
      <c r="K35" s="20" t="s">
        <v>50</v>
      </c>
      <c r="L35" s="20" t="s">
        <v>49</v>
      </c>
      <c r="M35" s="20" t="s">
        <v>54</v>
      </c>
      <c r="N35" s="20" t="s">
        <v>8</v>
      </c>
      <c r="O35" s="20" t="s">
        <v>5</v>
      </c>
      <c r="P35" s="20" t="s">
        <v>48</v>
      </c>
      <c r="Q35" s="10" t="s">
        <v>5</v>
      </c>
      <c r="R35" s="10">
        <v>5</v>
      </c>
      <c r="S35" s="10" t="s">
        <v>54</v>
      </c>
      <c r="T35" s="10">
        <v>7</v>
      </c>
      <c r="U35" s="10" t="s">
        <v>52</v>
      </c>
      <c r="V35" s="10" t="s">
        <v>8</v>
      </c>
      <c r="W35" s="33" t="s">
        <v>15</v>
      </c>
      <c r="X35" s="20" t="s">
        <v>5</v>
      </c>
      <c r="Y35" s="20" t="s">
        <v>54</v>
      </c>
      <c r="Z35" s="20" t="s">
        <v>51</v>
      </c>
      <c r="AA35" s="20">
        <v>5</v>
      </c>
      <c r="AB35" s="20" t="s">
        <v>8</v>
      </c>
      <c r="AC35" s="20">
        <v>6</v>
      </c>
      <c r="AD35" s="203" t="s">
        <v>54</v>
      </c>
      <c r="AE35" s="10" t="s">
        <v>54</v>
      </c>
      <c r="AF35" s="10" t="s">
        <v>54</v>
      </c>
      <c r="AG35" s="10" t="s">
        <v>54</v>
      </c>
      <c r="AH35" s="10">
        <v>7</v>
      </c>
      <c r="AI35" s="10" t="s">
        <v>5</v>
      </c>
      <c r="AJ35" s="10" t="s">
        <v>8</v>
      </c>
      <c r="AK35" s="22" t="s">
        <v>54</v>
      </c>
    </row>
    <row r="36" spans="1:40" ht="11.3" customHeight="1">
      <c r="A36" s="35">
        <v>34</v>
      </c>
      <c r="B36" s="42" t="str">
        <f>Списък!B35</f>
        <v>Латева</v>
      </c>
      <c r="C36" s="34" t="s">
        <v>9</v>
      </c>
      <c r="D36" s="10" t="s">
        <v>54</v>
      </c>
      <c r="E36" s="10" t="s">
        <v>5</v>
      </c>
      <c r="F36" s="10" t="s">
        <v>7</v>
      </c>
      <c r="G36" s="10">
        <v>5</v>
      </c>
      <c r="H36" s="10" t="s">
        <v>8</v>
      </c>
      <c r="I36" s="10" t="s">
        <v>6</v>
      </c>
      <c r="J36" s="20" t="s">
        <v>54</v>
      </c>
      <c r="K36" s="20" t="s">
        <v>11</v>
      </c>
      <c r="L36" s="20" t="s">
        <v>54</v>
      </c>
      <c r="M36" s="20" t="s">
        <v>10</v>
      </c>
      <c r="N36" s="20" t="s">
        <v>14</v>
      </c>
      <c r="O36" s="20" t="s">
        <v>13</v>
      </c>
      <c r="P36" s="20" t="s">
        <v>12</v>
      </c>
      <c r="Q36" s="10" t="s">
        <v>13</v>
      </c>
      <c r="R36" s="10" t="s">
        <v>12</v>
      </c>
      <c r="S36" s="10" t="s">
        <v>10</v>
      </c>
      <c r="T36" s="10" t="s">
        <v>54</v>
      </c>
      <c r="U36" s="10" t="s">
        <v>54</v>
      </c>
      <c r="V36" s="10" t="s">
        <v>54</v>
      </c>
      <c r="W36" s="33" t="s">
        <v>54</v>
      </c>
      <c r="X36" s="20" t="s">
        <v>9</v>
      </c>
      <c r="Y36" s="20" t="s">
        <v>11</v>
      </c>
      <c r="Z36" s="20" t="s">
        <v>14</v>
      </c>
      <c r="AA36" s="20" t="s">
        <v>6</v>
      </c>
      <c r="AB36" s="20" t="s">
        <v>5</v>
      </c>
      <c r="AC36" s="20" t="s">
        <v>7</v>
      </c>
      <c r="AD36" s="203" t="s">
        <v>54</v>
      </c>
      <c r="AE36" s="10" t="s">
        <v>10</v>
      </c>
      <c r="AF36" s="10" t="s">
        <v>13</v>
      </c>
      <c r="AG36" s="10" t="s">
        <v>8</v>
      </c>
      <c r="AH36" s="10" t="s">
        <v>12</v>
      </c>
      <c r="AI36" s="10" t="s">
        <v>14</v>
      </c>
      <c r="AJ36" s="10" t="s">
        <v>11</v>
      </c>
      <c r="AK36" s="22" t="s">
        <v>54</v>
      </c>
    </row>
    <row r="37" spans="1:40" ht="11.3" customHeight="1">
      <c r="A37" s="35">
        <v>35</v>
      </c>
      <c r="B37" s="42" t="str">
        <f>Списък!B36</f>
        <v>Славова</v>
      </c>
      <c r="C37" s="34" t="s">
        <v>50</v>
      </c>
      <c r="D37" s="10" t="s">
        <v>9</v>
      </c>
      <c r="E37" s="10" t="s">
        <v>7</v>
      </c>
      <c r="F37" s="10" t="s">
        <v>52</v>
      </c>
      <c r="G37" s="10" t="s">
        <v>48</v>
      </c>
      <c r="H37" s="10" t="s">
        <v>51</v>
      </c>
      <c r="I37" s="10" t="s">
        <v>49</v>
      </c>
      <c r="J37" s="20" t="s">
        <v>15</v>
      </c>
      <c r="K37" s="20" t="s">
        <v>18</v>
      </c>
      <c r="L37" s="20" t="s">
        <v>9</v>
      </c>
      <c r="M37" s="20" t="s">
        <v>54</v>
      </c>
      <c r="N37" s="20" t="s">
        <v>17</v>
      </c>
      <c r="O37" s="20" t="s">
        <v>7</v>
      </c>
      <c r="P37" s="20" t="s">
        <v>46</v>
      </c>
      <c r="Q37" s="10" t="s">
        <v>16</v>
      </c>
      <c r="R37" s="10" t="s">
        <v>49</v>
      </c>
      <c r="S37" s="10" t="s">
        <v>7</v>
      </c>
      <c r="T37" s="10" t="s">
        <v>9</v>
      </c>
      <c r="U37" s="10" t="s">
        <v>48</v>
      </c>
      <c r="V37" s="10" t="s">
        <v>54</v>
      </c>
      <c r="W37" s="33" t="s">
        <v>54</v>
      </c>
      <c r="X37" s="20" t="s">
        <v>7</v>
      </c>
      <c r="Y37" s="20" t="s">
        <v>9</v>
      </c>
      <c r="Z37" s="20" t="s">
        <v>54</v>
      </c>
      <c r="AA37" s="20" t="s">
        <v>52</v>
      </c>
      <c r="AB37" s="20" t="s">
        <v>51</v>
      </c>
      <c r="AC37" s="20" t="s">
        <v>50</v>
      </c>
      <c r="AD37" s="203" t="s">
        <v>54</v>
      </c>
      <c r="AE37" s="10" t="s">
        <v>18</v>
      </c>
      <c r="AF37" s="10" t="s">
        <v>17</v>
      </c>
      <c r="AG37" s="10" t="s">
        <v>16</v>
      </c>
      <c r="AH37" s="10" t="s">
        <v>54</v>
      </c>
      <c r="AI37" s="10" t="s">
        <v>46</v>
      </c>
      <c r="AJ37" s="10" t="s">
        <v>15</v>
      </c>
      <c r="AK37" s="22" t="s">
        <v>54</v>
      </c>
    </row>
    <row r="38" spans="1:40" ht="11.3" customHeight="1">
      <c r="A38" s="35">
        <v>36</v>
      </c>
      <c r="B38" s="42" t="str">
        <f>Списък!B37</f>
        <v>Никова</v>
      </c>
      <c r="C38" s="34" t="s">
        <v>12</v>
      </c>
      <c r="D38" s="10">
        <v>6</v>
      </c>
      <c r="E38" s="10" t="s">
        <v>54</v>
      </c>
      <c r="F38" s="10" t="s">
        <v>13</v>
      </c>
      <c r="G38" s="10" t="s">
        <v>11</v>
      </c>
      <c r="H38" s="10" t="s">
        <v>14</v>
      </c>
      <c r="I38" s="10" t="s">
        <v>10</v>
      </c>
      <c r="J38" s="20" t="s">
        <v>14</v>
      </c>
      <c r="K38" s="20">
        <v>6</v>
      </c>
      <c r="L38" s="20">
        <v>7</v>
      </c>
      <c r="M38" s="20" t="s">
        <v>54</v>
      </c>
      <c r="N38" s="20" t="s">
        <v>6</v>
      </c>
      <c r="O38" s="20" t="s">
        <v>54</v>
      </c>
      <c r="P38" s="20" t="s">
        <v>54</v>
      </c>
      <c r="Q38" s="10" t="s">
        <v>54</v>
      </c>
      <c r="R38" s="10" t="s">
        <v>54</v>
      </c>
      <c r="S38" s="10" t="s">
        <v>54</v>
      </c>
      <c r="T38" s="10" t="s">
        <v>54</v>
      </c>
      <c r="U38" s="10" t="s">
        <v>12</v>
      </c>
      <c r="V38" s="10" t="s">
        <v>6</v>
      </c>
      <c r="W38" s="33">
        <v>7</v>
      </c>
      <c r="X38" s="20" t="s">
        <v>14</v>
      </c>
      <c r="Y38" s="20" t="s">
        <v>13</v>
      </c>
      <c r="Z38" s="20" t="s">
        <v>10</v>
      </c>
      <c r="AA38" s="20" t="s">
        <v>54</v>
      </c>
      <c r="AB38" s="20" t="s">
        <v>11</v>
      </c>
      <c r="AC38" s="20" t="s">
        <v>6</v>
      </c>
      <c r="AD38" s="203" t="s">
        <v>54</v>
      </c>
      <c r="AE38" s="10" t="s">
        <v>11</v>
      </c>
      <c r="AF38" s="10" t="s">
        <v>12</v>
      </c>
      <c r="AG38" s="10">
        <v>7</v>
      </c>
      <c r="AH38" s="10" t="s">
        <v>10</v>
      </c>
      <c r="AI38" s="10" t="s">
        <v>13</v>
      </c>
      <c r="AJ38" s="10" t="s">
        <v>6</v>
      </c>
      <c r="AK38" s="22" t="s">
        <v>54</v>
      </c>
    </row>
    <row r="39" spans="1:40" ht="11.3" customHeight="1">
      <c r="A39" s="35">
        <v>37</v>
      </c>
      <c r="B39" s="42" t="str">
        <f>Списък!B38</f>
        <v>В. Иванова</v>
      </c>
      <c r="C39" s="34" t="s">
        <v>13</v>
      </c>
      <c r="D39" s="10" t="s">
        <v>49</v>
      </c>
      <c r="E39" s="10" t="s">
        <v>11</v>
      </c>
      <c r="F39" s="10" t="s">
        <v>10</v>
      </c>
      <c r="G39" s="10" t="s">
        <v>54</v>
      </c>
      <c r="H39" s="10" t="s">
        <v>48</v>
      </c>
      <c r="I39" s="10" t="s">
        <v>12</v>
      </c>
      <c r="J39" s="20" t="s">
        <v>9</v>
      </c>
      <c r="K39" s="20" t="s">
        <v>54</v>
      </c>
      <c r="L39" s="20" t="s">
        <v>18</v>
      </c>
      <c r="M39" s="20" t="s">
        <v>17</v>
      </c>
      <c r="N39" s="20" t="s">
        <v>16</v>
      </c>
      <c r="O39" s="20" t="s">
        <v>46</v>
      </c>
      <c r="P39" s="20" t="s">
        <v>15</v>
      </c>
      <c r="Q39" s="10" t="s">
        <v>54</v>
      </c>
      <c r="R39" s="10" t="s">
        <v>11</v>
      </c>
      <c r="S39" s="10" t="s">
        <v>48</v>
      </c>
      <c r="T39" s="10" t="s">
        <v>49</v>
      </c>
      <c r="U39" s="10" t="s">
        <v>8</v>
      </c>
      <c r="V39" s="10" t="s">
        <v>7</v>
      </c>
      <c r="W39" s="33" t="s">
        <v>7</v>
      </c>
      <c r="X39" s="20" t="s">
        <v>13</v>
      </c>
      <c r="Y39" s="20" t="s">
        <v>10</v>
      </c>
      <c r="Z39" s="20" t="s">
        <v>15</v>
      </c>
      <c r="AA39" s="20" t="s">
        <v>12</v>
      </c>
      <c r="AB39" s="20" t="s">
        <v>6</v>
      </c>
      <c r="AC39" s="20" t="s">
        <v>54</v>
      </c>
      <c r="AD39" s="203" t="s">
        <v>54</v>
      </c>
      <c r="AE39" s="10" t="s">
        <v>5</v>
      </c>
      <c r="AF39" s="10" t="s">
        <v>46</v>
      </c>
      <c r="AG39" s="10" t="s">
        <v>54</v>
      </c>
      <c r="AH39" s="10" t="s">
        <v>17</v>
      </c>
      <c r="AI39" s="10" t="s">
        <v>18</v>
      </c>
      <c r="AJ39" s="10" t="s">
        <v>16</v>
      </c>
      <c r="AK39" s="22" t="s">
        <v>54</v>
      </c>
    </row>
    <row r="40" spans="1:40" ht="11.3" customHeight="1">
      <c r="A40" s="35">
        <v>38</v>
      </c>
      <c r="B40" s="42" t="str">
        <f>Списък!B39</f>
        <v>Попова</v>
      </c>
      <c r="C40" s="34" t="s">
        <v>7</v>
      </c>
      <c r="D40" s="10" t="s">
        <v>8</v>
      </c>
      <c r="E40" s="10" t="s">
        <v>54</v>
      </c>
      <c r="F40" s="10" t="s">
        <v>18</v>
      </c>
      <c r="G40" s="10" t="s">
        <v>15</v>
      </c>
      <c r="H40" s="10">
        <v>5</v>
      </c>
      <c r="I40" s="10" t="s">
        <v>46</v>
      </c>
      <c r="J40" s="20" t="s">
        <v>50</v>
      </c>
      <c r="K40" s="20">
        <v>5</v>
      </c>
      <c r="L40" s="20" t="s">
        <v>54</v>
      </c>
      <c r="M40" s="20" t="s">
        <v>48</v>
      </c>
      <c r="N40" s="20" t="s">
        <v>51</v>
      </c>
      <c r="O40" s="20" t="s">
        <v>49</v>
      </c>
      <c r="P40" s="20" t="s">
        <v>52</v>
      </c>
      <c r="Q40" s="10" t="s">
        <v>46</v>
      </c>
      <c r="R40" s="10" t="s">
        <v>9</v>
      </c>
      <c r="S40" s="10" t="s">
        <v>54</v>
      </c>
      <c r="T40" s="10" t="s">
        <v>18</v>
      </c>
      <c r="U40" s="10">
        <v>6</v>
      </c>
      <c r="V40" s="10" t="s">
        <v>15</v>
      </c>
      <c r="W40" s="33" t="s">
        <v>46</v>
      </c>
      <c r="X40" s="20" t="s">
        <v>54</v>
      </c>
      <c r="Y40" s="20" t="s">
        <v>7</v>
      </c>
      <c r="Z40" s="20" t="s">
        <v>8</v>
      </c>
      <c r="AA40" s="20" t="s">
        <v>54</v>
      </c>
      <c r="AB40" s="20" t="s">
        <v>54</v>
      </c>
      <c r="AC40" s="20" t="s">
        <v>54</v>
      </c>
      <c r="AD40" s="203" t="s">
        <v>54</v>
      </c>
      <c r="AE40" s="10" t="s">
        <v>54</v>
      </c>
      <c r="AF40" s="10" t="s">
        <v>54</v>
      </c>
      <c r="AG40" s="10">
        <v>5</v>
      </c>
      <c r="AH40" s="10" t="s">
        <v>54</v>
      </c>
      <c r="AI40" s="10">
        <v>6</v>
      </c>
      <c r="AJ40" s="10" t="s">
        <v>9</v>
      </c>
      <c r="AK40" s="22" t="s">
        <v>54</v>
      </c>
      <c r="AM40" s="23" t="s">
        <v>123</v>
      </c>
      <c r="AN40" s="23">
        <v>29</v>
      </c>
    </row>
    <row r="41" spans="1:40" ht="11.3" customHeight="1">
      <c r="A41" s="35">
        <v>39</v>
      </c>
      <c r="B41" s="42" t="str">
        <f>Списък!B40</f>
        <v>Влашинска</v>
      </c>
      <c r="C41" s="34" t="s">
        <v>54</v>
      </c>
      <c r="D41" s="10" t="s">
        <v>6</v>
      </c>
      <c r="E41" s="10" t="s">
        <v>17</v>
      </c>
      <c r="F41" s="10" t="s">
        <v>54</v>
      </c>
      <c r="G41" s="10" t="s">
        <v>5</v>
      </c>
      <c r="H41" s="10">
        <v>7</v>
      </c>
      <c r="I41" s="10" t="s">
        <v>16</v>
      </c>
      <c r="J41" s="20" t="s">
        <v>10</v>
      </c>
      <c r="K41" s="20" t="s">
        <v>14</v>
      </c>
      <c r="L41" s="20" t="s">
        <v>12</v>
      </c>
      <c r="M41" s="20" t="s">
        <v>54</v>
      </c>
      <c r="N41" s="20" t="s">
        <v>13</v>
      </c>
      <c r="O41" s="20" t="s">
        <v>11</v>
      </c>
      <c r="P41" s="20" t="s">
        <v>54</v>
      </c>
      <c r="Q41" s="10" t="s">
        <v>54</v>
      </c>
      <c r="R41" s="10" t="s">
        <v>54</v>
      </c>
      <c r="S41" s="10" t="s">
        <v>54</v>
      </c>
      <c r="T41" s="10" t="s">
        <v>54</v>
      </c>
      <c r="U41" s="10" t="s">
        <v>16</v>
      </c>
      <c r="V41" s="10" t="s">
        <v>17</v>
      </c>
      <c r="W41" s="33" t="s">
        <v>12</v>
      </c>
      <c r="X41" s="20" t="s">
        <v>6</v>
      </c>
      <c r="Y41" s="20" t="s">
        <v>5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3" t="s">
        <v>54</v>
      </c>
      <c r="AE41" s="10" t="s">
        <v>13</v>
      </c>
      <c r="AF41" s="10" t="s">
        <v>14</v>
      </c>
      <c r="AG41" s="10" t="s">
        <v>54</v>
      </c>
      <c r="AH41" s="10" t="s">
        <v>11</v>
      </c>
      <c r="AI41" s="10" t="s">
        <v>12</v>
      </c>
      <c r="AJ41" s="10" t="s">
        <v>10</v>
      </c>
      <c r="AK41" s="22" t="s">
        <v>54</v>
      </c>
      <c r="AM41" s="23" t="s">
        <v>124</v>
      </c>
      <c r="AN41" s="23">
        <v>32</v>
      </c>
    </row>
    <row r="42" spans="1:40" ht="11.3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15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15</v>
      </c>
      <c r="Z42" s="20" t="s">
        <v>16</v>
      </c>
      <c r="AA42" s="20" t="s">
        <v>54</v>
      </c>
      <c r="AB42" s="20" t="s">
        <v>54</v>
      </c>
      <c r="AC42" s="20" t="s">
        <v>54</v>
      </c>
      <c r="AD42" s="203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125</v>
      </c>
      <c r="AN42" s="23">
        <v>24</v>
      </c>
    </row>
    <row r="43" spans="1:40" ht="11.3" customHeight="1">
      <c r="A43" s="35">
        <v>41</v>
      </c>
      <c r="B43" s="42" t="str">
        <f>Списък!B42</f>
        <v>Козалиева</v>
      </c>
      <c r="C43" s="34" t="s">
        <v>6</v>
      </c>
      <c r="D43" s="10" t="s">
        <v>54</v>
      </c>
      <c r="E43" s="10" t="s">
        <v>52</v>
      </c>
      <c r="F43" s="10" t="s">
        <v>5</v>
      </c>
      <c r="G43" s="10" t="s">
        <v>54</v>
      </c>
      <c r="H43" s="10" t="s">
        <v>54</v>
      </c>
      <c r="I43" s="10" t="s">
        <v>54</v>
      </c>
      <c r="J43" s="20" t="s">
        <v>11</v>
      </c>
      <c r="K43" s="20" t="s">
        <v>13</v>
      </c>
      <c r="L43" s="20" t="s">
        <v>10</v>
      </c>
      <c r="M43" s="20" t="s">
        <v>12</v>
      </c>
      <c r="N43" s="20" t="s">
        <v>5</v>
      </c>
      <c r="O43" s="20" t="s">
        <v>6</v>
      </c>
      <c r="P43" s="20" t="s">
        <v>14</v>
      </c>
      <c r="Q43" s="10" t="s">
        <v>14</v>
      </c>
      <c r="R43" s="10" t="s">
        <v>14</v>
      </c>
      <c r="S43" s="10" t="s">
        <v>52</v>
      </c>
      <c r="T43" s="10" t="s">
        <v>52</v>
      </c>
      <c r="U43" s="10" t="s">
        <v>6</v>
      </c>
      <c r="V43" s="10" t="s">
        <v>54</v>
      </c>
      <c r="W43" s="33" t="s">
        <v>52</v>
      </c>
      <c r="X43" s="20" t="s">
        <v>54</v>
      </c>
      <c r="Y43" s="20" t="s">
        <v>54</v>
      </c>
      <c r="Z43" s="20" t="s">
        <v>11</v>
      </c>
      <c r="AA43" s="20" t="s">
        <v>5</v>
      </c>
      <c r="AB43" s="20" t="s">
        <v>52</v>
      </c>
      <c r="AC43" s="20" t="s">
        <v>52</v>
      </c>
      <c r="AD43" s="203" t="s">
        <v>54</v>
      </c>
      <c r="AE43" s="10" t="s">
        <v>12</v>
      </c>
      <c r="AF43" s="10" t="s">
        <v>10</v>
      </c>
      <c r="AG43" s="10" t="s">
        <v>13</v>
      </c>
      <c r="AH43" s="10" t="s">
        <v>54</v>
      </c>
      <c r="AI43" s="10" t="s">
        <v>54</v>
      </c>
      <c r="AJ43" s="10" t="s">
        <v>54</v>
      </c>
      <c r="AK43" s="22" t="s">
        <v>54</v>
      </c>
      <c r="AM43" s="23" t="s">
        <v>126</v>
      </c>
      <c r="AN43" s="23">
        <v>22</v>
      </c>
    </row>
    <row r="44" spans="1:40" ht="11.3" customHeight="1">
      <c r="A44" s="35">
        <v>42</v>
      </c>
      <c r="B44" s="42" t="str">
        <f>Списък!B43</f>
        <v>Коларова</v>
      </c>
      <c r="C44" s="34" t="s">
        <v>18</v>
      </c>
      <c r="D44" s="10" t="s">
        <v>7</v>
      </c>
      <c r="E44" s="10" t="s">
        <v>14</v>
      </c>
      <c r="F44" s="10">
        <v>7</v>
      </c>
      <c r="G44" s="10" t="s">
        <v>54</v>
      </c>
      <c r="H44" s="10" t="s">
        <v>54</v>
      </c>
      <c r="I44" s="10" t="s">
        <v>54</v>
      </c>
      <c r="J44" s="20">
        <v>7</v>
      </c>
      <c r="K44" s="20" t="s">
        <v>8</v>
      </c>
      <c r="L44" s="20" t="s">
        <v>17</v>
      </c>
      <c r="M44" s="20" t="s">
        <v>14</v>
      </c>
      <c r="N44" s="20" t="s">
        <v>9</v>
      </c>
      <c r="O44" s="20" t="s">
        <v>18</v>
      </c>
      <c r="P44" s="20" t="s">
        <v>54</v>
      </c>
      <c r="Q44" s="10" t="s">
        <v>54</v>
      </c>
      <c r="R44" s="10" t="s">
        <v>46</v>
      </c>
      <c r="S44" s="10" t="s">
        <v>8</v>
      </c>
      <c r="T44" s="10" t="s">
        <v>7</v>
      </c>
      <c r="U44" s="10" t="s">
        <v>9</v>
      </c>
      <c r="V44" s="10" t="s">
        <v>54</v>
      </c>
      <c r="W44" s="33" t="s">
        <v>8</v>
      </c>
      <c r="X44" s="20" t="s">
        <v>18</v>
      </c>
      <c r="Y44" s="20" t="s">
        <v>18</v>
      </c>
      <c r="Z44" s="20" t="s">
        <v>54</v>
      </c>
      <c r="AA44" s="20" t="s">
        <v>17</v>
      </c>
      <c r="AB44" s="20" t="s">
        <v>14</v>
      </c>
      <c r="AC44" s="20" t="s">
        <v>54</v>
      </c>
      <c r="AD44" s="203" t="s">
        <v>54</v>
      </c>
      <c r="AE44" s="10" t="s">
        <v>7</v>
      </c>
      <c r="AF44" s="10" t="s">
        <v>54</v>
      </c>
      <c r="AG44" s="10" t="s">
        <v>46</v>
      </c>
      <c r="AH44" s="10" t="s">
        <v>9</v>
      </c>
      <c r="AI44" s="10" t="s">
        <v>8</v>
      </c>
      <c r="AJ44" s="10" t="s">
        <v>18</v>
      </c>
      <c r="AK44" s="22" t="s">
        <v>54</v>
      </c>
      <c r="AM44" s="23" t="s">
        <v>123</v>
      </c>
      <c r="AN44" s="23">
        <v>24</v>
      </c>
    </row>
    <row r="45" spans="1:40" ht="11.3" customHeight="1">
      <c r="A45" s="35">
        <v>43</v>
      </c>
      <c r="B45" s="42" t="str">
        <f>Списък!B44</f>
        <v>Костова</v>
      </c>
      <c r="C45" s="34" t="s">
        <v>15</v>
      </c>
      <c r="D45" s="10">
        <v>7</v>
      </c>
      <c r="E45" s="10" t="s">
        <v>46</v>
      </c>
      <c r="F45" s="10" t="s">
        <v>54</v>
      </c>
      <c r="G45" s="10" t="s">
        <v>18</v>
      </c>
      <c r="H45" s="10" t="s">
        <v>16</v>
      </c>
      <c r="I45" s="10" t="s">
        <v>54</v>
      </c>
      <c r="J45" s="20" t="s">
        <v>54</v>
      </c>
      <c r="K45" s="20" t="s">
        <v>54</v>
      </c>
      <c r="L45" s="20" t="s">
        <v>54</v>
      </c>
      <c r="M45" s="20" t="s">
        <v>18</v>
      </c>
      <c r="N45" s="20" t="s">
        <v>18</v>
      </c>
      <c r="O45" s="20" t="s">
        <v>54</v>
      </c>
      <c r="P45" s="20" t="s">
        <v>6</v>
      </c>
      <c r="Q45" s="10" t="s">
        <v>18</v>
      </c>
      <c r="R45" s="10" t="s">
        <v>18</v>
      </c>
      <c r="S45" s="10" t="s">
        <v>16</v>
      </c>
      <c r="T45" s="10" t="s">
        <v>15</v>
      </c>
      <c r="U45" s="10" t="s">
        <v>5</v>
      </c>
      <c r="V45" s="10" t="s">
        <v>54</v>
      </c>
      <c r="W45" s="33" t="s">
        <v>18</v>
      </c>
      <c r="X45" s="20" t="s">
        <v>54</v>
      </c>
      <c r="Y45" s="20" t="s">
        <v>54</v>
      </c>
      <c r="Z45" s="20" t="s">
        <v>54</v>
      </c>
      <c r="AA45" s="20">
        <v>7</v>
      </c>
      <c r="AB45" s="20" t="s">
        <v>17</v>
      </c>
      <c r="AC45" s="20" t="s">
        <v>46</v>
      </c>
      <c r="AD45" s="203" t="s">
        <v>54</v>
      </c>
      <c r="AE45" s="10" t="s">
        <v>54</v>
      </c>
      <c r="AF45" s="10" t="s">
        <v>18</v>
      </c>
      <c r="AG45" s="10" t="s">
        <v>17</v>
      </c>
      <c r="AH45" s="10" t="s">
        <v>5</v>
      </c>
      <c r="AI45" s="10" t="s">
        <v>6</v>
      </c>
      <c r="AJ45" s="10" t="s">
        <v>54</v>
      </c>
      <c r="AK45" s="22" t="s">
        <v>54</v>
      </c>
      <c r="AN45" s="23">
        <v>131</v>
      </c>
    </row>
    <row r="46" spans="1:40" ht="11.3" customHeight="1">
      <c r="A46" s="35">
        <v>44</v>
      </c>
      <c r="B46" s="42" t="str">
        <f>Списък!B45</f>
        <v>Минчева</v>
      </c>
      <c r="C46" s="34" t="s">
        <v>54</v>
      </c>
      <c r="D46" s="10" t="s">
        <v>12</v>
      </c>
      <c r="E46" s="10" t="s">
        <v>13</v>
      </c>
      <c r="F46" s="10" t="s">
        <v>11</v>
      </c>
      <c r="G46" s="10" t="s">
        <v>10</v>
      </c>
      <c r="H46" s="10" t="s">
        <v>52</v>
      </c>
      <c r="I46" s="10" t="s">
        <v>52</v>
      </c>
      <c r="J46" s="20" t="s">
        <v>8</v>
      </c>
      <c r="K46" s="20" t="s">
        <v>9</v>
      </c>
      <c r="L46" s="20" t="s">
        <v>7</v>
      </c>
      <c r="M46" s="20" t="s">
        <v>54</v>
      </c>
      <c r="N46" s="20" t="s">
        <v>54</v>
      </c>
      <c r="O46" s="20" t="s">
        <v>54</v>
      </c>
      <c r="P46" s="20" t="s">
        <v>54</v>
      </c>
      <c r="Q46" s="10" t="s">
        <v>11</v>
      </c>
      <c r="R46" s="10" t="s">
        <v>52</v>
      </c>
      <c r="S46" s="10" t="s">
        <v>9</v>
      </c>
      <c r="T46" s="10" t="s">
        <v>54</v>
      </c>
      <c r="U46" s="10" t="s">
        <v>54</v>
      </c>
      <c r="V46" s="10" t="s">
        <v>54</v>
      </c>
      <c r="W46" s="33" t="s">
        <v>54</v>
      </c>
      <c r="X46" s="20" t="s">
        <v>52</v>
      </c>
      <c r="Y46" s="20" t="s">
        <v>52</v>
      </c>
      <c r="Z46" s="20" t="s">
        <v>54</v>
      </c>
      <c r="AA46" s="20" t="s">
        <v>13</v>
      </c>
      <c r="AB46" s="20" t="s">
        <v>12</v>
      </c>
      <c r="AC46" s="20" t="s">
        <v>10</v>
      </c>
      <c r="AD46" s="203" t="s">
        <v>54</v>
      </c>
      <c r="AE46" s="10" t="s">
        <v>52</v>
      </c>
      <c r="AF46" s="10" t="s">
        <v>8</v>
      </c>
      <c r="AG46" s="10" t="s">
        <v>9</v>
      </c>
      <c r="AH46" s="10" t="s">
        <v>7</v>
      </c>
      <c r="AI46" s="10" t="s">
        <v>54</v>
      </c>
      <c r="AJ46" s="10" t="s">
        <v>54</v>
      </c>
      <c r="AK46" s="22" t="s">
        <v>54</v>
      </c>
    </row>
    <row r="47" spans="1:40" ht="11.3" customHeight="1">
      <c r="A47" s="35">
        <v>45</v>
      </c>
      <c r="B47" s="42" t="str">
        <f>Списък!B46</f>
        <v>Петров</v>
      </c>
      <c r="C47" s="34" t="s">
        <v>54</v>
      </c>
      <c r="D47" s="10" t="s">
        <v>54</v>
      </c>
      <c r="E47" s="10" t="s">
        <v>54</v>
      </c>
      <c r="F47" s="10">
        <v>5</v>
      </c>
      <c r="G47" s="10" t="s">
        <v>7</v>
      </c>
      <c r="H47" s="10">
        <v>6</v>
      </c>
      <c r="I47" s="10" t="s">
        <v>17</v>
      </c>
      <c r="J47" s="20" t="s">
        <v>18</v>
      </c>
      <c r="K47" s="20">
        <v>7</v>
      </c>
      <c r="L47" s="20" t="s">
        <v>54</v>
      </c>
      <c r="M47" s="20">
        <v>5</v>
      </c>
      <c r="N47" s="20" t="s">
        <v>10</v>
      </c>
      <c r="O47" s="20" t="s">
        <v>14</v>
      </c>
      <c r="P47" s="20" t="s">
        <v>13</v>
      </c>
      <c r="Q47" s="10">
        <v>6</v>
      </c>
      <c r="R47" s="10" t="s">
        <v>5</v>
      </c>
      <c r="S47" s="10" t="s">
        <v>46</v>
      </c>
      <c r="T47" s="10">
        <v>5</v>
      </c>
      <c r="U47" s="10" t="s">
        <v>54</v>
      </c>
      <c r="V47" s="10" t="s">
        <v>54</v>
      </c>
      <c r="W47" s="33" t="s">
        <v>54</v>
      </c>
      <c r="X47" s="20" t="s">
        <v>46</v>
      </c>
      <c r="Y47" s="20" t="s">
        <v>8</v>
      </c>
      <c r="Z47" s="20" t="s">
        <v>12</v>
      </c>
      <c r="AA47" s="20" t="s">
        <v>54</v>
      </c>
      <c r="AB47" s="20" t="s">
        <v>18</v>
      </c>
      <c r="AC47" s="20">
        <v>7</v>
      </c>
      <c r="AD47" s="203" t="s">
        <v>54</v>
      </c>
      <c r="AE47" s="10" t="s">
        <v>17</v>
      </c>
      <c r="AF47" s="10" t="s">
        <v>11</v>
      </c>
      <c r="AG47" s="10" t="s">
        <v>54</v>
      </c>
      <c r="AH47" s="10" t="s">
        <v>6</v>
      </c>
      <c r="AI47" s="10" t="s">
        <v>9</v>
      </c>
      <c r="AJ47" s="10">
        <v>5</v>
      </c>
      <c r="AK47" s="22" t="s">
        <v>54</v>
      </c>
      <c r="AM47" s="23">
        <v>1</v>
      </c>
    </row>
    <row r="48" spans="1:40" ht="11.3" customHeight="1">
      <c r="A48" s="35">
        <v>46</v>
      </c>
      <c r="B48" s="42" t="str">
        <f>Списък!B47</f>
        <v>Пецова</v>
      </c>
      <c r="C48" s="34" t="s">
        <v>3</v>
      </c>
      <c r="D48" s="10" t="s">
        <v>2</v>
      </c>
      <c r="E48" s="10" t="s">
        <v>54</v>
      </c>
      <c r="F48" s="10" t="s">
        <v>54</v>
      </c>
      <c r="G48" s="10" t="s">
        <v>54</v>
      </c>
      <c r="H48" s="10" t="s">
        <v>54</v>
      </c>
      <c r="I48" s="10" t="s">
        <v>54</v>
      </c>
      <c r="J48" s="20" t="s">
        <v>54</v>
      </c>
      <c r="K48" s="20" t="s">
        <v>54</v>
      </c>
      <c r="L48" s="20">
        <v>5</v>
      </c>
      <c r="M48" s="20">
        <v>6</v>
      </c>
      <c r="N48" s="20">
        <v>5</v>
      </c>
      <c r="O48" s="20">
        <v>6</v>
      </c>
      <c r="P48" s="20" t="s">
        <v>1</v>
      </c>
      <c r="Q48" s="10" t="s">
        <v>112</v>
      </c>
      <c r="R48" s="10">
        <v>7</v>
      </c>
      <c r="S48" s="10" t="s">
        <v>54</v>
      </c>
      <c r="T48" s="10">
        <v>6</v>
      </c>
      <c r="U48" s="10">
        <v>5</v>
      </c>
      <c r="V48" s="10">
        <v>7</v>
      </c>
      <c r="W48" s="33">
        <v>6</v>
      </c>
      <c r="X48" s="20" t="s">
        <v>54</v>
      </c>
      <c r="Y48" s="20" t="s">
        <v>54</v>
      </c>
      <c r="Z48" s="20">
        <v>6</v>
      </c>
      <c r="AA48" s="20" t="s">
        <v>54</v>
      </c>
      <c r="AB48" s="20">
        <v>5</v>
      </c>
      <c r="AC48" s="20" t="s">
        <v>4</v>
      </c>
      <c r="AD48" s="203" t="s">
        <v>54</v>
      </c>
      <c r="AE48" s="10">
        <v>5</v>
      </c>
      <c r="AF48" s="10">
        <v>6</v>
      </c>
      <c r="AG48" s="10">
        <v>6</v>
      </c>
      <c r="AH48" s="10">
        <v>5</v>
      </c>
      <c r="AI48" s="10" t="s">
        <v>54</v>
      </c>
      <c r="AJ48" s="10">
        <v>7</v>
      </c>
      <c r="AK48" s="22" t="s">
        <v>54</v>
      </c>
    </row>
    <row r="49" spans="1:39" ht="11.3" customHeight="1">
      <c r="A49" s="35">
        <v>47</v>
      </c>
      <c r="B49" s="42" t="str">
        <f>Списък!B48</f>
        <v>Конгалов</v>
      </c>
      <c r="C49" s="34" t="s">
        <v>54</v>
      </c>
      <c r="D49" s="10" t="s">
        <v>54</v>
      </c>
      <c r="E49" s="10" t="s">
        <v>54</v>
      </c>
      <c r="F49" s="10" t="s">
        <v>14</v>
      </c>
      <c r="G49" s="10" t="s">
        <v>52</v>
      </c>
      <c r="H49" s="10" t="s">
        <v>54</v>
      </c>
      <c r="I49" s="10" t="s">
        <v>13</v>
      </c>
      <c r="J49" s="20" t="s">
        <v>49</v>
      </c>
      <c r="K49" s="20" t="s">
        <v>51</v>
      </c>
      <c r="L49" s="20" t="s">
        <v>50</v>
      </c>
      <c r="M49" s="20" t="s">
        <v>54</v>
      </c>
      <c r="N49" s="20" t="s">
        <v>48</v>
      </c>
      <c r="O49" s="20" t="s">
        <v>52</v>
      </c>
      <c r="P49" s="20" t="s">
        <v>54</v>
      </c>
      <c r="Q49" s="10" t="s">
        <v>12</v>
      </c>
      <c r="R49" s="10" t="s">
        <v>13</v>
      </c>
      <c r="S49" s="10" t="s">
        <v>54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54</v>
      </c>
      <c r="Y49" s="20" t="s">
        <v>54</v>
      </c>
      <c r="Z49" s="20" t="s">
        <v>54</v>
      </c>
      <c r="AA49" s="20" t="s">
        <v>50</v>
      </c>
      <c r="AB49" s="20" t="s">
        <v>49</v>
      </c>
      <c r="AC49" s="20" t="s">
        <v>51</v>
      </c>
      <c r="AD49" s="203" t="s">
        <v>54</v>
      </c>
      <c r="AE49" s="10" t="s">
        <v>14</v>
      </c>
      <c r="AF49" s="10" t="s">
        <v>48</v>
      </c>
      <c r="AG49" s="10" t="s">
        <v>12</v>
      </c>
      <c r="AH49" s="10" t="s">
        <v>54</v>
      </c>
      <c r="AI49" s="10" t="s">
        <v>54</v>
      </c>
      <c r="AJ49" s="10" t="s">
        <v>54</v>
      </c>
      <c r="AK49" s="22" t="s">
        <v>54</v>
      </c>
      <c r="AM49" s="23" t="s">
        <v>250</v>
      </c>
    </row>
    <row r="50" spans="1:39" ht="11.3" customHeight="1">
      <c r="A50" s="35">
        <v>48</v>
      </c>
      <c r="B50" s="42" t="str">
        <f>Списък!B49</f>
        <v>Трандев</v>
      </c>
      <c r="C50" s="34" t="s">
        <v>8</v>
      </c>
      <c r="D50" s="10" t="s">
        <v>16</v>
      </c>
      <c r="E50" s="10">
        <v>7</v>
      </c>
      <c r="F50" s="10" t="s">
        <v>9</v>
      </c>
      <c r="G50" s="10" t="s">
        <v>54</v>
      </c>
      <c r="H50" s="10" t="s">
        <v>6</v>
      </c>
      <c r="I50" s="10" t="s">
        <v>54</v>
      </c>
      <c r="J50" s="20" t="s">
        <v>54</v>
      </c>
      <c r="K50" s="20" t="s">
        <v>54</v>
      </c>
      <c r="L50" s="20" t="s">
        <v>54</v>
      </c>
      <c r="M50" s="20" t="s">
        <v>9</v>
      </c>
      <c r="N50" s="20" t="s">
        <v>54</v>
      </c>
      <c r="O50" s="20" t="s">
        <v>15</v>
      </c>
      <c r="P50" s="20" t="s">
        <v>7</v>
      </c>
      <c r="Q50" s="10">
        <v>7</v>
      </c>
      <c r="R50" s="10" t="s">
        <v>16</v>
      </c>
      <c r="S50" s="10" t="s">
        <v>15</v>
      </c>
      <c r="T50" s="10" t="s">
        <v>54</v>
      </c>
      <c r="U50" s="10" t="s">
        <v>54</v>
      </c>
      <c r="V50" s="10" t="s">
        <v>54</v>
      </c>
      <c r="W50" s="33" t="s">
        <v>54</v>
      </c>
      <c r="X50" s="20" t="s">
        <v>8</v>
      </c>
      <c r="Y50" s="20" t="s">
        <v>6</v>
      </c>
      <c r="Z50" s="20" t="s">
        <v>5</v>
      </c>
      <c r="AA50" s="20" t="s">
        <v>54</v>
      </c>
      <c r="AB50" s="20" t="s">
        <v>54</v>
      </c>
      <c r="AC50" s="20" t="s">
        <v>54</v>
      </c>
      <c r="AD50" s="203" t="s">
        <v>54</v>
      </c>
      <c r="AE50" s="10" t="s">
        <v>54</v>
      </c>
      <c r="AF50" s="10" t="s">
        <v>54</v>
      </c>
      <c r="AG50" s="10" t="s">
        <v>54</v>
      </c>
      <c r="AH50" s="10" t="s">
        <v>54</v>
      </c>
      <c r="AI50" s="10" t="s">
        <v>7</v>
      </c>
      <c r="AJ50" s="10" t="s">
        <v>5</v>
      </c>
      <c r="AK50" s="22" t="s">
        <v>54</v>
      </c>
    </row>
    <row r="51" spans="1:39" ht="11.3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1</v>
      </c>
      <c r="F51" s="10" t="s">
        <v>54</v>
      </c>
      <c r="G51" s="10" t="s">
        <v>112</v>
      </c>
      <c r="H51" s="10" t="s">
        <v>10</v>
      </c>
      <c r="I51" s="10" t="s">
        <v>4</v>
      </c>
      <c r="J51" s="20" t="s">
        <v>3</v>
      </c>
      <c r="K51" s="20" t="s">
        <v>2</v>
      </c>
      <c r="L51" s="20" t="s">
        <v>11</v>
      </c>
      <c r="M51" s="20" t="s">
        <v>4</v>
      </c>
      <c r="N51" s="20">
        <v>6</v>
      </c>
      <c r="O51" s="20" t="s">
        <v>54</v>
      </c>
      <c r="P51" s="20" t="s">
        <v>54</v>
      </c>
      <c r="Q51" s="10" t="s">
        <v>54</v>
      </c>
      <c r="R51" s="10" t="s">
        <v>54</v>
      </c>
      <c r="S51" s="10" t="s">
        <v>54</v>
      </c>
      <c r="T51" s="10" t="s">
        <v>10</v>
      </c>
      <c r="U51" s="10" t="s">
        <v>54</v>
      </c>
      <c r="V51" s="10" t="s">
        <v>2</v>
      </c>
      <c r="W51" s="33" t="s">
        <v>54</v>
      </c>
      <c r="X51" s="20" t="s">
        <v>54</v>
      </c>
      <c r="Y51" s="20" t="s">
        <v>54</v>
      </c>
      <c r="Z51" s="20" t="s">
        <v>3</v>
      </c>
      <c r="AA51" s="20" t="s">
        <v>54</v>
      </c>
      <c r="AB51" s="20" t="s">
        <v>1</v>
      </c>
      <c r="AC51" s="20" t="s">
        <v>11</v>
      </c>
      <c r="AD51" s="203" t="s">
        <v>54</v>
      </c>
      <c r="AE51" s="10" t="s">
        <v>54</v>
      </c>
      <c r="AF51" s="10" t="s">
        <v>54</v>
      </c>
      <c r="AG51" s="10" t="s">
        <v>54</v>
      </c>
      <c r="AH51" s="10" t="s">
        <v>54</v>
      </c>
      <c r="AI51" s="10" t="s">
        <v>112</v>
      </c>
      <c r="AJ51" s="10">
        <v>6</v>
      </c>
      <c r="AK51" s="22" t="s">
        <v>54</v>
      </c>
    </row>
    <row r="52" spans="1:39" ht="11.3" customHeight="1">
      <c r="A52" s="35">
        <v>50</v>
      </c>
      <c r="B52" s="42" t="str">
        <f>Списък!B51</f>
        <v>Филипова</v>
      </c>
      <c r="C52" s="34" t="s">
        <v>51</v>
      </c>
      <c r="D52" s="10" t="s">
        <v>52</v>
      </c>
      <c r="E52" s="10" t="s">
        <v>50</v>
      </c>
      <c r="F52" s="10" t="s">
        <v>54</v>
      </c>
      <c r="G52" s="10" t="s">
        <v>14</v>
      </c>
      <c r="H52" s="10" t="s">
        <v>4</v>
      </c>
      <c r="I52" s="10" t="s">
        <v>54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54</v>
      </c>
      <c r="O52" s="20" t="s">
        <v>54</v>
      </c>
      <c r="P52" s="20" t="s">
        <v>54</v>
      </c>
      <c r="Q52" s="10" t="s">
        <v>52</v>
      </c>
      <c r="R52" s="10" t="s">
        <v>51</v>
      </c>
      <c r="S52" s="10" t="s">
        <v>381</v>
      </c>
      <c r="T52" s="10" t="s">
        <v>381</v>
      </c>
      <c r="U52" s="10" t="s">
        <v>54</v>
      </c>
      <c r="V52" s="10" t="s">
        <v>50</v>
      </c>
      <c r="W52" s="33" t="s">
        <v>54</v>
      </c>
      <c r="X52" s="20" t="s">
        <v>3</v>
      </c>
      <c r="Y52" s="20" t="s">
        <v>2</v>
      </c>
      <c r="Z52" s="20" t="s">
        <v>54</v>
      </c>
      <c r="AA52" s="20" t="s">
        <v>14</v>
      </c>
      <c r="AB52" s="20" t="s">
        <v>112</v>
      </c>
      <c r="AC52" s="20" t="s">
        <v>1</v>
      </c>
      <c r="AD52" s="203" t="s">
        <v>54</v>
      </c>
      <c r="AE52" s="10" t="s">
        <v>54</v>
      </c>
      <c r="AF52" s="10" t="s">
        <v>54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8313</xdr:colOff>
                <xdr:row>0</xdr:row>
                <xdr:rowOff>0</xdr:rowOff>
              </from>
              <to>
                <xdr:col>2</xdr:col>
                <xdr:colOff>16625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Q326"/>
  <sheetViews>
    <sheetView topLeftCell="A121" workbookViewId="0">
      <selection activeCell="E161" sqref="E161"/>
    </sheetView>
  </sheetViews>
  <sheetFormatPr defaultColWidth="9.125" defaultRowHeight="13.1"/>
  <cols>
    <col min="1" max="1" width="2.625" style="13" customWidth="1"/>
    <col min="2" max="2" width="18.75" style="12" customWidth="1"/>
    <col min="3" max="3" width="5.375" style="12" customWidth="1"/>
    <col min="4" max="4" width="18.75" style="12" customWidth="1"/>
    <col min="5" max="5" width="5" style="12" customWidth="1"/>
    <col min="6" max="6" width="18.75" style="12" customWidth="1"/>
    <col min="7" max="7" width="4.875" style="12" customWidth="1"/>
    <col min="8" max="8" width="19.625" style="12" customWidth="1"/>
    <col min="9" max="9" width="5.375" style="12" customWidth="1"/>
    <col min="10" max="10" width="18.75" style="12" customWidth="1"/>
    <col min="11" max="11" width="5.25" style="12" customWidth="1"/>
    <col min="12" max="12" width="6.25" style="12" customWidth="1"/>
    <col min="13" max="13" width="6.75" style="12" customWidth="1"/>
    <col min="14" max="14" width="10.375" style="12" customWidth="1"/>
    <col min="15" max="16384" width="9.125" style="12"/>
  </cols>
  <sheetData>
    <row r="1" spans="1:43" ht="24.75" customHeight="1" thickBot="1">
      <c r="A1" s="438" t="s">
        <v>24</v>
      </c>
      <c r="B1" s="438"/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21"/>
    </row>
    <row r="2" spans="1:43" s="13" customFormat="1" ht="11.95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1.95" customHeight="1">
      <c r="A3" s="13">
        <v>1</v>
      </c>
      <c r="B3" s="12" t="str">
        <f>VLOOKUP('Програма-кодове'!C2,Списък!$A$1:$C$210,3,FALSE)</f>
        <v>математика</v>
      </c>
      <c r="C3" s="87" t="str">
        <f>IF(OR(B3="история",B3="свят и личност",B3= "география",B3="химия",B3="биология",B3="физика",B3="философия"),"+","-")</f>
        <v>-</v>
      </c>
      <c r="D3" s="12" t="str">
        <f>VLOOKUP('Програма-кодове'!D2,Списък!$A$1:$C$210,3,FALSE)</f>
        <v>география</v>
      </c>
      <c r="E3" s="87" t="str">
        <f>IF(OR(D3="история",D3="свят и личност",D3= "география",D3="химия",D3="биология",D3="физика",D3="философия"),"+","-")</f>
        <v>+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1.95" customHeight="1">
      <c r="A4" s="13">
        <v>2</v>
      </c>
      <c r="B4" s="12" t="str">
        <f>VLOOKUP('Програма-кодове'!C3,Списък!$A$1:$C$210,3,FALSE)</f>
        <v>математика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история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биология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-</v>
      </c>
      <c r="L4" s="46"/>
      <c r="M4" s="46"/>
      <c r="P4" s="21"/>
    </row>
    <row r="5" spans="1:43" ht="11.95" customHeight="1">
      <c r="A5" s="13">
        <v>3</v>
      </c>
      <c r="B5" s="12" t="str">
        <f>VLOOKUP('Програма-кодове'!C4,Списък!$A$1:$C$210,3,FALSE)</f>
        <v>немски език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+</v>
      </c>
      <c r="D5" s="12" t="str">
        <f>VLOOKUP('Програма-кодове'!D4,Списък!$A$1:$C$210,3,FALSE)</f>
        <v>английски език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физкултура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-</v>
      </c>
      <c r="L5" s="46"/>
      <c r="M5" s="46"/>
      <c r="P5" s="21"/>
    </row>
    <row r="6" spans="1:43" ht="11.95" customHeight="1">
      <c r="A6" s="13">
        <v>4</v>
      </c>
      <c r="B6" s="12" t="str">
        <f>VLOOKUP('Програма-кодове'!C5,Списък!$A$1:$C$210,3,FALSE)</f>
        <v>музика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математика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+</v>
      </c>
      <c r="F6" s="12" t="str">
        <f>VLOOKUP('Програма-кодове'!E5,Списък!$A$1:$C$210,3,FALSE)</f>
        <v>химия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-</v>
      </c>
      <c r="L6" s="46"/>
      <c r="M6" s="46"/>
      <c r="P6" s="21"/>
    </row>
    <row r="7" spans="1:43" ht="11.95" customHeight="1">
      <c r="A7" s="13">
        <v>5</v>
      </c>
      <c r="B7" s="12" t="str">
        <f>VLOOKUP('Програма-кодове'!C6,Списък!$A$1:$C$210,3,FALSE)</f>
        <v>география</v>
      </c>
      <c r="C7" s="87" t="str">
        <f>IF(OR(B7="физкултура",B7="музика",B7="рисуване",B7="ИТ/ДБТ",B7="домашен бит и техника"),"+","-")</f>
        <v>-</v>
      </c>
      <c r="D7" s="12" t="str">
        <f>VLOOKUP('Програма-кодове'!D6,Списък!$A$1:$C$210,3,FALSE)</f>
        <v>бълг. език</v>
      </c>
      <c r="E7" s="87" t="str">
        <f>IF(OR(D7="физкултура",D7="музика",D7="рисуване",D7="ИТ/ДБТ",D7="домашен бит и техника"),"+","-")</f>
        <v>-</v>
      </c>
      <c r="F7" s="12" t="str">
        <f>VLOOKUP('Програма-кодове'!E6,Списък!$A$1:$C$210,3,FALSE)</f>
        <v>бълг. език</v>
      </c>
      <c r="G7" s="87" t="str">
        <f>IF(OR(F7="физкултура",F7="музика",F7="рисуване",F7="ИТ/ДБТ",F7="домашен бит и техника"),"+","-")</f>
        <v>-</v>
      </c>
      <c r="L7" s="46"/>
      <c r="M7" s="46"/>
      <c r="P7" s="21"/>
    </row>
    <row r="8" spans="1:43" ht="11.95" customHeight="1">
      <c r="A8" s="13">
        <v>6</v>
      </c>
      <c r="B8" s="12" t="str">
        <f>VLOOKUP('Програма-кодове'!C7,Списък!$A$1:$C$210,3,FALSE)</f>
        <v>физика</v>
      </c>
      <c r="C8" s="87" t="str">
        <f>IF(OR(B8="история",B8="свят и личност",B8= "география",B8="химия",B8="биология",B8="физика",B8="философия"),"+","-")</f>
        <v>+</v>
      </c>
      <c r="D8" s="12" t="str">
        <f>VLOOKUP('Програма-кодове'!D7,Списък!$A$1:$C$210,3,FALSE)</f>
        <v>музика</v>
      </c>
      <c r="E8" s="87" t="str">
        <f>IF(OR(D8="история",D8="свят и личност",D8= "география",D8="химия",D8="биология",D8="физика",D8="философия"),"+","-")</f>
        <v>-</v>
      </c>
      <c r="F8" s="12" t="str">
        <f>VLOOKUP('Програма-кодове'!E7,Списък!$A$1:$C$210,3,FALSE)</f>
        <v>физика</v>
      </c>
      <c r="G8" s="87" t="str">
        <f>IF(OR(F8="история",F8="свят и личност",F8= "география",F8="химия",F8="биология",F8="физика",F8="философия"),"+","-")</f>
        <v>+</v>
      </c>
      <c r="L8" s="46"/>
      <c r="M8" s="46"/>
      <c r="P8" s="21"/>
    </row>
    <row r="9" spans="1:43" ht="11.95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8" customHeight="1">
      <c r="C10" s="88">
        <f>COUNTIF(C3:C8,"+")/6</f>
        <v>0.5</v>
      </c>
      <c r="E10" s="88">
        <f>COUNTIF(E3:E8,"+")/6</f>
        <v>0.5</v>
      </c>
      <c r="G10" s="88">
        <f>COUNTIF(G3:G8,"+")/6</f>
        <v>0.16666666666666666</v>
      </c>
      <c r="L10" s="46" t="s">
        <v>94</v>
      </c>
      <c r="M10" s="47">
        <f>(C10+E10+G10)/3</f>
        <v>0.3888888888888889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1.95" customHeight="1">
      <c r="A12" s="43"/>
      <c r="B12" s="13" t="s">
        <v>112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1.95" customHeight="1">
      <c r="A13" s="13">
        <v>1</v>
      </c>
      <c r="B13" s="12" t="str">
        <f>VLOOKUP('Програма-кодове'!F2,Списък!$A$1:$C$210,3,FALSE)</f>
        <v>бълг. език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бълг.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математика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рисуване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английски език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1.95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бълг.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рисуване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-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английски език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1.95" customHeight="1">
      <c r="A15" s="13">
        <v>3</v>
      </c>
      <c r="B15" s="12" t="str">
        <f>VLOOKUP('Програма-кодове'!F4,Списък!$A$1:$C$210,3,FALSE)</f>
        <v>английски език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физкултура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-</v>
      </c>
      <c r="F15" s="12" t="str">
        <f>VLOOKUP('Програма-кодове'!H4,Списък!$A$1:$C$210,3,FALSE)</f>
        <v>бълг.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1.95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английски език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бълг.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1.95" customHeight="1">
      <c r="A17" s="13">
        <v>5</v>
      </c>
      <c r="B17" s="12" t="str">
        <f>VLOOKUP('Програма-кодове'!F6,Списък!$A$1:$C$210,3,FALSE)</f>
        <v>физкултура</v>
      </c>
      <c r="C17" s="87" t="str">
        <f>IF(OR(B17="физкултура",B17="музика",B17="рисуване",B17="ИТ/ДБТ",B17="домашен бит и техника"),"+","-")</f>
        <v>+</v>
      </c>
      <c r="D17" s="12" t="str">
        <f>VLOOKUP('Програма-кодове'!G6,Списък!$A$1:$C$210,3,FALSE)</f>
        <v>английски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английски език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английски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математика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1.95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английски език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английски език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бълг. език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философия</v>
      </c>
      <c r="K18" s="87" t="str">
        <f>IF(OR(J18="история",J18="свят и личност",J18= "география",J18="химия",J18="биология",J18="физика",J18="философия"),"+","-")</f>
        <v>+</v>
      </c>
      <c r="L18" s="46"/>
      <c r="M18" s="46"/>
      <c r="N18" s="21"/>
    </row>
    <row r="19" spans="1:41" ht="11.95" customHeight="1">
      <c r="A19" s="13">
        <v>7</v>
      </c>
      <c r="B19" s="12" t="str">
        <f>VLOOKUP('Програма-кодове'!F15,Списък!$A$1:$C$210,3,FALSE)</f>
        <v>английски език</v>
      </c>
      <c r="C19" s="87"/>
      <c r="D19" s="21" t="str">
        <f>VLOOKUP('Програма-кодове'!G8,Списък!$A$1:$C$210,3,FALSE)</f>
        <v>английски език</v>
      </c>
      <c r="E19" s="87"/>
      <c r="F19" s="97" t="str">
        <f>VLOOKUP('Програма-кодове'!H8,Списък!$A$1:$C$210,3,FALSE)</f>
        <v>английски език</v>
      </c>
      <c r="G19" s="98" t="str">
        <f>IF(OR(F19="история",F19="свят и личност",F19= "география",F19="химия",F19="биология",F19="физика",F19="философия"),"+","-")</f>
        <v>-</v>
      </c>
      <c r="H19" s="97" t="str">
        <f>VLOOKUP('Програма-кодове'!I8,Списък!$A$1:$C$210,3,FALSE)</f>
        <v>бълг. език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физкултура</v>
      </c>
      <c r="K19" s="87"/>
      <c r="L19" s="46"/>
      <c r="M19" s="46"/>
      <c r="N19" s="21"/>
    </row>
    <row r="20" spans="1:41" ht="11.95" customHeight="1">
      <c r="A20" s="43"/>
      <c r="C20" s="88">
        <f>COUNTIF(C13:C18,"+")/6</f>
        <v>0.66666666666666663</v>
      </c>
      <c r="E20" s="88">
        <f>COUNTIF(E13:E18,"+")/6</f>
        <v>0.33333333333333331</v>
      </c>
      <c r="F20" s="21"/>
      <c r="G20" s="60">
        <f>COUNTIF(G13:G19,"+")/7</f>
        <v>0.42857142857142855</v>
      </c>
      <c r="I20" s="60">
        <f>COUNTIF(I13:I19,"+")/7</f>
        <v>0.5714285714285714</v>
      </c>
      <c r="K20" s="88">
        <f>COUNTIF(K13:K18,"+")/6</f>
        <v>0.66666666666666663</v>
      </c>
      <c r="L20" s="46" t="s">
        <v>94</v>
      </c>
      <c r="M20" s="47">
        <f>(C20+E20+G20+I20+K20)/5</f>
        <v>0.53333333333333333</v>
      </c>
      <c r="N20" s="21"/>
    </row>
    <row r="21" spans="1:41" ht="2.95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1.95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1.95" customHeight="1">
      <c r="A23" s="13">
        <v>1</v>
      </c>
      <c r="B23" s="12" t="str">
        <f>VLOOKUP('Програма-кодове'!K2,Списък!$A$1:$C$210,3,FALSE)</f>
        <v>английски език</v>
      </c>
      <c r="C23" s="45" t="str">
        <f>IF(OR(B23="история",B23="свят и личност",B23= "география",B23="химия",B23="биология",B23="физика",B23="философия"),"+","-")</f>
        <v>-</v>
      </c>
      <c r="D23" s="12" t="str">
        <f>VLOOKUP('Програма-кодове'!L2,Списък!$A$1:$C$210,3,FALSE)</f>
        <v>химия</v>
      </c>
      <c r="E23" s="45" t="str">
        <f>IF(OR(D23="история",D23="свят и личност",D23= "география",D23="химия",D23="биология",D23="физика",D23="философия"),"+","-")</f>
        <v>+</v>
      </c>
      <c r="F23" s="12" t="str">
        <f>VLOOKUP('Програма-кодове'!M2,Списък!$A$1:$C$210,3,FALSE)</f>
        <v>физика</v>
      </c>
      <c r="G23" s="45" t="str">
        <f>IF(OR(F23="история",F23="свят и личност",F23= "география",F23="химия",F23="биология",F23="физика",F23="философия"),"+","-")</f>
        <v>+</v>
      </c>
      <c r="H23" s="12" t="str">
        <f>VLOOKUP('Програма-кодове'!N2,Списък!$A$1:$C$210,3,FALSE)</f>
        <v>физкултура</v>
      </c>
      <c r="I23" s="45" t="str">
        <f>IF(OR(H23="история",H23="свят и личност",H23= "география",H23="химия",H23="биология",H23="физика",H23="философия"),"+","-")</f>
        <v>-</v>
      </c>
      <c r="J23" s="12" t="str">
        <f>VLOOKUP('Програма-кодове'!O2,Списък!$A$1:$C$210,3,FALSE)</f>
        <v>география</v>
      </c>
      <c r="K23" s="45" t="str">
        <f>IF(OR(J23="история",J23="свят и личност",J23= "география",J23="химия",J23="биология",J23="физика",J23="философия"),"+","-")</f>
        <v>+</v>
      </c>
      <c r="L23" s="46"/>
      <c r="M23" s="46"/>
      <c r="N23" s="21"/>
    </row>
    <row r="24" spans="1:41" ht="11.95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физика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-</v>
      </c>
      <c r="F24" s="12" t="str">
        <f>VLOOKUP('Програма-кодове'!M3,Списък!$A$1:$C$210,3,FALSE)</f>
        <v>химия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-</v>
      </c>
      <c r="H24" s="12" t="str">
        <f>VLOOKUP('Програма-кодове'!N3,Списък!$A$1:$C$210,3,FALSE)</f>
        <v>физика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история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1.95" customHeight="1">
      <c r="A25" s="13">
        <v>3</v>
      </c>
      <c r="B25" s="12" t="str">
        <f>VLOOKUP('Програма-кодове'!K4,Списък!$A$1:$C$210,3,FALSE)</f>
        <v>география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-</v>
      </c>
      <c r="D25" s="12" t="str">
        <f>VLOOKUP('Програма-кодове'!L4,Списък!$A$1:$C$210,3,FALSE)</f>
        <v>математика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+</v>
      </c>
      <c r="F25" s="12" t="str">
        <f>VLOOKUP('Програма-кодове'!M4,Списък!$A$1:$C$210,3,FALSE)</f>
        <v>история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-</v>
      </c>
      <c r="H25" s="12" t="str">
        <f>VLOOKUP('Програма-кодове'!N4,Списък!$A$1:$C$210,3,FALSE)</f>
        <v>английски език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+</v>
      </c>
      <c r="J25" s="12" t="str">
        <f>VLOOKUP('Програма-кодове'!O4,Списък!$A$1:$C$210,3,FALSE)</f>
        <v>бълг. език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+</v>
      </c>
      <c r="L25" s="46"/>
      <c r="M25" s="46"/>
      <c r="N25" s="21"/>
    </row>
    <row r="26" spans="1:41" ht="11.95" customHeight="1">
      <c r="A26" s="13">
        <v>4</v>
      </c>
      <c r="B26" s="12" t="str">
        <f>VLOOKUP('Програма-кодове'!K5,Списък!$A$1:$C$210,3,FALSE)</f>
        <v>химия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-</v>
      </c>
      <c r="D26" s="12" t="str">
        <f>VLOOKUP('Програма-кодове'!L5,Списък!$A$1:$C$210,3,FALSE)</f>
        <v>бълг. език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+</v>
      </c>
      <c r="F26" s="12" t="str">
        <f>VLOOKUP('Програма-кодове'!M5,Списък!$A$1:$C$210,3,FALSE)</f>
        <v>география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-</v>
      </c>
      <c r="H26" s="12" t="str">
        <f>VLOOKUP('Програма-кодове'!N5,Списък!$A$1:$C$210,3,FALSE)</f>
        <v>английски език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физкултура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1.95" customHeight="1">
      <c r="A27" s="13">
        <v>5</v>
      </c>
      <c r="B27" s="12" t="str">
        <f>VLOOKUP('Програма-кодове'!K6,Списък!$A$1:$C$210,3,FALSE)</f>
        <v>физика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бълг. език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музика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-</v>
      </c>
      <c r="H27" s="12" t="str">
        <f>VLOOKUP('Програма-кодове'!N6,Списък!$A$1:$C$210,3,FALSE)</f>
        <v>бълг. език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1.95" customHeight="1">
      <c r="A28" s="13">
        <v>6</v>
      </c>
      <c r="B28" s="12" t="str">
        <f>VLOOKUP('Програма-кодове'!K7,Списък!$A$1:$C$210,3,FALSE)</f>
        <v>математика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физкултура</v>
      </c>
      <c r="E28" s="45" t="str">
        <f>IF(OR(D28="физкултура",D28="музика",D28="рисуване",D28="ИТ/ДБТ",D28="домашен бит и техника"),"+","-")</f>
        <v>+</v>
      </c>
      <c r="F28" s="12" t="str">
        <f>VLOOKUP('Програма-кодове'!M7,Списък!$A$1:$C$210,3,FALSE)</f>
        <v>бълг. език</v>
      </c>
      <c r="G28" s="45" t="str">
        <f>IF(OR(F28="физкултура",F28="музика",F28="рисуване",F28="ИТ/ДБТ",F28="домашен бит и техника"),"+","-")</f>
        <v>-</v>
      </c>
      <c r="H28" s="12" t="str">
        <f>VLOOKUP('Програма-кодове'!N7,Списък!$A$1:$C$210,3,FALSE)</f>
        <v>география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ІІ - ри чужд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1.95" customHeight="1">
      <c r="A29" s="13">
        <v>7</v>
      </c>
      <c r="B29" s="12" t="str">
        <f>VLOOKUP('Програма-кодове'!K8,Списък!$A$1:$C$210,3,FALSE)</f>
        <v>бълг. език</v>
      </c>
      <c r="C29" s="45" t="str">
        <f>IF(OR(B29="история",B29="свят и личност",B29= "география",B29="химия",B29="биология",B29="физика",B29="философия"),"+","-")</f>
        <v>-</v>
      </c>
      <c r="D29" s="12" t="str">
        <f>VLOOKUP('Програма-кодове'!L8,Списък!$A$1:$C$210,3,FALSE)</f>
        <v>география</v>
      </c>
      <c r="E29" s="45" t="str">
        <f>IF(OR(D29="история",D29="свят и личност",D29= "география",D29="химия",D29="биология",D29="физика",D29="философия"),"+","-")</f>
        <v>+</v>
      </c>
      <c r="F29" s="12" t="str">
        <f>VLOOKUP('Програма-кодове'!M8,Списък!$A$1:$C$210,3,FALSE)</f>
        <v>математика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 t="str">
        <f>VLOOKUP('Програма-кодове'!N8,Списък!$A$1:$C$210,3,FALSE)</f>
        <v>математика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ІІ - ри чужд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1.95" customHeight="1">
      <c r="C30" s="60">
        <f>COUNTIF(C23:C29,"+")/7</f>
        <v>0.2857142857142857</v>
      </c>
      <c r="E30" s="60">
        <f>COUNTIF(E23:E29,"+")/7</f>
        <v>0.8571428571428571</v>
      </c>
      <c r="F30" s="12" t="e">
        <f>VLOOKUP('Програма-кодове'!#REF!,Списък!$A$1:$C$210,3,FALSE)</f>
        <v>#REF!</v>
      </c>
      <c r="G30" s="60">
        <f>COUNTIF(G23:G29,"+")/7</f>
        <v>0.14285714285714285</v>
      </c>
      <c r="I30" s="60">
        <f>COUNTIF(I23:I29,"+")/7</f>
        <v>0.42857142857142855</v>
      </c>
      <c r="K30" s="60">
        <f>COUNTIF(K23:K29,"+")/7</f>
        <v>0.42857142857142855</v>
      </c>
      <c r="L30" s="46" t="s">
        <v>94</v>
      </c>
      <c r="M30" s="47">
        <f>(C30+E30+G30+I30+K30)/5</f>
        <v>0.42857142857142855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1.95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1.95" customHeight="1">
      <c r="A33" s="13">
        <v>1</v>
      </c>
      <c r="B33" s="12" t="str">
        <f>VLOOKUP('Програма-кодове'!P2,Списък!$A$1:$C$210,3,FALSE)</f>
        <v>математика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математика</v>
      </c>
      <c r="E33" s="45" t="str">
        <f>IF(OR(D33="история",D33="свят и личност",D33= "география",D33="химия",D33="биология",D33="физика",D33="философия"),"+","-")</f>
        <v>-</v>
      </c>
      <c r="F33" s="12" t="str">
        <f>VLOOKUP('Програма-кодове'!R2,Списък!$A$1:$C$210,3,FALSE)</f>
        <v>история</v>
      </c>
      <c r="G33" s="45" t="str">
        <f>IF(OR(F33="история",F33="свят и личност",F33= "география",F33="химия",F33="биология",F33="физика",F33="философия"),"+","-")</f>
        <v>+</v>
      </c>
      <c r="H33" s="12" t="str">
        <f>VLOOKUP('Програма-кодове'!S2,Списък!$A$1:$C$210,3,FALSE)</f>
        <v>философия</v>
      </c>
      <c r="I33" s="45" t="str">
        <f>IF(OR(H33="история",H33="свят и личност",H33= "география",H33="химия",H33="биология",H33="физика",H33="философия"),"+","-")</f>
        <v>+</v>
      </c>
      <c r="J33" s="12" t="str">
        <f>VLOOKUP('Програма-кодове'!T2,Списък!$A$1:$C$210,3,FALSE)</f>
        <v>английски език</v>
      </c>
      <c r="K33" s="45" t="str">
        <f>IF(OR(J33="история",J33="свят и личност",J33= "география",J33="химия",J33="биология",J33="физика",J33="философия"),"+","-")</f>
        <v>-</v>
      </c>
      <c r="L33" s="46"/>
      <c r="M33" s="46"/>
      <c r="N33" s="21"/>
    </row>
    <row r="34" spans="1:41" ht="11.95" customHeight="1">
      <c r="A34" s="13">
        <v>2</v>
      </c>
      <c r="B34" s="12" t="str">
        <f>VLOOKUP('Програма-кодове'!P3,Списък!$A$1:$C$210,3,FALSE)</f>
        <v>математика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+</v>
      </c>
      <c r="D34" s="12" t="str">
        <f>VLOOKUP('Програма-кодове'!Q3,Списък!$A$1:$C$210,3,FALSE)</f>
        <v>математика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биология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-</v>
      </c>
      <c r="H34" s="12" t="str">
        <f>VLOOKUP('Програма-кодове'!S3,Списък!$A$1:$C$210,3,FALSE)</f>
        <v>информатика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+</v>
      </c>
      <c r="J34" s="12" t="str">
        <f>VLOOKUP('Програма-кодове'!T3,Списък!$A$1:$C$210,3,FALSE)</f>
        <v>английски език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+</v>
      </c>
      <c r="L34" s="46"/>
      <c r="M34" s="46"/>
      <c r="N34" s="21"/>
    </row>
    <row r="35" spans="1:41" ht="11.95" customHeight="1">
      <c r="A35" s="13">
        <v>3</v>
      </c>
      <c r="B35" s="12" t="str">
        <f>VLOOKUP('Програма-кодове'!P4,Списък!$A$1:$C$210,3,FALSE)</f>
        <v>информатика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философия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-</v>
      </c>
      <c r="F35" s="12" t="str">
        <f>VLOOKUP('Програма-кодове'!R4,Списък!$A$1:$C$210,3,FALSE)</f>
        <v>математика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+</v>
      </c>
      <c r="H35" s="12" t="str">
        <f>VLOOKUP('Програма-кодове'!S4,Списък!$A$1:$C$210,3,FALSE)</f>
        <v>биология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-</v>
      </c>
      <c r="J35" s="12" t="str">
        <f>VLOOKUP('Програма-кодове'!T4,Списък!$A$1:$C$210,3,FALSE)</f>
        <v>химия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-</v>
      </c>
      <c r="L35" s="46"/>
      <c r="M35" s="46"/>
      <c r="N35" s="21"/>
    </row>
    <row r="36" spans="1:41" ht="11.95" customHeight="1">
      <c r="A36" s="13">
        <v>4</v>
      </c>
      <c r="B36" s="12" t="str">
        <f>VLOOKUP('Програма-кодове'!P5,Списък!$A$1:$C$210,3,FALSE)</f>
        <v>философия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-</v>
      </c>
      <c r="D36" s="12" t="str">
        <f>VLOOKUP('Програма-кодове'!Q5,Списък!$A$1:$C$210,3,FALSE)</f>
        <v>биология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-</v>
      </c>
      <c r="F36" s="12" t="str">
        <f>VLOOKUP('Програма-кодове'!R5,Списък!$A$1:$C$210,3,FALSE)</f>
        <v>математика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+</v>
      </c>
      <c r="H36" s="12" t="str">
        <f>VLOOKUP('Програма-кодове'!S5,Списък!$A$1:$C$210,3,FALSE)</f>
        <v>история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-</v>
      </c>
      <c r="J36" s="12" t="str">
        <f>VLOOKUP('Програма-кодове'!T5,Списък!$A$1:$C$210,3,FALSE)</f>
        <v>физкултура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-</v>
      </c>
      <c r="L36" s="46"/>
      <c r="M36" s="46"/>
      <c r="N36" s="21"/>
    </row>
    <row r="37" spans="1:41" ht="11.95" customHeight="1">
      <c r="A37" s="13">
        <v>5</v>
      </c>
      <c r="B37" s="12" t="str">
        <f>VLOOKUP('Програма-кодове'!P6,Списък!$A$1:$C$210,3,FALSE)</f>
        <v>биология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+</v>
      </c>
      <c r="D37" s="12" t="str">
        <f>VLOOKUP('Програма-кодове'!Q6,Списък!$A$1:$C$210,3,FALSE)</f>
        <v>история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ИТ/ИТ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-</v>
      </c>
      <c r="H37" s="12" t="str">
        <f>VLOOKUP('Програма-кодове'!S6,Списък!$A$1:$C$210,3,FALSE)</f>
        <v>математика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философия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1.95" customHeight="1">
      <c r="A38" s="13">
        <v>6</v>
      </c>
      <c r="B38" s="12" t="str">
        <f>VLOOKUP('Програма-кодове'!P7,Списък!$A$1:$C$210,3,FALSE)</f>
        <v>физкултура</v>
      </c>
      <c r="C38" s="45" t="str">
        <f>IF(OR(B38="физкултура",B38="музика",B38="рисуване",B38="ИТ/ДБТ",B38="домашен бит и техника"),"+","-")</f>
        <v>+</v>
      </c>
      <c r="D38" s="12" t="str">
        <f>VLOOKUP('Програма-кодове'!Q7,Списък!$A$1:$C$210,3,FALSE)</f>
        <v>ИТ/ИТ</v>
      </c>
      <c r="E38" s="45" t="str">
        <f>IF(OR(D38="физкултура",D38="музика",D38="рисуване",D38="ИТ/ДБТ",D38="домашен бит и техника"),"+","-")</f>
        <v>-</v>
      </c>
      <c r="F38" s="12" t="str">
        <f>VLOOKUP('Програма-кодове'!R7,Списък!$A$1:$C$210,3,FALSE)</f>
        <v>бълг. език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математика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история</v>
      </c>
      <c r="K38" s="45" t="str">
        <f>IF(OR(J38="физкултура",J38="музика",J38="рисуване",J38="ИТ/ДБТ",J38="домашен бит и техника"),"+","-")</f>
        <v>-</v>
      </c>
      <c r="L38" s="46"/>
      <c r="M38" s="46"/>
      <c r="N38" s="21"/>
    </row>
    <row r="39" spans="1:41" ht="11.95" customHeight="1">
      <c r="A39" s="43">
        <v>7</v>
      </c>
      <c r="B39" s="12" t="str">
        <f>VLOOKUP('Програма-кодове'!P8,Списък!$A$1:$C$210,3,FALSE)</f>
        <v>история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бълг. език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философия</v>
      </c>
      <c r="G39" s="45" t="str">
        <f>IF(OR(F39="история",F39="свят и личност",F39= "география",F39="химия",F39="биология",F39="физика",F39="философия"),"+","-")</f>
        <v>+</v>
      </c>
      <c r="H39" s="12" t="str">
        <f>VLOOKUP('Програма-кодове'!S8,Списък!$A$1:$C$210,3,FALSE)</f>
        <v>физкултура</v>
      </c>
      <c r="I39" s="45" t="str">
        <f>IF(OR(H39="история",H39="свят и личност",H39= "география",H39="химия",H39="биология",H39="физика",H39="философия"),"+","-")</f>
        <v>-</v>
      </c>
      <c r="J39" s="12" t="str">
        <f>VLOOKUP('Програма-кодове'!T8,Списък!$A$1:$C$210,3,FALSE)</f>
        <v>ИТ/ИТ</v>
      </c>
      <c r="K39" s="45" t="str">
        <f>IF(OR(J39="история",J39="свят и личност",J39= "география",J39="химия",J39="биология",J39="физика",J39="философия"),"+","-")</f>
        <v>-</v>
      </c>
      <c r="L39" s="46"/>
      <c r="M39" s="46"/>
      <c r="N39" s="21"/>
    </row>
    <row r="40" spans="1:41" ht="11.95" customHeight="1">
      <c r="C40" s="60">
        <f>COUNTIF(C33:C39,"+")/7</f>
        <v>0.7142857142857143</v>
      </c>
      <c r="E40" s="60">
        <f>COUNTIF(E33:E39,"+")/7</f>
        <v>0.2857142857142857</v>
      </c>
      <c r="G40" s="60">
        <f>COUNTIF(G33:G39,"+")/7</f>
        <v>0.5714285714285714</v>
      </c>
      <c r="I40" s="60">
        <f>COUNTIF(I33:I39,"+")/7</f>
        <v>0.42857142857142855</v>
      </c>
      <c r="K40" s="60">
        <f>COUNTIF(K33:K39,"+")/7</f>
        <v>0.2857142857142857</v>
      </c>
      <c r="L40" s="46" t="s">
        <v>94</v>
      </c>
      <c r="M40" s="47">
        <f>(C40+E40+G40+I40+K40)/5</f>
        <v>0.45714285714285713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1.95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1.95" customHeight="1">
      <c r="A43" s="13">
        <v>1</v>
      </c>
      <c r="B43" s="12" t="str">
        <f>VLOOKUP('Програма-кодове'!U2,Списък!$A$1:$C$210,3,FALSE)</f>
        <v>биология</v>
      </c>
      <c r="C43" s="45" t="str">
        <f>IF(OR(B43="история",B43="свят и личност",B43= "география",B43="химия",B43="биология",B43="физика",B43="философия"),"+","-")</f>
        <v>+</v>
      </c>
      <c r="D43" s="12" t="str">
        <f>VLOOKUP('Програма-кодове'!V2,Списък!$A$1:$C$210,3,FALSE)</f>
        <v>информатика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бълг.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немски език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химия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1.95" customHeight="1">
      <c r="A44" s="13">
        <v>2</v>
      </c>
      <c r="B44" s="12" t="str">
        <f>VLOOKUP('Програма-кодове'!U3,Списък!$A$1:$C$210,3,FALSE)</f>
        <v>география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-</v>
      </c>
      <c r="D44" s="12" t="str">
        <f>VLOOKUP('Програма-кодове'!V3,Списък!$A$1:$C$210,3,FALSE)</f>
        <v>физкултура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-</v>
      </c>
      <c r="F44" s="12" t="str">
        <f>VLOOKUP('Програма-кодове'!W3,Списък!$A$1:$C$210,3,FALSE)</f>
        <v>информатика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немски език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+</v>
      </c>
      <c r="J44" s="21" t="str">
        <f>VLOOKUP('Програма-кодове'!Y3,Списък!$A$1:$C$210,3,FALSE)</f>
        <v>бълг.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1.95" customHeight="1">
      <c r="A45" s="13">
        <v>3</v>
      </c>
      <c r="B45" s="12" t="str">
        <f>VLOOKUP('Програма-кодове'!U4,Списък!$A$1:$C$210,3,FALSE)</f>
        <v>английски език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+</v>
      </c>
      <c r="D45" s="12" t="str">
        <f>VLOOKUP('Програма-кодове'!V4,Списък!$A$1:$C$210,3,FALSE)</f>
        <v>математика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+</v>
      </c>
      <c r="F45" s="12" t="str">
        <f>VLOOKUP('Програма-кодове'!W4,Списък!$A$1:$C$210,3,FALSE)</f>
        <v>физика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-</v>
      </c>
      <c r="H45" s="21" t="str">
        <f>VLOOKUP('Програма-кодове'!X4,Списък!$A$1:$C$210,3,FALSE)</f>
        <v>биология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-</v>
      </c>
      <c r="J45" s="21" t="str">
        <f>VLOOKUP('Програма-кодове'!Y4,Списък!$A$1:$C$210,3,FALSE)</f>
        <v>география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1.95" customHeight="1">
      <c r="A46" s="13">
        <v>4</v>
      </c>
      <c r="B46" s="12" t="str">
        <f>VLOOKUP('Програма-кодове'!U5,Списък!$A$1:$C$210,3,FALSE)</f>
        <v>английски език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+</v>
      </c>
      <c r="D46" s="12" t="str">
        <f>VLOOKUP('Програма-кодове'!V5,Списък!$A$1:$C$210,3,FALSE)</f>
        <v>математика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география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-</v>
      </c>
      <c r="H46" s="21" t="str">
        <f>VLOOKUP('Програма-кодове'!X5,Списък!$A$1:$C$210,3,FALSE)</f>
        <v>математика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+</v>
      </c>
      <c r="J46" s="21" t="str">
        <f>VLOOKUP('Програма-кодове'!Y5,Списък!$A$1:$C$210,3,FALSE)</f>
        <v>физика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-</v>
      </c>
      <c r="L46" s="46"/>
      <c r="M46" s="46"/>
      <c r="N46" s="21"/>
    </row>
    <row r="47" spans="1:41" ht="11.95" customHeight="1">
      <c r="A47" s="13">
        <v>5</v>
      </c>
      <c r="B47" s="12" t="str">
        <f>VLOOKUP('Програма-кодове'!U6,Списък!$A$1:$C$210,3,FALSE)</f>
        <v>физика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география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математика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математика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биология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1.95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биология</v>
      </c>
      <c r="E48" s="45" t="str">
        <f>IF(OR(D48="физкултура",D48="музика",D48="рисуване",D48="ИТ/ДБТ",D48="домашен бит и техника"),"+","-")</f>
        <v>-</v>
      </c>
      <c r="F48" s="12" t="str">
        <f>VLOOKUP('Програма-кодове'!W7,Списък!$A$1:$C$210,3,FALSE)</f>
        <v>математика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география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английски език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1.95" customHeight="1">
      <c r="A49" s="13">
        <v>7</v>
      </c>
      <c r="B49" s="12" t="str">
        <f>VLOOKUP('Програма-кодове'!U8,Списък!$A$1:$C$210,3,FALSE)</f>
        <v>математика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физика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физкултура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физика</v>
      </c>
      <c r="I49" s="45" t="str">
        <f>IF(OR(H49="история",H49="свят и личност",H49= "география",H49="химия",H49="биология",H49="физика",H49="философия"),"+","-")</f>
        <v>+</v>
      </c>
      <c r="J49" s="21" t="str">
        <f>VLOOKUP('Програма-кодове'!Y8,Списък!$A$1:$C$210,3,FALSE)</f>
        <v>английски език</v>
      </c>
      <c r="K49" s="45" t="str">
        <f>IF(OR(J49="история",J49="свят и личност",J49= "география",J49="химия",J49="биология",J49="физика",J49="философия"),"+","-")</f>
        <v>-</v>
      </c>
      <c r="L49" s="46"/>
      <c r="M49" s="46"/>
      <c r="N49" s="21"/>
    </row>
    <row r="50" spans="1:43" ht="11.95" customHeight="1">
      <c r="C50" s="60">
        <f>COUNTIF(C43:C49,"+")/7</f>
        <v>0.5714285714285714</v>
      </c>
      <c r="E50" s="60">
        <f>COUNTIF(E43:E49,"+")/7</f>
        <v>0.5714285714285714</v>
      </c>
      <c r="G50" s="60">
        <f>COUNTIF(G43:G49,"+")/7</f>
        <v>0.2857142857142857</v>
      </c>
      <c r="H50" s="21"/>
      <c r="I50" s="60">
        <f>COUNTIF(I43:I49,"+")/7</f>
        <v>0.5714285714285714</v>
      </c>
      <c r="J50" s="21"/>
      <c r="K50" s="60">
        <f>COUNTIF(K43:K49,"+")/7</f>
        <v>0.42857142857142855</v>
      </c>
      <c r="L50" s="46" t="s">
        <v>94</v>
      </c>
      <c r="M50" s="47">
        <f>(C50+E50+G50+I50+K50)/5</f>
        <v>0.48571428571428565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1.95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1.95" customHeight="1">
      <c r="A53" s="13">
        <v>1</v>
      </c>
      <c r="B53" s="12" t="str">
        <f>VLOOKUP('Програма-кодове'!Z2,Списък!$A$1:$C$210,3,FALSE)</f>
        <v>бълг. език</v>
      </c>
      <c r="C53" s="45" t="str">
        <f>IF(OR(B53="история",B53="свят и личност",B53= "география",B53="химия",B53="биология",B53="физика",B53="философия"),"+","-")</f>
        <v>-</v>
      </c>
      <c r="D53" s="12" t="str">
        <f>VLOOKUP('Програма-кодове'!AA2,Списък!$A$1:$C$210,3,FALSE)</f>
        <v>математика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история</v>
      </c>
      <c r="G53" s="45" t="str">
        <f>IF(OR(F53="история",F53="свят и личност",F53= "география",F53="химия",F53="биология",F53="физика",F53="философия"),"+","-")</f>
        <v>+</v>
      </c>
      <c r="H53" s="12" t="str">
        <f>VLOOKUP('Програма-кодове'!AC2,Списък!$A$1:$C$210,3,FALSE)</f>
        <v>философия</v>
      </c>
      <c r="I53" s="45" t="str">
        <f>IF(OR(H53="история",H53="свят и личност",H53= "география",H53="химия",H53="биология",H53="физика",H53="философия"),"+","-")</f>
        <v>+</v>
      </c>
      <c r="J53" s="12" t="str">
        <f>VLOOKUP('Програма-кодове'!AD2,Списък!$A$1:$C$210,3,FALSE)</f>
        <v>английски език</v>
      </c>
      <c r="K53" s="45" t="str">
        <f>IF(OR(J53="история",J53="свят и личност",J53= "география",J53="химия",J53="биология",J53="физика",J53="философия"),"+","-")</f>
        <v>-</v>
      </c>
      <c r="L53" s="46"/>
      <c r="M53" s="46"/>
      <c r="N53" s="21"/>
    </row>
    <row r="54" spans="1:43" ht="11.95" customHeight="1">
      <c r="A54" s="13">
        <v>2</v>
      </c>
      <c r="B54" s="12" t="str">
        <f>VLOOKUP('Програма-кодове'!Z3,Списък!$A$1:$C$210,3,FALSE)</f>
        <v>бълг. език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философия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-</v>
      </c>
      <c r="F54" s="12" t="str">
        <f>VLOOKUP('Програма-кодове'!AB3,Списък!$A$1:$C$210,3,FALSE)</f>
        <v>математика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английски език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+</v>
      </c>
      <c r="J54" s="12" t="str">
        <f>VLOOKUP('Програма-кодове'!AD3,Списък!$A$1:$C$210,3,FALSE)</f>
        <v>философия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1.95" customHeight="1">
      <c r="A55" s="13">
        <v>3</v>
      </c>
      <c r="B55" s="12" t="str">
        <f>VLOOKUP('Програма-кодове'!Z4,Списък!$A$1:$C$210,3,FALSE)</f>
        <v>английски език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бълг. език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философия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-</v>
      </c>
      <c r="H55" s="12" t="str">
        <f>VLOOKUP('Програма-кодове'!AC4,Списък!$A$1:$C$210,3,FALSE)</f>
        <v>математика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химия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-</v>
      </c>
      <c r="L55" s="46"/>
      <c r="M55" s="46"/>
      <c r="N55" s="21"/>
    </row>
    <row r="56" spans="1:43" ht="11.95" customHeight="1">
      <c r="A56" s="13">
        <v>4</v>
      </c>
      <c r="B56" s="12" t="str">
        <f>VLOOKUP('Програма-кодове'!Z5,Списък!$A$1:$C$210,3,FALSE)</f>
        <v>информатика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бълг. език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+</v>
      </c>
      <c r="F56" s="12" t="str">
        <f>VLOOKUP('Програма-кодове'!AB5,Списък!$A$1:$C$210,3,FALSE)</f>
        <v>английски език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+</v>
      </c>
      <c r="H56" s="12" t="str">
        <f>VLOOKUP('Програма-кодове'!AC5,Списък!$A$1:$C$210,3,FALSE)</f>
        <v>математика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+</v>
      </c>
      <c r="J56" s="12" t="str">
        <f>VLOOKUP('Програма-кодове'!AD5,Списък!$A$1:$C$210,3,FALSE)</f>
        <v>история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-</v>
      </c>
      <c r="L56" s="46"/>
      <c r="M56" s="46"/>
      <c r="N56" s="21"/>
    </row>
    <row r="57" spans="1:43" ht="11.95" customHeight="1">
      <c r="A57" s="13">
        <v>5</v>
      </c>
      <c r="B57" s="12" t="str">
        <f>VLOOKUP('Програма-кодове'!Z6,Списък!$A$1:$C$210,3,FALSE)</f>
        <v>история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английски език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информатика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+</v>
      </c>
      <c r="H57" s="12" t="str">
        <f>VLOOKUP('Програма-кодове'!AC6,Списък!$A$1:$C$210,3,FALSE)</f>
        <v>немски език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+</v>
      </c>
      <c r="J57" s="12" t="str">
        <f>VLOOKUP('Програма-кодове'!AD6,Списък!$A$1:$C$210,3,FALSE)</f>
        <v>физкултура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-</v>
      </c>
      <c r="L57" s="46"/>
      <c r="M57" s="46"/>
      <c r="N57" s="21"/>
    </row>
    <row r="58" spans="1:43" ht="11.95" customHeight="1">
      <c r="A58" s="13">
        <v>6</v>
      </c>
      <c r="B58" s="12" t="str">
        <f>VLOOKUP('Програма-кодове'!Z7,Списък!$A$1:$C$210,3,FALSE)</f>
        <v>философия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информатика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бълг. език</v>
      </c>
      <c r="G58" s="45" t="str">
        <f>IF(OR(F58="физкултура",F58="музика",F58="рисуване",F58="ИТ/ДБТ",F58="домашен бит и техника"),"+","-")</f>
        <v>-</v>
      </c>
      <c r="H58" s="12" t="str">
        <f>VLOOKUP('Програма-кодове'!AC7,Списък!$A$1:$C$210,3,FALSE)</f>
        <v>история</v>
      </c>
      <c r="I58" s="45" t="str">
        <f>IF(OR(H58="физкултура",H58="музика",H58="рисуване",H58="ИТ/ДБТ",H58="домашен бит и техника"),"+","-")</f>
        <v>-</v>
      </c>
      <c r="J58" s="12" t="str">
        <f>VLOOKUP('Програма-кодове'!AD7,Списък!$A$1:$C$210,3,FALSE)</f>
        <v>биология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1.95" customHeight="1">
      <c r="A59" s="13">
        <v>7</v>
      </c>
      <c r="B59" s="12" t="str">
        <f>VLOOKUP('Програма-кодове'!Z8,Списък!$A$1:$C$210,3,FALSE)</f>
        <v>математика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история</v>
      </c>
      <c r="E59" s="45" t="str">
        <f>IF(OR(D59="история",D59="свят и личност",D59= "география",D59="химия",D59="биология",D59="физика",D59="философия"),"+","-")</f>
        <v>+</v>
      </c>
      <c r="F59" s="12" t="str">
        <f>VLOOKUP('Програма-кодове'!AB8,Списък!$A$1:$C$210,3,FALSE)</f>
        <v>бълг. език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информатика</v>
      </c>
      <c r="I59" s="45" t="str">
        <f>IF(OR(H59="история",H59="свят и личност",H59= "география",H59="химия",H59="биология",H59="физика",H59="философия"),"+","-")</f>
        <v>-</v>
      </c>
      <c r="J59" s="12" t="str">
        <f>VLOOKUP('Програма-кодове'!AD8,Списък!$A$1:$C$210,3,FALSE)</f>
        <v>биология</v>
      </c>
      <c r="K59" s="45" t="str">
        <f>IF(OR(J59="история",J59="свят и личност",J59= "география",J59="химия",J59="биология",J59="физика",J59="философия"),"+","-")</f>
        <v>+</v>
      </c>
      <c r="L59" s="46"/>
      <c r="M59" s="46"/>
      <c r="N59" s="21"/>
    </row>
    <row r="60" spans="1:43" ht="11.95" customHeight="1">
      <c r="C60" s="60">
        <f>COUNTIF(C53:C59,"+")/7</f>
        <v>0.5714285714285714</v>
      </c>
      <c r="E60" s="60">
        <f>COUNTIF(E53:E59,"+")/7</f>
        <v>0.5714285714285714</v>
      </c>
      <c r="G60" s="60">
        <f>COUNTIF(G53:G59,"+")/7</f>
        <v>0.5714285714285714</v>
      </c>
      <c r="I60" s="60">
        <f>COUNTIF(I53:I59,"+")/7</f>
        <v>0.7142857142857143</v>
      </c>
      <c r="K60" s="60">
        <f>COUNTIF(K53:K59,"+")/7</f>
        <v>0.14285714285714285</v>
      </c>
      <c r="L60" s="46" t="s">
        <v>94</v>
      </c>
      <c r="M60" s="47">
        <f>(C60+E60+G60+I60+K60)/5</f>
        <v>0.51428571428571423</v>
      </c>
      <c r="N60" s="21"/>
    </row>
    <row r="61" spans="1:43" s="21" customFormat="1" ht="11.95" customHeight="1">
      <c r="A61" s="439" t="s">
        <v>95</v>
      </c>
      <c r="B61" s="439"/>
      <c r="C61" s="439"/>
      <c r="D61" s="439"/>
      <c r="E61" s="439"/>
      <c r="F61" s="439"/>
      <c r="G61" s="439"/>
      <c r="H61" s="439"/>
      <c r="I61" s="439"/>
      <c r="J61" s="439"/>
      <c r="K61" s="439"/>
      <c r="L61" s="439"/>
      <c r="M61" s="57" t="e">
        <f>AVERAGE(A10:K10,A20:K20,A30:K30,A40:K40,A50:K50,A60:K60)</f>
        <v>#REF!</v>
      </c>
    </row>
    <row r="62" spans="1:43" ht="24.75" customHeight="1" thickBot="1">
      <c r="A62" s="438" t="s">
        <v>25</v>
      </c>
      <c r="B62" s="438"/>
      <c r="C62" s="438"/>
      <c r="D62" s="438"/>
      <c r="E62" s="438"/>
      <c r="F62" s="438"/>
      <c r="G62" s="438"/>
      <c r="H62" s="438"/>
      <c r="I62" s="438"/>
      <c r="J62" s="438"/>
      <c r="K62" s="438"/>
      <c r="L62" s="438"/>
      <c r="M62" s="438"/>
      <c r="N62" s="21"/>
    </row>
    <row r="63" spans="1:43" s="13" customFormat="1" ht="11.95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1.95" customHeight="1">
      <c r="A64" s="13">
        <v>1</v>
      </c>
      <c r="B64" s="12" t="str">
        <f>VLOOKUP('Програма-кодове'!C9,Списък!$A$1:$C$210,3,FALSE)</f>
        <v>бълг. език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английски език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химия</v>
      </c>
      <c r="G64" s="87" t="str">
        <f>IF(OR(F64="история",F64="свят и личност",F64= "география",F64="химия",F64="биология",F64="физика",F64="философия"),"+","-")</f>
        <v>+</v>
      </c>
      <c r="L64" s="46"/>
      <c r="M64" s="46"/>
      <c r="P64" s="21"/>
    </row>
    <row r="65" spans="1:16" ht="11.95" customHeight="1">
      <c r="A65" s="13">
        <v>2</v>
      </c>
      <c r="B65" s="12" t="str">
        <f>VLOOKUP('Програма-кодове'!C10,Списък!$A$1:$C$210,3,FALSE)</f>
        <v>физика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-</v>
      </c>
      <c r="D65" s="12" t="str">
        <f>VLOOKUP('Програма-кодове'!D10,Списък!$A$1:$C$210,3,FALSE)</f>
        <v>история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-</v>
      </c>
      <c r="F65" s="12" t="str">
        <f>VLOOKUP('Програма-кодове'!E10,Списък!$A$1:$C$210,3,FALSE)</f>
        <v>музика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-</v>
      </c>
      <c r="L65" s="46"/>
      <c r="M65" s="46"/>
      <c r="P65" s="21"/>
    </row>
    <row r="66" spans="1:16" ht="11.95" customHeight="1">
      <c r="A66" s="13">
        <v>3</v>
      </c>
      <c r="B66" s="12" t="str">
        <f>VLOOKUP('Програма-кодове'!C11,Списък!$A$1:$C$210,3,FALSE)</f>
        <v>ИТ/ТП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-</v>
      </c>
      <c r="D66" s="12" t="str">
        <f>VLOOKUP('Програма-кодове'!D11,Списък!$A$1:$C$210,3,FALSE)</f>
        <v>математика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+</v>
      </c>
      <c r="F66" s="12" t="str">
        <f>VLOOKUP('Програма-кодове'!E11,Списък!$A$1:$C$210,3,FALSE)</f>
        <v>история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-</v>
      </c>
      <c r="L66" s="46"/>
      <c r="M66" s="46"/>
      <c r="P66" s="21"/>
    </row>
    <row r="67" spans="1:16" ht="11.95" customHeight="1">
      <c r="A67" s="13">
        <v>4</v>
      </c>
      <c r="B67" s="12" t="str">
        <f>VLOOKUP('Програма-кодове'!C12,Списък!$A$1:$C$210,3,FALSE)</f>
        <v>музика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ИТ/ТП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математика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+</v>
      </c>
      <c r="L67" s="46"/>
      <c r="M67" s="46"/>
      <c r="P67" s="21"/>
    </row>
    <row r="68" spans="1:16" ht="11.95" customHeight="1">
      <c r="A68" s="13">
        <v>5</v>
      </c>
      <c r="B68" s="12" t="str">
        <f>VLOOKUP('Програма-кодове'!C13,Списък!$A$1:$C$210,3,FALSE)</f>
        <v>информатика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физкултура</v>
      </c>
      <c r="E68" s="87" t="str">
        <f>IF(OR(D68="физкултура",D68="музика",D68="рисуване",D68="ИТ/ДБТ",D68="домашен бит и техника"),"+","-")</f>
        <v>+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1.95" customHeight="1">
      <c r="A69" s="13">
        <v>6</v>
      </c>
      <c r="B69" s="12" t="str">
        <f>VLOOKUP('Програма-кодове'!C14,Списък!$A$1:$C$210,3,FALSE)</f>
        <v>математика</v>
      </c>
      <c r="C69" s="87" t="str">
        <f>IF(OR(B69="история",B69="свят и личност",B69= "география",B69="химия",B69="биология",B69="физика",B69="философия"),"+","-")</f>
        <v>-</v>
      </c>
      <c r="D69" s="12" t="str">
        <f>VLOOKUP('Програма-кодове'!D14,Списък!$A$1:$C$210,3,FALSE)</f>
        <v>ИТ/ИТ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английски език</v>
      </c>
      <c r="G69" s="87" t="str">
        <f>IF(OR(F69="история",F69="свят и личност",F69= "география",F69="химия",F69="биология",F69="физика",F69="философия"),"+","-")</f>
        <v>-</v>
      </c>
      <c r="L69" s="46"/>
      <c r="M69" s="46"/>
      <c r="P69" s="21"/>
    </row>
    <row r="70" spans="1:16" ht="11.95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1.95" customHeight="1">
      <c r="B71" s="45"/>
      <c r="C71" s="88">
        <f>COUNTIF(C64:C69,"+")/6</f>
        <v>0</v>
      </c>
      <c r="D71" s="12" t="e">
        <f>VLOOKUP('Програма-кодове'!#REF!,Списък!$A$1:$C$210,3,FALSE)</f>
        <v>#REF!</v>
      </c>
      <c r="E71" s="88">
        <f>COUNTIF(E64:E69,"+")/6</f>
        <v>0.33333333333333331</v>
      </c>
      <c r="F71" s="12" t="e">
        <f>VLOOKUP('Програма-кодове'!#REF!,Списък!$A$1:$C$210,3,FALSE)</f>
        <v>#REF!</v>
      </c>
      <c r="G71" s="88">
        <f>COUNTIF(G64:G69,"+")/6</f>
        <v>0.33333333333333331</v>
      </c>
      <c r="L71" s="46" t="s">
        <v>94</v>
      </c>
      <c r="M71" s="47">
        <f>(C71+E71+G71)/3</f>
        <v>0.22222222222222221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1.95" customHeight="1">
      <c r="A73" s="43"/>
      <c r="B73" s="13" t="s">
        <v>112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1.95" customHeight="1">
      <c r="A74" s="43"/>
      <c r="B74" s="12" t="str">
        <f>VLOOKUP('Програма-кодове'!F9,Списък!$A$1:$C$210,3,FALSE)</f>
        <v>информатика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английски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математика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физкултура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английски език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1.95" customHeight="1">
      <c r="A75" s="43"/>
      <c r="B75" s="12" t="str">
        <f>VLOOKUP('Програма-кодове'!F10,Списък!$A$1:$C$210,3,FALSE)</f>
        <v>бълг. език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+</v>
      </c>
      <c r="D75" s="12" t="str">
        <f>VLOOKUP('Програма-кодове'!G10,Списък!$A$1:$C$210,3,FALSE)</f>
        <v>английски език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+</v>
      </c>
      <c r="F75" s="12" t="str">
        <f>VLOOKUP('Програма-кодове'!H10,Списък!$A$1:$C$210,3,FALSE)</f>
        <v>физкултура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-</v>
      </c>
      <c r="H75" s="12" t="str">
        <f>VLOOKUP('Програма-кодове'!I10,Списък!$A$1:$C$210,3,FALSE)</f>
        <v>информатика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1.95" customHeight="1">
      <c r="A76" s="43"/>
      <c r="B76" s="12" t="str">
        <f>VLOOKUP('Програма-кодове'!F11,Списък!$A$1:$C$210,3,FALSE)</f>
        <v>математика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английски език</v>
      </c>
      <c r="E76" s="45" t="str">
        <f t="shared" si="0"/>
        <v>+</v>
      </c>
      <c r="F76" s="12" t="str">
        <f>VLOOKUP('Програма-кодове'!H11,Списък!$A$1:$C$210,3,FALSE)</f>
        <v>информатика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английски език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+</v>
      </c>
      <c r="L76" s="46"/>
      <c r="M76" s="46"/>
    </row>
    <row r="77" spans="1:16" s="21" customFormat="1" ht="11.95" customHeight="1">
      <c r="A77" s="43"/>
      <c r="B77" s="12" t="str">
        <f>VLOOKUP('Програма-кодове'!F12,Списък!$A$1:$C$210,3,FALSE)</f>
        <v>английски език</v>
      </c>
      <c r="C77" s="45" t="str">
        <f t="shared" si="0"/>
        <v>+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английски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английски език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физкултура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-</v>
      </c>
      <c r="L77" s="46"/>
      <c r="M77" s="46"/>
    </row>
    <row r="78" spans="1:16" s="21" customFormat="1" ht="11.95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математика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+</v>
      </c>
      <c r="F78" s="12" t="str">
        <f>VLOOKUP('Програма-кодове'!H13,Списък!$A$1:$C$210,3,FALSE)</f>
        <v>английски език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+</v>
      </c>
      <c r="H78" s="12" t="str">
        <f>VLOOKUP('Програма-кодове'!I13,Списък!$A$1:$C$210,3,FALSE)</f>
        <v>английски език</v>
      </c>
      <c r="I78" s="87" t="str">
        <f>IF(OR(H78="физкултура",H78="музика",H78="рисуване",H78="ИТ/ДБТ",H78="домашен бит и техника"),"+","-")</f>
        <v>-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1.95" customHeight="1">
      <c r="A79" s="43"/>
      <c r="B79" s="12" t="str">
        <f>VLOOKUP('Програма-кодове'!F14,Списък!$A$1:$C$210,3,FALSE)</f>
        <v>английски език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информатика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математика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1.95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рисуване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английски език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английски език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1.95" customHeight="1">
      <c r="A81" s="43"/>
      <c r="B81" s="45"/>
      <c r="C81" s="60">
        <f>COUNTIF(C74:C80,"+")/7</f>
        <v>0.5714285714285714</v>
      </c>
      <c r="D81" s="45"/>
      <c r="E81" s="60">
        <f>COUNTIF(E74:E80,"+")/7</f>
        <v>0.5714285714285714</v>
      </c>
      <c r="F81" s="12"/>
      <c r="G81" s="60">
        <f>COUNTIF(G74:G80,"+")/7</f>
        <v>0.42857142857142855</v>
      </c>
      <c r="H81" s="12"/>
      <c r="I81" s="88">
        <f>COUNTIF(I74:I79,"+")/6</f>
        <v>0.5</v>
      </c>
      <c r="J81" s="12"/>
      <c r="K81" s="88">
        <f>COUNTIF(K74:K79,"+")/6</f>
        <v>0.33333333333333331</v>
      </c>
      <c r="L81" s="46" t="s">
        <v>94</v>
      </c>
      <c r="M81" s="47">
        <f>(C81+E81+G81+I81+K81)/5</f>
        <v>0.48095238095238091</v>
      </c>
    </row>
    <row r="82" spans="1:41" s="21" customFormat="1" ht="2.2999999999999998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1.95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1.95" customHeight="1">
      <c r="A84" s="13">
        <v>1</v>
      </c>
      <c r="B84" s="12" t="str">
        <f>VLOOKUP('Програма-кодове'!K9,Списък!$A$1:$C$210,3,FALSE)</f>
        <v>ІІ - ри чужд език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английски език</v>
      </c>
      <c r="E84" s="45" t="str">
        <f>IF(OR(D84="история",D84="свят и личност",D84= "география",D84="химия",D84="биология",D84="физика",D84="философия"),"+","-")</f>
        <v>-</v>
      </c>
      <c r="F84" s="12" t="str">
        <f>VLOOKUP('Програма-кодове'!M9,Списък!$A$1:$C$210,3,FALSE)</f>
        <v>ІІ - ри чужд език</v>
      </c>
      <c r="G84" s="45" t="str">
        <f>IF(OR(F84="история",F84="свят и личност",F84= "география",F84="химия",F84="биология",F84="физика",F84="философия"),"+","-")</f>
        <v>-</v>
      </c>
      <c r="H84" s="12" t="str">
        <f>VLOOKUP('Програма-кодове'!N9,Списък!$A$1:$C$210,3,FALSE)</f>
        <v>биология</v>
      </c>
      <c r="I84" s="45" t="str">
        <f>IF(OR(H84="история",H84="свят и личност",H84= "география",H84="химия",H84="биология",H84="физика",H84="философия"),"+","-")</f>
        <v>+</v>
      </c>
      <c r="J84" s="12" t="str">
        <f>VLOOKUP('Програма-кодове'!O9,Списък!$A$1:$C$210,3,FALSE)</f>
        <v>философия</v>
      </c>
      <c r="K84" s="45" t="str">
        <f>IF(OR(J84="история",J84="свят и личност",J84= "география",J84="химия",J84="биология",J84="физика",J84="философия"),"+","-")</f>
        <v>+</v>
      </c>
      <c r="L84" s="46"/>
      <c r="M84" s="46"/>
      <c r="N84" s="21"/>
    </row>
    <row r="85" spans="1:41" ht="11.95" customHeight="1">
      <c r="A85" s="13">
        <v>2</v>
      </c>
      <c r="B85" s="12" t="str">
        <f>VLOOKUP('Програма-кодове'!K10,Списък!$A$1:$C$210,3,FALSE)</f>
        <v>ІІ - ри чужд език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+</v>
      </c>
      <c r="D85" s="21" t="str">
        <f>VLOOKUP('Програма-кодове'!L10,Списък!$A$1:$C$210,3,FALSE)</f>
        <v>английски език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ІІ - ри чужд език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+</v>
      </c>
      <c r="H85" s="12" t="str">
        <f>VLOOKUP('Програма-кодове'!N10,Списък!$A$1:$C$210,3,FALSE)</f>
        <v>химия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биология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1.95" customHeight="1">
      <c r="A86" s="13">
        <v>3</v>
      </c>
      <c r="B86" s="12" t="str">
        <f>VLOOKUP('Програма-кодове'!K11,Списък!$A$1:$C$210,3,FALSE)</f>
        <v>бълг. език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+</v>
      </c>
      <c r="D86" s="21" t="str">
        <f>VLOOKUP('Програма-кодове'!L11,Списък!$A$1:$C$210,3,FALSE)</f>
        <v>ІІ - ри чужд език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+</v>
      </c>
      <c r="F86" s="12" t="str">
        <f>VLOOKUP('Програма-кодове'!M11,Списък!$A$1:$C$210,3,FALSE)</f>
        <v>биология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-</v>
      </c>
      <c r="H86" s="12" t="str">
        <f>VLOOKUP('Програма-кодове'!N11,Списък!$A$1:$C$210,3,FALSE)</f>
        <v>ІІ - ри чужд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история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1.95" customHeight="1">
      <c r="A87" s="13">
        <v>4</v>
      </c>
      <c r="B87" s="12" t="str">
        <f>VLOOKUP('Програма-кодове'!K12,Списък!$A$1:$C$210,3,FALSE)</f>
        <v>бълг. език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+</v>
      </c>
      <c r="D87" s="21" t="str">
        <f>VLOOKUP('Програма-кодове'!L12,Списък!$A$1:$C$210,3,FALSE)</f>
        <v>ІІ - ри чужд език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+</v>
      </c>
      <c r="F87" s="12" t="str">
        <f>VLOOKUP('Програма-кодове'!M12,Списък!$A$1:$C$210,3,FALSE)</f>
        <v>английски език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+</v>
      </c>
      <c r="H87" s="12" t="str">
        <f>VLOOKUP('Програма-кодове'!N12,Списък!$A$1:$C$210,3,FALSE)</f>
        <v>ІІ - ри чужд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физкултура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-</v>
      </c>
      <c r="L87" s="46"/>
      <c r="M87" s="46"/>
      <c r="N87" s="21"/>
    </row>
    <row r="88" spans="1:41" ht="11.95" customHeight="1">
      <c r="A88" s="13">
        <v>5</v>
      </c>
      <c r="B88" s="12" t="str">
        <f>VLOOKUP('Програма-кодове'!K13,Списък!$A$1:$C$210,3,FALSE)</f>
        <v>химия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история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+</v>
      </c>
      <c r="F88" s="12" t="str">
        <f>VLOOKUP('Програма-кодове'!M13,Списък!$A$1:$C$210,3,FALSE)</f>
        <v>английски език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история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химия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1.95" customHeight="1">
      <c r="A89" s="13">
        <v>6</v>
      </c>
      <c r="B89" s="12" t="str">
        <f>VLOOKUP('Програма-кодове'!K14,Списък!$A$1:$C$210,3,FALSE)</f>
        <v>история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химия</v>
      </c>
      <c r="E89" s="45" t="str">
        <f>IF(OR(D89="физкултура",D89="музика",D89="рисуване",D89="ИТ/ДБТ",D89="домашен бит и техника"),"+","-")</f>
        <v>-</v>
      </c>
      <c r="F89" s="12" t="str">
        <f>VLOOKUP('Програма-кодове'!M14,Списък!$A$1:$C$210,3,FALSE)</f>
        <v>история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бълг. език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1.95" customHeight="1">
      <c r="A90" s="13">
        <v>7</v>
      </c>
      <c r="B90" s="12" t="str">
        <f>VLOOKUP('Програма-кодове'!K15,Списък!$A$1:$C$210,3,FALSE)</f>
        <v>информатика</v>
      </c>
      <c r="C90" s="45" t="str">
        <f>IF(OR(B90="история",B90="свят и личност",B90= "география",B90="химия",B90="биология",B90="физика",B90="философия"),"+","-")</f>
        <v>-</v>
      </c>
      <c r="D90" s="21" t="str">
        <f>VLOOKUP('Програма-кодове'!L15,Списък!$A$1:$C$210,3,FALSE)</f>
        <v>биология</v>
      </c>
      <c r="E90" s="45" t="str">
        <f>IF(OR(D90="история",D90="свят и личност",D90= "география",D90="химия",D90="биология",D90="физика",D90="философия"),"+","-")</f>
        <v>+</v>
      </c>
      <c r="F90" s="12" t="str">
        <f>VLOOKUP('Програма-кодове'!M15,Списък!$A$1:$C$210,3,FALSE)</f>
        <v>физкултура</v>
      </c>
      <c r="G90" s="45" t="str">
        <f>IF(OR(F90="история",F90="свят и личност",F90= "география",F90="химия",F90="биология",F90="физика",F90="философия"),"+","-")</f>
        <v>-</v>
      </c>
      <c r="H90" s="12" t="str">
        <f>VLOOKUP('Програма-кодове'!N15,Списък!$A$1:$C$210,3,FALSE)</f>
        <v>бълг. език</v>
      </c>
      <c r="I90" s="45" t="str">
        <f>IF(OR(H90="история",H90="свят и личност",H90= "география",H90="химия",H90="биология",H90="физика",H90="философия"),"+","-")</f>
        <v>-</v>
      </c>
      <c r="J90" s="12" t="str">
        <f>VLOOKUP('Програма-кодове'!O15,Списък!$A$1:$C$210,3,FALSE)</f>
        <v>английски език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1.95" customHeight="1">
      <c r="C91" s="60">
        <f>COUNTIF(C84:C90,"+")/7</f>
        <v>0.5714285714285714</v>
      </c>
      <c r="D91" s="99" t="e">
        <f>VLOOKUP('Програма-кодове'!#REF!,Списък!$A$1:$C$210,3,FALSE)</f>
        <v>#REF!</v>
      </c>
      <c r="E91" s="60">
        <f>COUNTIF(E84:E90,"+")/7</f>
        <v>0.7142857142857143</v>
      </c>
      <c r="F91" s="12" t="e">
        <f>VLOOKUP('Програма-кодове'!#REF!,Списък!$A$1:$C$210,3,FALSE)</f>
        <v>#REF!</v>
      </c>
      <c r="G91" s="60">
        <f>COUNTIF(G84:G90,"+")/7</f>
        <v>0.42857142857142855</v>
      </c>
      <c r="I91" s="60">
        <f>COUNTIF(I84:I90,"+")/7</f>
        <v>0.5714285714285714</v>
      </c>
      <c r="K91" s="60">
        <f>COUNTIF(K84:K90,"+")/7</f>
        <v>0.2857142857142857</v>
      </c>
      <c r="L91" s="46" t="s">
        <v>94</v>
      </c>
      <c r="M91" s="47">
        <f>(C91+E91+G91+I91+K91)/5</f>
        <v>0.51428571428571423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1.95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1.95" customHeight="1">
      <c r="A94" s="13">
        <v>1</v>
      </c>
      <c r="B94" s="12" t="str">
        <f>VLOOKUP('Програма-кодове'!P9,Списък!$A$1:$C$209,3,FALSE)</f>
        <v>физика</v>
      </c>
      <c r="C94" s="45" t="str">
        <f>IF(OR(B94="история",B94="свят и личност",B94= "география",B94="химия",B94="биология",B94="физика",B94="философия"),"+","-")</f>
        <v>+</v>
      </c>
      <c r="D94" s="12" t="str">
        <f>VLOOKUP('Програма-кодове'!Q9,Списък!$A$1:$C$209,3,FALSE)</f>
        <v>химия</v>
      </c>
      <c r="E94" s="45" t="str">
        <f>IF(OR(D94="история",D94="свят и личност",D94= "география",D94="химия",D94="биология",D94="физика",D94="философия"),"+","-")</f>
        <v>+</v>
      </c>
      <c r="F94" s="12" t="str">
        <f>VLOOKUP('Програма-кодове'!R9,Списък!$A$1:$C$209,3,FALSE)</f>
        <v>бълг. език</v>
      </c>
      <c r="G94" s="45" t="str">
        <f>IF(OR(F94="история",F94="свят и личност",F94= "география",F94="химия",F94="биология",F94="физика",F94="философия"),"+","-")</f>
        <v>-</v>
      </c>
      <c r="H94" s="12" t="str">
        <f>VLOOKUP('Програма-кодове'!S9,Списък!$A$1:$C$209,3,FALSE)</f>
        <v>математика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история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1.95" customHeight="1">
      <c r="A95" s="13">
        <v>2</v>
      </c>
      <c r="B95" s="12" t="str">
        <f>VLOOKUP('Програма-кодове'!P10,Списък!$A$1:$C$209,3,FALSE)</f>
        <v>математика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география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-</v>
      </c>
      <c r="F95" s="12" t="str">
        <f>VLOOKUP('Програма-кодове'!R10,Списък!$A$1:$C$209,3,FALSE)</f>
        <v>бълг. език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химия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физика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-</v>
      </c>
      <c r="L95" s="46"/>
      <c r="M95" s="46"/>
      <c r="N95" s="21"/>
    </row>
    <row r="96" spans="1:41" ht="11.95" customHeight="1">
      <c r="A96" s="13">
        <v>3</v>
      </c>
      <c r="B96" s="12" t="str">
        <f>VLOOKUP('Програма-кодове'!P11,Списък!$A$1:$C$209,3,FALSE)</f>
        <v>химия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физкултура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-</v>
      </c>
      <c r="F96" s="12" t="str">
        <f>VLOOKUP('Програма-кодове'!R11,Списък!$A$1:$C$209,3,FALSE)</f>
        <v>физика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-</v>
      </c>
      <c r="H96" s="12" t="str">
        <f>VLOOKUP('Програма-кодове'!S11,Списък!$A$1:$C$209,3,FALSE)</f>
        <v>английски език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+</v>
      </c>
      <c r="J96" s="12" t="str">
        <f>VLOOKUP('Програма-кодове'!T11,Списък!$A$1:$C$209,3,FALSE)</f>
        <v>математика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1.95" customHeight="1">
      <c r="A97" s="13">
        <v>4</v>
      </c>
      <c r="B97" s="12" t="str">
        <f>VLOOKUP('Програма-кодове'!P12,Списък!$A$1:$C$209,3,FALSE)</f>
        <v>география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-</v>
      </c>
      <c r="D97" s="12" t="str">
        <f>VLOOKUP('Програма-кодове'!Q12,Списък!$A$1:$C$209,3,FALSE)</f>
        <v>бълг. език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+</v>
      </c>
      <c r="F97" s="12" t="str">
        <f>VLOOKUP('Програма-кодове'!R12,Списък!$A$1:$C$209,3,FALSE)</f>
        <v>химия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-</v>
      </c>
      <c r="H97" s="12" t="str">
        <f>VLOOKUP('Програма-кодове'!S12,Списък!$A$1:$C$209,3,FALSE)</f>
        <v>английски език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+</v>
      </c>
      <c r="J97" s="12" t="str">
        <f>VLOOKUP('Програма-кодове'!T12,Списък!$A$1:$C$209,3,FALSE)</f>
        <v>химия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-</v>
      </c>
      <c r="L97" s="46"/>
      <c r="M97" s="46"/>
      <c r="N97" s="21"/>
    </row>
    <row r="98" spans="1:41" ht="11.95" customHeight="1">
      <c r="A98" s="13">
        <v>5</v>
      </c>
      <c r="B98" s="12" t="str">
        <f>VLOOKUP('Програма-кодове'!P13,Списък!$A$1:$C$209,3,FALSE)</f>
        <v>музика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-</v>
      </c>
      <c r="D98" s="12" t="str">
        <f>VLOOKUP('Програма-кодове'!Q13,Списък!$A$1:$C$209,3,FALSE)</f>
        <v>бълг. език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английски език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физика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география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1.95" customHeight="1">
      <c r="A99" s="13">
        <v>6</v>
      </c>
      <c r="B99" s="12" t="str">
        <f>VLOOKUP('Програма-кодове'!P14,Списък!$A$1:$C$209,3,FALSE)</f>
        <v>бълг. език</v>
      </c>
      <c r="C99" s="45" t="str">
        <f>IF(OR(B99="физкултура",B99="музика",B99="рисуване",B99="ИТ/ДБТ",B99="домашен бит и техника"),"+","-")</f>
        <v>-</v>
      </c>
      <c r="D99" s="12" t="str">
        <f>VLOOKUP('Програма-кодове'!Q14,Списък!$A$1:$C$209,3,FALSE)</f>
        <v>физика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география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музика</v>
      </c>
      <c r="K99" s="45" t="str">
        <f>IF(OR(J99="физкултура",J99="музика",J99="рисуване",J99="ИТ/ДБТ",J99="домашен бит и техника"),"+","-")</f>
        <v>+</v>
      </c>
      <c r="L99" s="46"/>
      <c r="M99" s="46"/>
      <c r="N99" s="21"/>
    </row>
    <row r="100" spans="1:41" ht="11.95" customHeight="1">
      <c r="A100" s="13">
        <v>7</v>
      </c>
      <c r="B100" s="12" t="str">
        <f>VLOOKUP('Програма-кодове'!P15,Списък!$A$1:$C$209,3,FALSE)</f>
        <v>бълг. език</v>
      </c>
      <c r="C100" s="45" t="str">
        <f>IF(OR(B100="история",B100="свят и личност",B100= "география",B100="химия",B100="биология",B100="физика",B100="философия"),"+","-")</f>
        <v>-</v>
      </c>
      <c r="D100" s="12" t="str">
        <f>VLOOKUP('Програма-кодове'!Q15,Списък!$A$1:$C$209,3,FALSE)</f>
        <v>математика</v>
      </c>
      <c r="E100" s="45" t="str">
        <f>IF(OR(D100="история",D100="свят и личност",D100= "география",D100="химия",D100="биология",D100="физика",D100="философия"),"+","-")</f>
        <v>-</v>
      </c>
      <c r="F100" s="12" t="str">
        <f>VLOOKUP('Програма-кодове'!R15,Списък!$A$1:$C$209,3,FALSE)</f>
        <v>география</v>
      </c>
      <c r="G100" s="45" t="str">
        <f>IF(OR(F100="история",F100="свят и личност",F100= "география",F100="химия",F100="биология",F100="физика",F100="философия"),"+","-")</f>
        <v>+</v>
      </c>
      <c r="H100" s="12" t="str">
        <f>VLOOKUP('Програма-кодове'!S15,Списък!$A$1:$C$209,3,FALSE)</f>
        <v>музика</v>
      </c>
      <c r="I100" s="45" t="str">
        <f>IF(OR(H100="история",H100="свят и личност",H100= "география",H100="химия",H100="биология",H100="физика",H100="философия"),"+","-")</f>
        <v>-</v>
      </c>
      <c r="J100" s="12" t="str">
        <f>VLOOKUP('Програма-кодове'!T15,Списък!$A$1:$C$209,3,FALSE)</f>
        <v>биология</v>
      </c>
      <c r="K100" s="45" t="str">
        <f>IF(OR(J100="история",J100="свят и личност",J100= "география",J100="химия",J100="биология",J100="физика",J100="философия"),"+","-")</f>
        <v>+</v>
      </c>
      <c r="L100" s="46"/>
      <c r="M100" s="46"/>
      <c r="N100" s="21"/>
    </row>
    <row r="101" spans="1:41" ht="11.95" customHeight="1">
      <c r="C101" s="60">
        <f>COUNTIF(C94:C100,"+")/7</f>
        <v>0.2857142857142857</v>
      </c>
      <c r="E101" s="60">
        <f>COUNTIF(E94:E100,"+")/7</f>
        <v>0.42857142857142855</v>
      </c>
      <c r="G101" s="60">
        <f>COUNTIF(G94:G100,"+")/7</f>
        <v>0.42857142857142855</v>
      </c>
      <c r="I101" s="60">
        <f>COUNTIF(I94:I100,"+")/7</f>
        <v>0.42857142857142855</v>
      </c>
      <c r="J101" s="21"/>
      <c r="K101" s="60">
        <f>COUNTIF(K94:K100,"+")/7</f>
        <v>0.7142857142857143</v>
      </c>
      <c r="L101" s="46" t="s">
        <v>94</v>
      </c>
      <c r="M101" s="47">
        <f>(C101+E101+G101+I101+K101)/5</f>
        <v>0.45714285714285713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1.95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1.95" customHeight="1">
      <c r="A104" s="13">
        <v>1</v>
      </c>
      <c r="B104" s="12" t="str">
        <f>VLOOKUP('Програма-кодове'!U9,Списък!$A$1:$C$209,3,FALSE)</f>
        <v>история</v>
      </c>
      <c r="C104" s="45" t="str">
        <f>IF(OR(B104="история",B104="свят и личност",B104= "география",B104="химия",B104="биология",B104="физика",B104="философия"),"+","-")</f>
        <v>+</v>
      </c>
      <c r="D104" s="12" t="str">
        <f>VLOOKUP('Програма-кодове'!V9,Списък!$A$1:$C$209,3,FALSE)</f>
        <v>математика</v>
      </c>
      <c r="E104" s="45" t="str">
        <f>IF(OR(D104="история",D104="свят и личност",D104= "география",D104="химия",D104="биология",D104="физика",D104="философия"),"+","-")</f>
        <v>-</v>
      </c>
      <c r="F104" s="12" t="str">
        <f>VLOOKUP('Програма-кодове'!W9,Списък!$A$1:$C$209,3,FALSE)</f>
        <v>информатика</v>
      </c>
      <c r="G104" s="45" t="str">
        <f>IF(OR(F104="история",F104="свят и личност",F104= "география",F104="химия",F104="биология",F104="физика",F104="философия"),"+","-")</f>
        <v>-</v>
      </c>
      <c r="H104" s="12" t="str">
        <f>VLOOKUP('Програма-кодове'!X9,Списък!$A$1:$C$209,3,FALSE)</f>
        <v>бълг.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физкултура</v>
      </c>
      <c r="K104" s="45" t="str">
        <f>IF(OR(J104="история",J104="свят и личност",J104= "география",J104="химия",J104="биология",J104="физика",J104="философия"),"+","-")</f>
        <v>-</v>
      </c>
      <c r="L104" s="46"/>
      <c r="M104" s="46"/>
      <c r="N104" s="21"/>
    </row>
    <row r="105" spans="1:41" ht="11.95" customHeight="1">
      <c r="A105" s="13">
        <v>2</v>
      </c>
      <c r="B105" s="12" t="str">
        <f>VLOOKUP('Програма-кодове'!U10,Списък!$A$1:$C$209,3,FALSE)</f>
        <v>бълг. език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+</v>
      </c>
      <c r="D105" s="12" t="str">
        <f>VLOOKUP('Програма-кодове'!V10,Списък!$A$1:$C$209,3,FALSE)</f>
        <v>химия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-</v>
      </c>
      <c r="F105" s="12" t="str">
        <f>VLOOKUP('Програма-кодове'!W10,Списък!$A$1:$C$209,3,FALSE)</f>
        <v>математика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+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история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1.95" customHeight="1">
      <c r="A106" s="13">
        <v>3</v>
      </c>
      <c r="B106" s="12" t="str">
        <f>VLOOKUP('Програма-кодове'!U11,Списък!$A$1:$C$209,3,FALSE)</f>
        <v>химия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-</v>
      </c>
      <c r="D106" s="12" t="str">
        <f>VLOOKUP('Програма-кодове'!V11,Списък!$A$1:$C$209,3,FALSE)</f>
        <v>информатика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+</v>
      </c>
      <c r="F106" s="12" t="str">
        <f>VLOOKUP('Програма-кодове'!W11,Списък!$A$1:$C$209,3,FALSE)</f>
        <v>химия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-</v>
      </c>
      <c r="H106" s="12" t="str">
        <f>VLOOKUP('Програма-кодове'!X11,Списък!$A$1:$C$209,3,FALSE)</f>
        <v>немски език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+</v>
      </c>
      <c r="J106" s="12" t="str">
        <f>VLOOKUP('Програма-кодове'!Y11,Списък!$A$1:$C$209,3,FALSE)</f>
        <v>философия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-</v>
      </c>
      <c r="L106" s="46"/>
      <c r="M106" s="46"/>
      <c r="N106" s="21"/>
    </row>
    <row r="107" spans="1:41" ht="11.95" customHeight="1">
      <c r="A107" s="13">
        <v>4</v>
      </c>
      <c r="B107" s="12" t="str">
        <f>VLOOKUP('Програма-кодове'!U12,Списък!$A$1:$C$209,3,FALSE)</f>
        <v>информатика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+</v>
      </c>
      <c r="D107" s="12" t="str">
        <f>VLOOKUP('Програма-кодове'!V12,Списък!$A$1:$C$209,3,FALSE)</f>
        <v>бълг. език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философия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-</v>
      </c>
      <c r="H107" s="12" t="str">
        <f>VLOOKUP('Програма-кодове'!X12,Списък!$A$1:$C$209,3,FALSE)</f>
        <v>английски език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биология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1.95" customHeight="1">
      <c r="A108" s="13">
        <v>5</v>
      </c>
      <c r="B108" s="12" t="str">
        <f>VLOOKUP('Програма-кодове'!U13,Списък!$A$1:$C$209,3,FALSE)</f>
        <v>математика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+</v>
      </c>
      <c r="D108" s="12" t="str">
        <f>VLOOKUP('Програма-кодове'!V13,Списък!$A$1:$C$209,3,FALSE)</f>
        <v>философия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история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английски език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биология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1.95" customHeight="1">
      <c r="A109" s="13">
        <v>6</v>
      </c>
      <c r="B109" s="12" t="str">
        <f>VLOOKUP('Програма-кодове'!U14,Списък!$A$1:$C$209,3,FALSE)</f>
        <v>физкултура</v>
      </c>
      <c r="C109" s="45" t="str">
        <f>IF(OR(B109="физкултура",B109="музика",B109="рисуване",B109="ИТ/ДБТ",B109="домашен бит и техника"),"+","-")</f>
        <v>+</v>
      </c>
      <c r="D109" s="12" t="str">
        <f>VLOOKUP('Програма-кодове'!V14,Списък!$A$1:$C$209,3,FALSE)</f>
        <v>английски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английски език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философия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химия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1.95" customHeight="1">
      <c r="A110" s="13">
        <v>7</v>
      </c>
      <c r="B110" s="12" t="str">
        <f>VLOOKUP('Програма-кодове'!U15,Списък!$A$1:$C$209,3,FALSE)</f>
        <v>философия</v>
      </c>
      <c r="C110" s="45" t="str">
        <f>IF(OR(B110="история",B110="свят и личност",B110= "география",B110="химия",B110="биология",B110="физика",B110="философия"),"+","-")</f>
        <v>+</v>
      </c>
      <c r="D110" s="12" t="str">
        <f>VLOOKUP('Програма-кодове'!V15,Списък!$A$1:$C$209,3,FALSE)</f>
        <v>английски език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английски език</v>
      </c>
      <c r="G110" s="45" t="str">
        <f>IF(OR(F110="история",F110="свят и личност",F110= "география",F110="химия",F110="биология",F110="физика",F110="философия"),"+","-")</f>
        <v>-</v>
      </c>
      <c r="H110" s="12" t="str">
        <f>VLOOKUP('Програма-кодове'!X15,Списък!$A$1:$C$209,3,FALSE)</f>
        <v>история</v>
      </c>
      <c r="I110" s="45" t="str">
        <f>IF(OR(H110="история",H110="свят и личност",H110= "география",H110="химия",H110="биология",H110="физика",H110="философия"),"+","-")</f>
        <v>+</v>
      </c>
      <c r="J110" s="12" t="str">
        <f>VLOOKUP('Програма-кодове'!Y15,Списък!$A$1:$C$209,3,FALSE)</f>
        <v>математика</v>
      </c>
      <c r="K110" s="45" t="str">
        <f>IF(OR(J110="история",J110="свят и личност",J110= "география",J110="химия",J110="биология",J110="физика",J110="философия"),"+","-")</f>
        <v>-</v>
      </c>
      <c r="L110" s="46"/>
      <c r="M110" s="46"/>
      <c r="N110" s="21"/>
    </row>
    <row r="111" spans="1:41" ht="11.95" customHeight="1">
      <c r="C111" s="60">
        <f>COUNTIF(C104:C110,"+")/7</f>
        <v>0.8571428571428571</v>
      </c>
      <c r="E111" s="60">
        <f>COUNTIF(E104:E110,"+")/7</f>
        <v>0.42857142857142855</v>
      </c>
      <c r="G111" s="60">
        <f>COUNTIF(G104:G110,"+")/7</f>
        <v>0.2857142857142857</v>
      </c>
      <c r="I111" s="60">
        <f>COUNTIF(I104:I110,"+")/7</f>
        <v>0.7142857142857143</v>
      </c>
      <c r="K111" s="60">
        <f>COUNTIF(K104:K110,"+")/7</f>
        <v>0.14285714285714285</v>
      </c>
      <c r="L111" s="46" t="s">
        <v>94</v>
      </c>
      <c r="M111" s="47">
        <f>(C111+E111+G111+I111+K111)/5</f>
        <v>0.48571428571428565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1.95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1.95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физкултура</v>
      </c>
      <c r="E114" s="45" t="str">
        <f>IF(OR(D114="история",D114="свят и личност",D114= "география",D114="химия",D114="биология",D114="физика",D114="философия"),"+","-")</f>
        <v>-</v>
      </c>
      <c r="F114" s="12" t="str">
        <f>VLOOKUP('Програма-кодове'!AB9,Списък!$A$1:$C$209,3,FALSE)</f>
        <v>физика</v>
      </c>
      <c r="G114" s="45" t="str">
        <f>IF(OR(F114="история",F114="свят и личност",F114= "география",F114="химия",F114="биология",F114="физика",F114="философия"),"+","-")</f>
        <v>+</v>
      </c>
      <c r="H114" s="12" t="str">
        <f>VLOOKUP('Програма-кодове'!AC9,Списък!$A$1:$C$209,3,FALSE)</f>
        <v>математика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английски език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1.95" customHeight="1">
      <c r="A115" s="13">
        <v>2</v>
      </c>
      <c r="B115" s="12" t="str">
        <f>VLOOKUP('Програма-кодове'!Z10,Списък!$A$1:$C$209,3,FALSE)</f>
        <v>математика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+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география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-</v>
      </c>
      <c r="H115" s="12" t="str">
        <f>VLOOKUP('Програма-кодове'!AC10,Списък!$A$1:$C$209,3,FALSE)</f>
        <v>физкултура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-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1.95" customHeight="1">
      <c r="A116" s="13">
        <v>3</v>
      </c>
      <c r="B116" s="12" t="str">
        <f>VLOOKUP('Програма-кодове'!Z11,Списък!$A$1:$C$209,3,FALSE)</f>
        <v>математика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география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-</v>
      </c>
      <c r="F116" s="12" t="str">
        <f>VLOOKUP('Програма-кодове'!AB11,Списък!$A$1:$C$209,3,FALSE)</f>
        <v>физкултура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-</v>
      </c>
      <c r="H116" s="12" t="str">
        <f>VLOOKUP('Програма-кодове'!AC11,Списък!$A$1:$C$209,3,FALSE)</f>
        <v>информатика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математика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+</v>
      </c>
      <c r="L116" s="46"/>
      <c r="M116" s="46"/>
      <c r="N116" s="21"/>
    </row>
    <row r="117" spans="1:43" ht="11.95" customHeight="1">
      <c r="A117" s="13">
        <v>4</v>
      </c>
      <c r="B117" s="12" t="str">
        <f>VLOOKUP('Програма-кодове'!Z12,Списък!$A$1:$C$209,3,FALSE)</f>
        <v>физика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-</v>
      </c>
      <c r="D117" s="12" t="str">
        <f>VLOOKUP('Програма-кодове'!AA12,Списък!$A$1:$C$209,3,FALSE)</f>
        <v>математика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информатика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английски език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бълг. език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+</v>
      </c>
      <c r="L117" s="46"/>
      <c r="M117" s="46"/>
      <c r="N117" s="21"/>
    </row>
    <row r="118" spans="1:43" ht="11.95" customHeight="1">
      <c r="A118" s="13">
        <v>5</v>
      </c>
      <c r="B118" s="12" t="str">
        <f>VLOOKUP('Програма-кодове'!Z13,Списък!$A$1:$C$209,3,FALSE)</f>
        <v>физкултура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-</v>
      </c>
      <c r="D118" s="12" t="str">
        <f>VLOOKUP('Програма-кодове'!AA13,Списък!$A$1:$C$209,3,FALSE)</f>
        <v>математика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физика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бълг. език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+</v>
      </c>
      <c r="L118" s="46"/>
      <c r="M118" s="46"/>
      <c r="N118" s="21"/>
    </row>
    <row r="119" spans="1:43" ht="11.95" customHeight="1">
      <c r="A119" s="13">
        <v>6</v>
      </c>
      <c r="B119" s="12" t="str">
        <f>VLOOKUP('Програма-кодове'!Z14,Списък!$A$1:$C$209,3,FALSE)</f>
        <v>английски език</v>
      </c>
      <c r="C119" s="45" t="str">
        <f>IF(OR(B119="физкултура",B119="музика",B119="рисуване",B119="ИТ/ДБТ",B119="домашен бит и техника"),"+","-")</f>
        <v>-</v>
      </c>
      <c r="D119" s="12" t="str">
        <f>VLOOKUP('Програма-кодове'!AA14,Списък!$A$1:$C$209,3,FALSE)</f>
        <v>физика</v>
      </c>
      <c r="E119" s="45" t="str">
        <f>IF(OR(D119="физкултура",D119="музика",D119="рисуване",D119="ИТ/ДБТ",D119="домашен бит и техника"),"+","-")</f>
        <v>-</v>
      </c>
      <c r="F119" s="12" t="str">
        <f>VLOOKUP('Програма-кодове'!AB14,Списък!$A$1:$C$209,3,FALSE)</f>
        <v>математика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бълг. език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физкултура</v>
      </c>
      <c r="K119" s="45" t="str">
        <f>IF(OR(J119="физкултура",J119="музика",J119="рисуване",J119="ИТ/ДБТ",J119="домашен бит и техника"),"+","-")</f>
        <v>+</v>
      </c>
      <c r="L119" s="46"/>
      <c r="M119" s="46"/>
      <c r="N119" s="21"/>
    </row>
    <row r="120" spans="1:43" ht="11.95" customHeight="1">
      <c r="A120" s="13">
        <v>7</v>
      </c>
      <c r="B120" s="12" t="str">
        <f>VLOOKUP('Програма-кодове'!Z15,Списък!$A$1:$C$209,3,FALSE)</f>
        <v>география</v>
      </c>
      <c r="C120" s="45" t="str">
        <f>IF(OR(B120="история",B120="свят и личност",B120= "география",B120="химия",B120="биология",B120="физика",B120="философия"),"+","-")</f>
        <v>+</v>
      </c>
      <c r="D120" s="12" t="str">
        <f>VLOOKUP('Програма-кодове'!AA15,Списък!$A$1:$C$209,3,FALSE)</f>
        <v>английски език</v>
      </c>
      <c r="E120" s="45" t="str">
        <f>IF(OR(D120="история",D120="свят и личност",D120= "география",D120="химия",D120="биология",D120="физика",D120="философия"),"+","-")</f>
        <v>-</v>
      </c>
      <c r="F120" s="12" t="str">
        <f>VLOOKUP('Програма-кодове'!AB15,Списък!$A$1:$C$209,3,FALSE)</f>
        <v>математика</v>
      </c>
      <c r="G120" s="45" t="str">
        <f>IF(OR(F120="история",F120="свят и личност",F120= "география",F120="химия",F120="биология",F120="физика",F120="философия"),"+","-")</f>
        <v>-</v>
      </c>
      <c r="H120" s="12" t="str">
        <f>VLOOKUP('Програма-кодове'!AC15,Списък!$A$1:$C$209,3,FALSE)</f>
        <v>бълг. език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физика</v>
      </c>
      <c r="K120" s="45" t="str">
        <f>IF(OR(J120="история",J120="свят и личност",J120= "география",J120="химия",J120="биология",J120="физика",J120="философия"),"+","-")</f>
        <v>+</v>
      </c>
      <c r="L120" s="46"/>
      <c r="M120" s="46"/>
      <c r="N120" s="21"/>
    </row>
    <row r="121" spans="1:43" ht="11.95" customHeight="1">
      <c r="C121" s="60">
        <f>COUNTIF(C114:C120,"+")/7</f>
        <v>0.42857142857142855</v>
      </c>
      <c r="D121" s="21"/>
      <c r="E121" s="60">
        <f>COUNTIF(E114:E120,"+")/7</f>
        <v>0.42857142857142855</v>
      </c>
      <c r="F121" s="21"/>
      <c r="G121" s="60">
        <f>COUNTIF(G114:G120,"+")/7</f>
        <v>0.42857142857142855</v>
      </c>
      <c r="I121" s="60">
        <f>COUNTIF(I114:I120,"+")/7</f>
        <v>0.42857142857142855</v>
      </c>
      <c r="K121" s="60">
        <f>COUNTIF(K114:K120,"+")/7</f>
        <v>0.8571428571428571</v>
      </c>
      <c r="L121" s="46" t="s">
        <v>94</v>
      </c>
      <c r="M121" s="47">
        <f>(C121+E121+G121+I121+K121)/5</f>
        <v>0.51428571428571423</v>
      </c>
      <c r="N121" s="21"/>
    </row>
    <row r="122" spans="1:43" ht="11.95" customHeight="1">
      <c r="A122" s="439" t="s">
        <v>96</v>
      </c>
      <c r="B122" s="439"/>
      <c r="C122" s="439"/>
      <c r="D122" s="439"/>
      <c r="E122" s="439"/>
      <c r="F122" s="439"/>
      <c r="G122" s="439"/>
      <c r="H122" s="439"/>
      <c r="I122" s="439"/>
      <c r="J122" s="439"/>
      <c r="K122" s="439"/>
      <c r="L122" s="439"/>
      <c r="M122" s="57" t="e">
        <f>AVERAGE(A71:K71,A81:K81,A91:K91,A101:K101,A111:K111,A121:K121)</f>
        <v>#REF!</v>
      </c>
      <c r="N122" s="62"/>
    </row>
    <row r="123" spans="1:43" ht="24.05" customHeight="1" thickBot="1">
      <c r="A123" s="438" t="s">
        <v>26</v>
      </c>
      <c r="B123" s="438"/>
      <c r="C123" s="438"/>
      <c r="D123" s="438"/>
      <c r="E123" s="438"/>
      <c r="F123" s="438"/>
      <c r="G123" s="438"/>
      <c r="H123" s="438"/>
      <c r="I123" s="438"/>
      <c r="J123" s="438"/>
      <c r="K123" s="438"/>
      <c r="L123" s="438"/>
      <c r="M123" s="438"/>
      <c r="N123" s="21"/>
    </row>
    <row r="124" spans="1:43" s="13" customFormat="1" ht="11.95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1.95" customHeight="1">
      <c r="A125" s="13">
        <v>1</v>
      </c>
      <c r="B125" s="12" t="str">
        <f>VLOOKUP('Програма-кодове'!C16,Списък!$A$1:$C$210,3,FALSE)</f>
        <v>немски език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музика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физкултура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1.95" customHeight="1">
      <c r="A126" s="13">
        <v>2</v>
      </c>
      <c r="B126" s="12" t="str">
        <f>VLOOKUP('Програма-кодове'!C17,Списък!$A$1:$C$210,3,FALSE)</f>
        <v>история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-</v>
      </c>
      <c r="D126" s="12" t="str">
        <f>VLOOKUP('Програма-кодове'!D17,Списък!$A$1:$C$210,3,FALSE)</f>
        <v>бълг. език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+</v>
      </c>
      <c r="F126" s="12" t="str">
        <f>VLOOKUP('Програма-кодове'!E17,Списък!$A$1:$C$210,3,FALSE)</f>
        <v>ИТ/ТП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-</v>
      </c>
      <c r="L126" s="46"/>
      <c r="M126" s="46"/>
      <c r="P126" s="21"/>
    </row>
    <row r="127" spans="1:43" ht="11.95" customHeight="1">
      <c r="A127" s="13">
        <v>3</v>
      </c>
      <c r="B127" s="12" t="str">
        <f>VLOOKUP('Програма-кодове'!C18,Списък!$A$1:$C$210,3,FALSE)</f>
        <v>бълг. език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+</v>
      </c>
      <c r="D127" s="12" t="str">
        <f>VLOOKUP('Програма-кодове'!D18,Списък!$A$1:$C$210,3,FALSE)</f>
        <v>бълг. език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+</v>
      </c>
      <c r="F127" s="12" t="str">
        <f>VLOOKUP('Програма-кодове'!E18,Списък!$A$1:$C$210,3,FALSE)</f>
        <v>математика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+</v>
      </c>
      <c r="L127" s="46"/>
      <c r="M127" s="46"/>
      <c r="P127" s="21"/>
    </row>
    <row r="128" spans="1:43" ht="11.95" customHeight="1">
      <c r="A128" s="13">
        <v>4</v>
      </c>
      <c r="B128" s="12" t="str">
        <f>VLOOKUP('Програма-кодове'!C19,Списък!$A$1:$C$210,3,FALSE)</f>
        <v>физкултура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рисуване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-</v>
      </c>
      <c r="F128" s="12" t="str">
        <f>VLOOKUP('Програма-кодове'!E19,Списък!$A$1:$C$210,3,FALSE)</f>
        <v>география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-</v>
      </c>
      <c r="L128" s="46"/>
      <c r="M128" s="46"/>
      <c r="P128" s="21"/>
    </row>
    <row r="129" spans="1:41" ht="11.95" customHeight="1">
      <c r="A129" s="13">
        <v>5</v>
      </c>
      <c r="B129" s="12" t="str">
        <f>VLOOKUP('Програма-кодове'!C20,Списък!$A$1:$C$210,3,FALSE)</f>
        <v>рисуване</v>
      </c>
      <c r="C129" s="87" t="str">
        <f>IF(OR(B129="физкултура",B129="музика",B129="рисуване",B129="ИТ/ДБТ",B129="домашен бит и техника"),"+","-")</f>
        <v>+</v>
      </c>
      <c r="D129" s="12" t="str">
        <f>VLOOKUP('Програма-кодове'!D20,Списък!$A$1:$C$210,3,FALSE)</f>
        <v>физика</v>
      </c>
      <c r="E129" s="87" t="str">
        <f>IF(OR(D129="физкултура",D129="музика",D129="рисуване",D129="ИТ/ДБТ",D129="домашен бит и техника"),"+","-")</f>
        <v>-</v>
      </c>
      <c r="F129" s="12" t="str">
        <f>VLOOKUP('Програма-кодове'!E20,Списък!$A$1:$C$210,3,FALSE)</f>
        <v>бълг. език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1.95" customHeight="1">
      <c r="A130" s="13">
        <v>6</v>
      </c>
      <c r="B130" s="12" t="str">
        <f>VLOOKUP('Програма-кодове'!C21,Списък!$A$1:$C$210,3,FALSE)</f>
        <v>математика</v>
      </c>
      <c r="C130" s="87" t="str">
        <f>IF(OR(B130="история",B130="свят и личност",B130= "география",B130="химия",B130="биология",B130="физика",B130="философия"),"+","-")</f>
        <v>-</v>
      </c>
      <c r="D130" s="12" t="str">
        <f>VLOOKUP('Програма-кодове'!D21,Списък!$A$1:$C$210,3,FALSE)</f>
        <v>математика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ИТ/ТП</v>
      </c>
      <c r="G130" s="87" t="str">
        <f>IF(OR(F130="история",F130="свят и личност",F130= "география",F130="химия",F130="биология",F130="физика",F130="философия"),"+","-")</f>
        <v>-</v>
      </c>
      <c r="L130" s="46"/>
      <c r="M130" s="46"/>
      <c r="P130" s="21"/>
    </row>
    <row r="131" spans="1:41" ht="11.95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1.95" customHeight="1">
      <c r="B132" s="61"/>
      <c r="C132" s="88">
        <f>COUNTIF(C125:C130,"+")/6</f>
        <v>0.33333333333333331</v>
      </c>
      <c r="E132" s="88">
        <f>COUNTIF(E125:E130,"+")/6</f>
        <v>0.33333333333333331</v>
      </c>
      <c r="G132" s="88">
        <f>COUNTIF(G125:G130,"+")/6</f>
        <v>0.16666666666666666</v>
      </c>
      <c r="L132" s="46" t="s">
        <v>94</v>
      </c>
      <c r="M132" s="47">
        <f>(C132+E132+G132)/3</f>
        <v>0.27777777777777773</v>
      </c>
      <c r="P132" s="21"/>
    </row>
    <row r="133" spans="1:41" ht="2.95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1.95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1.95" customHeight="1">
      <c r="A135" s="13">
        <v>1</v>
      </c>
      <c r="B135" s="12" t="str">
        <f>VLOOKUP('Програма-кодове'!F16,Списък!$A$1:$C$210,3,FALSE)</f>
        <v>рисуване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английски език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ИТ/ИТ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математика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1.95" customHeight="1">
      <c r="A136" s="13">
        <v>2</v>
      </c>
      <c r="B136" s="12" t="str">
        <f>VLOOKUP('Програма-кодове'!F17,Списък!$A$1:$C$210,3,FALSE)</f>
        <v>ИТ/ИТ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-</v>
      </c>
      <c r="D136" s="12" t="str">
        <f>VLOOKUP('Програма-кодове'!G17,Списък!$A$1:$C$210,3,FALSE)</f>
        <v>английски език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+</v>
      </c>
      <c r="F136" s="12" t="str">
        <f>VLOOKUP('Програма-кодове'!H17,Списък!$A$1:$C$210,3,FALSE)</f>
        <v>английски език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+</v>
      </c>
      <c r="H136" s="12" t="str">
        <f>VLOOKUP('Програма-кодове'!I17,Списък!$A$1:$C$210,3,FALSE)</f>
        <v>математика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бълг. език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1.95" customHeight="1">
      <c r="A137" s="13">
        <v>3</v>
      </c>
      <c r="B137" s="12" t="str">
        <f>VLOOKUP('Програма-кодове'!F18,Списък!$A$1:$C$210,3,FALSE)</f>
        <v>математика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английски език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бълг.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ИТ/ИТ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-</v>
      </c>
      <c r="L137" s="46"/>
      <c r="M137" s="46"/>
      <c r="N137" s="21"/>
    </row>
    <row r="138" spans="1:41" ht="11.95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ИТ/ИТ</v>
      </c>
      <c r="E138" s="45" t="str">
        <f t="shared" si="1"/>
        <v>-</v>
      </c>
      <c r="F138" s="12" t="str">
        <f>VLOOKUP('Програма-кодове'!H19,Списък!$A$1:$C$210,3,FALSE)</f>
        <v>английски език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+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английски език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1.95" customHeight="1">
      <c r="A139" s="13">
        <v>5</v>
      </c>
      <c r="B139" s="12" t="str">
        <f>VLOOKUP('Програма-кодове'!F20,Списък!$A$1:$C$210,3,FALSE)</f>
        <v>английски език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+</v>
      </c>
      <c r="D139" s="12" t="str">
        <f>VLOOKUP('Програма-кодове'!G20,Списък!$A$1:$C$210,3,FALSE)</f>
        <v>математика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+</v>
      </c>
      <c r="F139" s="12" t="str">
        <f>VLOOKUP('Програма-кодове'!H20,Списък!$A$1:$C$210,3,FALSE)</f>
        <v>ИТ/ИТ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-</v>
      </c>
      <c r="H139" s="12" t="str">
        <f>VLOOKUP('Програма-кодове'!I20,Списък!$A$1:$C$210,3,FALSE)</f>
        <v>английски език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1.95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бълг.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физкултура</v>
      </c>
      <c r="G140" s="45" t="str">
        <f>IF(OR(F140="физкултура",F140="музика",F140="рисуване",F140="ИТ/ДБТ",F140="домашен бит и техника"),"+","-")</f>
        <v>+</v>
      </c>
      <c r="H140" s="12" t="str">
        <f>VLOOKUP('Програма-кодове'!I21,Списък!$A$1:$C$210,3,FALSE)</f>
        <v>английски език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английски език</v>
      </c>
      <c r="K140" s="45" t="str">
        <f>IF(OR(J140="физкултура",J140="музика",J140="рисуване",J140="ИТ/ДБТ",J140="домашен бит и техника"),"+","-")</f>
        <v>-</v>
      </c>
      <c r="L140" s="46"/>
      <c r="M140" s="46"/>
      <c r="N140" s="21"/>
    </row>
    <row r="141" spans="1:41" ht="11.95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1.95" customHeight="1">
      <c r="B142" s="61"/>
      <c r="C142" s="60">
        <f>COUNTIF(C135:C141,"+")/7</f>
        <v>0.42857142857142855</v>
      </c>
      <c r="D142" s="61"/>
      <c r="E142" s="60">
        <f>COUNTIF(E135:E141,"+")/7</f>
        <v>0.42857142857142855</v>
      </c>
      <c r="F142" s="61"/>
      <c r="G142" s="60">
        <f>COUNTIF(G135:G141,"+")/7</f>
        <v>0.5714285714285714</v>
      </c>
      <c r="H142" s="61"/>
      <c r="I142" s="60">
        <f>COUNTIF(I135:I141,"+")/7</f>
        <v>0.5714285714285714</v>
      </c>
      <c r="J142" s="61"/>
      <c r="K142" s="60">
        <f>COUNTIF(K135:K141,"+")/7</f>
        <v>0.42857142857142855</v>
      </c>
      <c r="L142" s="46" t="s">
        <v>94</v>
      </c>
      <c r="M142" s="47">
        <f>(C142+E142+G142+I142+K142)/5</f>
        <v>0.48571428571428565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1.95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1.95" customHeight="1">
      <c r="A145" s="13">
        <v>1</v>
      </c>
      <c r="B145" s="12" t="str">
        <f>VLOOKUP('Програма-кодове'!K16,Списък!$A$1:$C$209,3,FALSE)</f>
        <v>история</v>
      </c>
      <c r="C145" s="45" t="str">
        <f>IF(OR(B145="история",B145="свят и личност",B145= "география",B145="химия",B145="биология",B145="физика",B145="философия"),"+","-")</f>
        <v>+</v>
      </c>
      <c r="D145" s="12" t="str">
        <f>VLOOKUP('Програма-кодове'!L16,Списък!$A$1:$C$209,3,FALSE)</f>
        <v>информатика</v>
      </c>
      <c r="E145" s="45" t="str">
        <f>IF(OR(D145="история",D145="свят и личност",D145= "география",D145="химия",D145="биология",D145="физика",D145="философия"),"+","-")</f>
        <v>-</v>
      </c>
      <c r="F145" s="12" t="str">
        <f>VLOOKUP('Програма-кодове'!M16,Списък!$A$1:$C$209,3,FALSE)</f>
        <v>бълг. език</v>
      </c>
      <c r="G145" s="45" t="str">
        <f>IF(OR(F145="история",F145="свят и личност",F145= "география",F145="химия",F145="биология",F145="физика",F145="философия"),"+","-")</f>
        <v>-</v>
      </c>
      <c r="H145" s="12" t="str">
        <f>VLOOKUP('Програма-кодове'!N16,Списък!$A$1:$C$209,3,FALSE)</f>
        <v>математика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английски език</v>
      </c>
      <c r="K145" s="45" t="str">
        <f>IF(OR(J145="история",J145="свят и личност",J145= "география",J145="химия",J145="биология",J145="физика",J145="философия"),"+","-")</f>
        <v>-</v>
      </c>
      <c r="L145" s="46"/>
      <c r="M145" s="46"/>
      <c r="N145" s="21"/>
    </row>
    <row r="146" spans="1:41" ht="11.95" customHeight="1">
      <c r="A146" s="13">
        <v>2</v>
      </c>
      <c r="B146" s="12" t="str">
        <f>VLOOKUP('Програма-кодове'!K17,Списък!$A$1:$C$209,3,FALSE)</f>
        <v>музика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-</v>
      </c>
      <c r="D146" s="12" t="str">
        <f>VLOOKUP('Програма-кодове'!L17,Списък!$A$1:$C$209,3,FALSE)</f>
        <v>математика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+</v>
      </c>
      <c r="F146" s="12" t="str">
        <f>VLOOKUP('Програма-кодове'!M17,Списък!$A$1:$C$209,3,FALSE)</f>
        <v>бълг. език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+</v>
      </c>
      <c r="H146" s="12" t="str">
        <f>VLOOKUP('Програма-кодове'!N17,Списък!$A$1:$C$209,3,FALSE)</f>
        <v>информатика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+</v>
      </c>
      <c r="J146" s="12" t="str">
        <f>VLOOKUP('Програма-кодове'!O17,Списък!$A$1:$C$209,3,FALSE)</f>
        <v>физика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-</v>
      </c>
      <c r="L146" s="46"/>
      <c r="M146" s="46"/>
      <c r="N146" s="21"/>
    </row>
    <row r="147" spans="1:41" ht="11.95" customHeight="1">
      <c r="A147" s="13">
        <v>3</v>
      </c>
      <c r="B147" s="12" t="str">
        <f>VLOOKUP('Програма-кодове'!K18,Списък!$A$1:$C$209,3,FALSE)</f>
        <v>математика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+</v>
      </c>
      <c r="D147" s="12" t="str">
        <f>VLOOKUP('Програма-кодове'!L18,Списък!$A$1:$C$209,3,FALSE)</f>
        <v>английски език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+</v>
      </c>
      <c r="F147" s="12" t="str">
        <f>VLOOKUP('Програма-кодове'!M18,Списък!$A$1:$C$209,3,FALSE)</f>
        <v>история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-</v>
      </c>
      <c r="H147" s="12" t="str">
        <f>VLOOKUP('Програма-кодове'!N18,Списък!$A$1:$C$209,3,FALSE)</f>
        <v>химия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-</v>
      </c>
      <c r="J147" s="12" t="str">
        <f>VLOOKUP('Програма-кодове'!O18,Списък!$A$1:$C$209,3,FALSE)</f>
        <v>биология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-</v>
      </c>
      <c r="L147" s="46"/>
      <c r="M147" s="46"/>
      <c r="N147" s="21"/>
    </row>
    <row r="148" spans="1:41" ht="11.95" customHeight="1">
      <c r="A148" s="13">
        <v>4</v>
      </c>
      <c r="B148" s="12" t="str">
        <f>VLOOKUP('Програма-кодове'!K19,Списък!$A$1:$C$209,3,FALSE)</f>
        <v>математика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+</v>
      </c>
      <c r="D148" s="12" t="str">
        <f>VLOOKUP('Програма-кодове'!L19,Списък!$A$1:$C$209,3,FALSE)</f>
        <v>бълг. език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+</v>
      </c>
      <c r="F148" s="12" t="str">
        <f>VLOOKUP('Програма-кодове'!M19,Списък!$A$1:$C$209,3,FALSE)</f>
        <v>химия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-</v>
      </c>
      <c r="H148" s="12" t="str">
        <f>VLOOKUP('Програма-кодове'!N19,Списък!$A$1:$C$209,3,FALSE)</f>
        <v>английски език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+</v>
      </c>
      <c r="J148" s="12" t="str">
        <f>VLOOKUP('Програма-кодове'!O19,Списък!$A$1:$C$209,3,FALSE)</f>
        <v>история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-</v>
      </c>
      <c r="L148" s="46"/>
      <c r="M148" s="46"/>
      <c r="N148" s="21"/>
    </row>
    <row r="149" spans="1:41" ht="11.95" customHeight="1">
      <c r="A149" s="13">
        <v>5</v>
      </c>
      <c r="B149" s="12" t="str">
        <f>VLOOKUP('Програма-кодове'!K20,Списък!$A$1:$C$209,3,FALSE)</f>
        <v>биология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химия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английски език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философия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химия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+</v>
      </c>
      <c r="L149" s="46"/>
      <c r="M149" s="46"/>
      <c r="N149" s="21"/>
    </row>
    <row r="150" spans="1:41" ht="11.95" customHeight="1">
      <c r="A150" s="13">
        <v>6</v>
      </c>
      <c r="B150" s="12" t="str">
        <f>VLOOKUP('Програма-кодове'!K21,Списък!$A$1:$C$209,3,FALSE)</f>
        <v>английски език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история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философия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история</v>
      </c>
      <c r="I150" s="45" t="str">
        <f>IF(OR(H150="физкултура",H150="музика",H150="рисуване",H150="ИТ/ДБТ",H150="домашен бит и техника"),"+","-")</f>
        <v>-</v>
      </c>
      <c r="J150" s="12" t="str">
        <f>VLOOKUP('Програма-кодове'!O21,Списък!$A$1:$C$209,3,FALSE)</f>
        <v>математика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1.95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1.95" customHeight="1">
      <c r="B152" s="61"/>
      <c r="C152" s="60">
        <f>COUNTIF(C145:C151,"+")/7</f>
        <v>0.5714285714285714</v>
      </c>
      <c r="D152" s="61"/>
      <c r="E152" s="60">
        <f>COUNTIF(E145:E151,"+")/7</f>
        <v>0.5714285714285714</v>
      </c>
      <c r="F152" s="61"/>
      <c r="G152" s="60">
        <f>COUNTIF(G145:G151,"+")/7</f>
        <v>0.2857142857142857</v>
      </c>
      <c r="H152" s="61"/>
      <c r="I152" s="60">
        <f>COUNTIF(I145:I151,"+")/7</f>
        <v>0.42857142857142855</v>
      </c>
      <c r="J152" s="61"/>
      <c r="K152" s="60">
        <f>COUNTIF(K145:K151,"+")/7</f>
        <v>0.14285714285714285</v>
      </c>
      <c r="L152" s="46" t="s">
        <v>94</v>
      </c>
      <c r="M152" s="47">
        <f>(C152+E152+G152+I152+K152)/5</f>
        <v>0.39999999999999997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1.95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1.95" customHeight="1">
      <c r="A155" s="13">
        <v>1</v>
      </c>
      <c r="B155" s="12" t="str">
        <f>VLOOKUP('Програма-кодове'!P16,Списък!$A$1:$C$209,3,FALSE)</f>
        <v>английски език</v>
      </c>
      <c r="C155" s="45" t="str">
        <f>IF(OR(B155="история",B155="свят и личност",B155= "география",B155="химия",B155="биология",B155="физика",B155="философия"),"+","-")</f>
        <v>-</v>
      </c>
      <c r="D155" s="12" t="str">
        <f>VLOOKUP('Програма-кодове'!Q16,Списък!$A$1:$C$209,3,FALSE)</f>
        <v>биология</v>
      </c>
      <c r="E155" s="45" t="str">
        <f>IF(OR(D155="история",D155="свят и личност",D155= "география",D155="химия",D155="биология",D155="физика",D155="философия"),"+","-")</f>
        <v>+</v>
      </c>
      <c r="F155" s="12" t="str">
        <f>VLOOKUP('Програма-кодове'!R16,Списък!$A$1:$C$209,3,FALSE)</f>
        <v>физкултура</v>
      </c>
      <c r="G155" s="45" t="str">
        <f>IF(OR(F155="история",F155="свят и личност",F155= "география",F155="химия",F155="биология",F155="физика",F155="философия"),"+","-")</f>
        <v>-</v>
      </c>
      <c r="H155" s="12" t="str">
        <f>VLOOKUP('Програма-кодове'!S16,Списък!$A$1:$C$209,3,FALSE)</f>
        <v>география</v>
      </c>
      <c r="I155" s="45" t="str">
        <f>IF(OR(H155="история",H155="свят и личност",H155= "география",H155="химия",H155="биология",H155="физика",H155="философия"),"+","-")</f>
        <v>+</v>
      </c>
      <c r="J155" s="12" t="str">
        <f>VLOOKUP('Програма-кодове'!T16,Списък!$A$1:$C$209,3,FALSE)</f>
        <v>биология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1.95" customHeight="1">
      <c r="A156" s="13">
        <v>2</v>
      </c>
      <c r="B156" s="12" t="str">
        <f>VLOOKUP('Програма-кодове'!P17,Списък!$A$1:$C$209,3,FALSE)</f>
        <v>английски език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+</v>
      </c>
      <c r="D156" s="12" t="str">
        <f>VLOOKUP('Програма-кодове'!Q17,Списък!$A$1:$C$209,3,FALSE)</f>
        <v>философия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география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-</v>
      </c>
      <c r="H156" s="12" t="str">
        <f>VLOOKUP('Програма-кодове'!S17,Списък!$A$1:$C$209,3,FALSE)</f>
        <v>физкултура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-</v>
      </c>
      <c r="J156" s="12" t="str">
        <f>VLOOKUP('Програма-кодове'!T17,Списък!$A$1:$C$209,3,FALSE)</f>
        <v>биология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1.95" customHeight="1">
      <c r="A157" s="13">
        <v>3</v>
      </c>
      <c r="B157" s="12" t="str">
        <f>VLOOKUP('Програма-кодове'!P18,Списък!$A$1:$C$209,3,FALSE)</f>
        <v>география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-</v>
      </c>
      <c r="D157" s="12" t="str">
        <f>VLOOKUP('Програма-кодове'!Q18,Списък!$A$1:$C$209,3,FALSE)</f>
        <v>ІІ - ри чужд език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>
        <f>VLOOKUP('Програма-кодове'!R18,Списък!$A$1:$C$209,3,FALSE)</f>
        <v>0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>
        <f>VLOOKUP('Програма-кодове'!S18,Списък!$A$1:$C$209,3,FALSE)</f>
        <v>0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-</v>
      </c>
      <c r="J157" s="12" t="str">
        <f>VLOOKUP('Програма-кодове'!T18,Списък!$A$1:$C$209,3,FALSE)</f>
        <v>бълг. език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+</v>
      </c>
      <c r="L157" s="46"/>
      <c r="M157" s="46"/>
      <c r="N157" s="21"/>
    </row>
    <row r="158" spans="1:41" ht="11.95" customHeight="1">
      <c r="A158" s="13">
        <v>4</v>
      </c>
      <c r="B158" s="12" t="str">
        <f>VLOOKUP('Програма-кодове'!P19,Списък!$A$1:$C$209,3,FALSE)</f>
        <v>физкултура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-</v>
      </c>
      <c r="D158" s="12" t="str">
        <f>VLOOKUP('Програма-кодове'!Q19,Списък!$A$1:$C$209,3,FALSE)</f>
        <v>ІІ - ри чужд език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+</v>
      </c>
      <c r="F158" s="12">
        <f>VLOOKUP('Програма-кодове'!R19,Списък!$A$1:$C$209,3,FALSE)</f>
        <v>0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>
        <f>VLOOKUP('Програма-кодове'!S19,Списък!$A$1:$C$209,3,FALSE)</f>
        <v>0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математика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+</v>
      </c>
      <c r="L158" s="46"/>
      <c r="M158" s="46"/>
      <c r="N158" s="21"/>
    </row>
    <row r="159" spans="1:41" ht="11.95" customHeight="1">
      <c r="A159" s="13">
        <v>5</v>
      </c>
      <c r="B159" s="12" t="str">
        <f>VLOOKUP('Програма-кодове'!P20,Списък!$A$1:$C$209,3,FALSE)</f>
        <v>ІІ - ри чужд език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английски език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история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бълг. език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ІІ - ри чужд език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1.95" customHeight="1">
      <c r="A160" s="13">
        <v>6</v>
      </c>
      <c r="B160" s="12" t="str">
        <f>VLOOKUP('Програма-кодове'!P21,Списък!$A$1:$C$209,3,FALSE)</f>
        <v>ІІ - ри чужд език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английски език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математика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бълг. език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ІІ - ри чужд език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1.95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1.95" customHeight="1">
      <c r="B162" s="61"/>
      <c r="C162" s="60">
        <f>COUNTIF(C155:C161,"+")/7</f>
        <v>0.2857142857142857</v>
      </c>
      <c r="D162" s="61"/>
      <c r="E162" s="60">
        <f>COUNTIF(E155:E161,"+")/7</f>
        <v>0.5714285714285714</v>
      </c>
      <c r="F162" s="61"/>
      <c r="G162" s="60">
        <f>COUNTIF(G155:G161,"+")/7</f>
        <v>0.14285714285714285</v>
      </c>
      <c r="H162" s="61"/>
      <c r="I162" s="60">
        <f>COUNTIF(I155:I161,"+")/7</f>
        <v>0.2857142857142857</v>
      </c>
      <c r="J162" s="61"/>
      <c r="K162" s="60">
        <f>COUNTIF(K155:K161,"+")/7</f>
        <v>0.5714285714285714</v>
      </c>
      <c r="L162" s="46" t="s">
        <v>94</v>
      </c>
      <c r="M162" s="47">
        <f>(C162+E162+G162+I162+K162)/5</f>
        <v>0.37142857142857139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математика</v>
      </c>
      <c r="F163" s="15" t="str">
        <f>VLOOKUP('Програма-кодове'!R23,Списък!$A$4:$C$56,3,FALSE)</f>
        <v>бълг. език</v>
      </c>
      <c r="H163" s="15" t="str">
        <f>VLOOKUP('Програма-кодове'!S23,Списък!$A$4:$C$56,3,FALSE)</f>
        <v>философия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1.95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1.95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история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бълг. език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физика</v>
      </c>
      <c r="I165" s="45" t="str">
        <f>IF(OR(H165="история",H165="свят и личност",H165= "география",H165="химия",H165="биология",H165="физика",H165="философия"),"+","-")</f>
        <v>+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1.95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бълг. език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химия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-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1.95" customHeight="1">
      <c r="A167" s="13">
        <v>3</v>
      </c>
      <c r="B167" s="21" t="str">
        <f>VLOOKUP('Програма-кодове'!U18,Списък!$A$1:$C$209,3,FALSE)</f>
        <v>физкултура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-</v>
      </c>
      <c r="D167" s="21" t="str">
        <f>VLOOKUP('Програма-кодове'!V18,Списък!$A$1:$C$209,3,FALSE)</f>
        <v>биология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-</v>
      </c>
      <c r="F167" s="21" t="str">
        <f>VLOOKUP('Програма-кодове'!W18,Списък!$A$1:$C$209,3,FALSE)</f>
        <v>информатика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английски език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+</v>
      </c>
      <c r="L167" s="46"/>
      <c r="M167" s="46"/>
      <c r="N167" s="21"/>
    </row>
    <row r="168" spans="1:41" ht="11.95" customHeight="1">
      <c r="A168" s="13">
        <v>4</v>
      </c>
      <c r="B168" s="21" t="str">
        <f>VLOOKUP('Програма-кодове'!U19,Списък!$A$1:$C$209,3,FALSE)</f>
        <v>биология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-</v>
      </c>
      <c r="D168" s="21" t="str">
        <f>VLOOKUP('Програма-кодове'!V19,Списък!$A$1:$C$209,3,FALSE)</f>
        <v>английски език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английски език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+</v>
      </c>
      <c r="H168" s="21" t="str">
        <f>VLOOKUP('Програма-кодове'!X19,Списък!$A$1:$C$209,3,FALSE)</f>
        <v>информатика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+</v>
      </c>
      <c r="J168" s="21" t="str">
        <f>VLOOKUP('Програма-кодове'!Y19,Списък!$A$1:$C$209,3,FALSE)</f>
        <v>физика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-</v>
      </c>
      <c r="L168" s="46"/>
      <c r="M168" s="46"/>
      <c r="N168" s="21"/>
    </row>
    <row r="169" spans="1:41" ht="11.95" customHeight="1">
      <c r="A169" s="13">
        <v>5</v>
      </c>
      <c r="B169" s="21" t="str">
        <f>VLOOKUP('Програма-кодове'!U20,Списък!$A$1:$C$209,3,FALSE)</f>
        <v>информатика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физика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математика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математика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бълг.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1.95" customHeight="1">
      <c r="A170" s="13">
        <v>6</v>
      </c>
      <c r="B170" s="21" t="str">
        <f>VLOOKUP('Програма-кодове'!U21,Списък!$A$1:$C$209,3,FALSE)</f>
        <v>физика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информатика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физика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английски език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бълг. език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1.95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1.95" customHeight="1">
      <c r="B172" s="61"/>
      <c r="C172" s="60">
        <f>COUNTIF(C165:C170,"+")/6</f>
        <v>0.33333333333333331</v>
      </c>
      <c r="D172" s="61"/>
      <c r="E172" s="60">
        <f>COUNTIF(E165:E171,"+")/7</f>
        <v>0.42857142857142855</v>
      </c>
      <c r="F172" s="61"/>
      <c r="G172" s="60">
        <f>COUNTIF(G165:G171,"+")/7</f>
        <v>0.5714285714285714</v>
      </c>
      <c r="H172" s="61"/>
      <c r="I172" s="60">
        <f>COUNTIF(I165:I171,"+")/7</f>
        <v>0.42857142857142855</v>
      </c>
      <c r="J172" s="61"/>
      <c r="K172" s="60">
        <f>COUNTIF(K165:K171,"+")/7</f>
        <v>0.42857142857142855</v>
      </c>
      <c r="L172" s="46" t="s">
        <v>94</v>
      </c>
      <c r="M172" s="47">
        <f>(C172+E172+G172+I172+K172)/5</f>
        <v>0.43809523809523804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1.95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1.95" customHeight="1">
      <c r="A175" s="13">
        <v>1</v>
      </c>
      <c r="B175" s="21" t="str">
        <f>VLOOKUP('Програма-кодове'!Z16,Списък!$A$1:$C$209,3,FALSE)</f>
        <v>математика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бълг. език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английски език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информатика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философия</v>
      </c>
      <c r="K175" s="45" t="str">
        <f>IF(OR(J175="история",J175="свят и личност",J175= "география",J175="химия",J175="биология",J175="физика",J175="философия"),"+","-")</f>
        <v>+</v>
      </c>
      <c r="L175" s="46"/>
      <c r="M175" s="46"/>
      <c r="N175" s="21"/>
    </row>
    <row r="176" spans="1:41" ht="11.95" customHeight="1">
      <c r="A176" s="13">
        <v>2</v>
      </c>
      <c r="B176" s="21" t="str">
        <f>VLOOKUP('Програма-кодове'!Z17,Списък!$A$1:$C$209,3,FALSE)</f>
        <v>математика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история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английски език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философия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-</v>
      </c>
      <c r="J176" s="21" t="str">
        <f>VLOOKUP('Програма-кодове'!AD17,Списък!$A$1:$C$209,3,FALSE)</f>
        <v>биология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1.95" customHeight="1">
      <c r="A177" s="13">
        <v>3</v>
      </c>
      <c r="B177" s="21" t="str">
        <f>VLOOKUP('Програма-кодове'!Z18,Списък!$A$1:$C$209,3,FALSE)</f>
        <v>философия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-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математика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английски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химия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1.95" customHeight="1">
      <c r="A178" s="13">
        <v>4</v>
      </c>
      <c r="B178" s="21" t="str">
        <f>VLOOKUP('Програма-кодове'!Z19,Списък!$A$1:$C$209,3,FALSE)</f>
        <v>бълг. език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+</v>
      </c>
      <c r="D178" s="21" t="str">
        <f>VLOOKUP('Програма-кодове'!AA19,Списък!$A$1:$C$209,3,FALSE)</f>
        <v>философия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-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английски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химия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-</v>
      </c>
      <c r="L178" s="46"/>
      <c r="M178" s="46"/>
      <c r="N178" s="21"/>
    </row>
    <row r="179" spans="1:43" ht="11.95" customHeight="1">
      <c r="A179" s="13">
        <v>5</v>
      </c>
      <c r="B179" s="21" t="str">
        <f>VLOOKUP('Програма-кодове'!Z20,Списък!$A$1:$C$209,3,FALSE)</f>
        <v>история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математика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информатика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немски език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+</v>
      </c>
      <c r="J179" s="21" t="str">
        <f>VLOOKUP('Програма-кодове'!AD20,Списък!$A$1:$C$209,3,FALSE)</f>
        <v>география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1.95" customHeight="1">
      <c r="A180" s="13">
        <v>6</v>
      </c>
      <c r="B180" s="21" t="str">
        <f>VLOOKUP('Програма-кодове'!Z21,Списък!$A$1:$C$209,3,FALSE)</f>
        <v>информатика</v>
      </c>
      <c r="C180" s="45" t="str">
        <f>IF(OR(B180="физкултура",B180="музика",B180="рисуване",B180="ИТ/ДБТ",B180="домашен бит и техника"),"+","-")</f>
        <v>-</v>
      </c>
      <c r="D180" s="21" t="str">
        <f>VLOOKUP('Програма-кодове'!AA21,Списък!$A$1:$C$209,3,FALSE)</f>
        <v>математика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философия</v>
      </c>
      <c r="G180" s="45" t="str">
        <f>IF(OR(F180="физкултура",F180="музика",F180="рисуване",F180="ИТ/ДБТ",F180="домашен бит и техника"),"+","-")</f>
        <v>-</v>
      </c>
      <c r="H180" s="21" t="str">
        <f>VLOOKUP('Програма-кодове'!AC21,Списък!$A$1:$C$209,3,FALSE)</f>
        <v>немски език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1.95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1.95" customHeight="1">
      <c r="B182" s="61"/>
      <c r="C182" s="60">
        <f>COUNTIF(C175:C181,"+")/7</f>
        <v>0.42857142857142855</v>
      </c>
      <c r="D182" s="61"/>
      <c r="E182" s="60">
        <f>COUNTIF(E175:E181,"+")/7</f>
        <v>0.2857142857142857</v>
      </c>
      <c r="F182" s="61"/>
      <c r="G182" s="60">
        <f>COUNTIF(G175:G181,"+")/7</f>
        <v>0.5714285714285714</v>
      </c>
      <c r="H182" s="61"/>
      <c r="I182" s="60">
        <f>COUNTIF(I175:I181,"+")/7</f>
        <v>0.42857142857142855</v>
      </c>
      <c r="J182" s="61"/>
      <c r="K182" s="60">
        <f>COUNTIF(K175:K181,"+")/7</f>
        <v>0.2857142857142857</v>
      </c>
      <c r="L182" s="46" t="s">
        <v>94</v>
      </c>
      <c r="M182" s="47">
        <f>(C182+E182+G182+I182+K182)/5</f>
        <v>0.4</v>
      </c>
      <c r="N182" s="64"/>
    </row>
    <row r="183" spans="1:43" ht="11.95" customHeight="1">
      <c r="A183" s="439" t="s">
        <v>97</v>
      </c>
      <c r="B183" s="439"/>
      <c r="C183" s="439"/>
      <c r="D183" s="439"/>
      <c r="E183" s="439"/>
      <c r="F183" s="439"/>
      <c r="G183" s="439"/>
      <c r="H183" s="439"/>
      <c r="I183" s="439"/>
      <c r="J183" s="439"/>
      <c r="K183" s="439"/>
      <c r="L183" s="439"/>
      <c r="M183" s="57">
        <f>AVERAGE(A132:K132,A142:K142,A152:K152,A162:K162,A172:K172,A182:K182)</f>
        <v>0.40391156462585043</v>
      </c>
      <c r="N183" s="62"/>
    </row>
    <row r="184" spans="1:43" ht="24.05" customHeight="1" thickBot="1">
      <c r="A184" s="438" t="s">
        <v>27</v>
      </c>
      <c r="B184" s="438"/>
      <c r="C184" s="438"/>
      <c r="D184" s="438"/>
      <c r="E184" s="438"/>
      <c r="F184" s="438"/>
      <c r="G184" s="438"/>
      <c r="H184" s="438"/>
      <c r="I184" s="438"/>
      <c r="J184" s="438"/>
      <c r="K184" s="438"/>
      <c r="L184" s="438"/>
      <c r="M184" s="438"/>
    </row>
    <row r="185" spans="1:43" s="13" customFormat="1" ht="11.95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1.95" customHeight="1">
      <c r="A186" s="13">
        <v>1</v>
      </c>
      <c r="B186" s="12" t="str">
        <f>VLOOKUP('Програма-кодове'!C23,Списък!$A$1:$C$209,3,FALSE)</f>
        <v>бълг. език</v>
      </c>
      <c r="C186" s="87" t="str">
        <f>IF(OR(B186="история",B186="свят и личност",B186= "география",B186="химия",B186="биология",B186="физика",B186="философия"),"+","-")</f>
        <v>-</v>
      </c>
      <c r="D186" s="12" t="str">
        <f>VLOOKUP('Програма-кодове'!D23,Списък!$A$1:$C$209,3,FALSE)</f>
        <v>английски език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бълг. език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1.95" customHeight="1">
      <c r="A187" s="13">
        <v>2</v>
      </c>
      <c r="B187" s="12" t="str">
        <f>VLOOKUP('Програма-кодове'!C24,Списък!$A$1:$C$209,3,FALSE)</f>
        <v>бълг. език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бълг. език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+</v>
      </c>
      <c r="F187" s="12" t="str">
        <f>VLOOKUP('Програма-кодове'!E24,Списък!$A$1:$C$209,3,FALSE)</f>
        <v>бълг. език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+</v>
      </c>
      <c r="L187" s="46"/>
      <c r="M187" s="47"/>
    </row>
    <row r="188" spans="1:43" ht="11.95" customHeight="1">
      <c r="A188" s="13">
        <v>3</v>
      </c>
      <c r="B188" s="12" t="str">
        <f>VLOOKUP('Програма-кодове'!C25,Списък!$A$1:$C$209,3,FALSE)</f>
        <v>немски език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+</v>
      </c>
      <c r="D188" s="12" t="str">
        <f>VLOOKUP('Програма-кодове'!D25,Списък!$A$1:$C$209,3,FALSE)</f>
        <v>рисуване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-</v>
      </c>
      <c r="F188" s="12" t="str">
        <f>VLOOKUP('Програма-кодове'!E25,Списък!$A$1:$C$209,3,FALSE)</f>
        <v>английски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1.95" customHeight="1">
      <c r="A189" s="13">
        <v>4</v>
      </c>
      <c r="B189" s="12" t="str">
        <f>VLOOKUP('Програма-кодове'!C26,Списък!$A$1:$C$209,3,FALSE)</f>
        <v>история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-</v>
      </c>
      <c r="D189" s="12" t="str">
        <f>VLOOKUP('Програма-кодове'!D26,Списък!$A$1:$C$209,3,FALSE)</f>
        <v>математика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+</v>
      </c>
      <c r="F189" s="12" t="str">
        <f>VLOOKUP('Програма-кодове'!E26,Списък!$A$1:$C$209,3,FALSE)</f>
        <v>биология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-</v>
      </c>
      <c r="L189" s="46"/>
      <c r="M189" s="47"/>
    </row>
    <row r="190" spans="1:43" ht="11.95" customHeight="1">
      <c r="A190" s="13">
        <v>5</v>
      </c>
      <c r="B190" s="12" t="str">
        <f>VLOOKUP('Програма-кодове'!C27,Списък!$A$1:$C$209,3,FALSE)</f>
        <v>рисуване</v>
      </c>
      <c r="C190" s="87" t="str">
        <f>IF(OR(B190="физкултура",B190="музика",B190="рисуване",B190="ИТ/ДБТ",B190="домашен бит и техника"),"+","-")</f>
        <v>+</v>
      </c>
      <c r="D190" s="12" t="str">
        <f>VLOOKUP('Програма-кодове'!D27,Списък!$A$1:$C$209,3,FALSE)</f>
        <v>математика</v>
      </c>
      <c r="E190" s="87" t="str">
        <f>IF(OR(D190="физкултура",D190="музика",D190="рисуване",D190="ИТ/ДБТ",D190="домашен бит и техника"),"+","-")</f>
        <v>-</v>
      </c>
      <c r="F190" s="12" t="str">
        <f>VLOOKUP('Програма-кодове'!E27,Списък!$A$1:$C$209,3,FALSE)</f>
        <v>математика</v>
      </c>
      <c r="G190" s="87" t="str">
        <f>IF(OR(F190="физкултура",F190="музика",F190="рисуване",F190="ИТ/ДБТ",F190="домашен бит и техника"),"+","-")</f>
        <v>-</v>
      </c>
      <c r="L190" s="46"/>
      <c r="M190" s="47"/>
    </row>
    <row r="191" spans="1:43" ht="11.95" customHeight="1">
      <c r="A191" s="13">
        <v>6</v>
      </c>
      <c r="B191" s="12" t="str">
        <f>VLOOKUP('Програма-кодове'!C28,Списък!$A$1:$C$209,3,FALSE)</f>
        <v>математика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география</v>
      </c>
      <c r="E191" s="87" t="str">
        <f>IF(OR(D191="история",D191="свят и личност",D191= "география",D191="химия",D191="биология",D191="физика",D191="философия"),"+","-")</f>
        <v>+</v>
      </c>
      <c r="F191" s="12" t="str">
        <f>VLOOKUP('Програма-кодове'!E28,Списък!$A$1:$C$209,3,FALSE)</f>
        <v>музика</v>
      </c>
      <c r="G191" s="87" t="str">
        <f>IF(OR(F191="история",F191="свят и личност",F191= "география",F191="химия",F191="биология",F191="физика",F191="философия"),"+","-")</f>
        <v>-</v>
      </c>
      <c r="L191" s="46"/>
      <c r="M191" s="47"/>
    </row>
    <row r="192" spans="1:43" ht="11.95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1.95" customHeight="1">
      <c r="C193" s="88">
        <f>COUNTIF(C186:C191,"+")/6</f>
        <v>0.5</v>
      </c>
      <c r="E193" s="88">
        <f>COUNTIF(E186:E191,"+")/6</f>
        <v>0.5</v>
      </c>
      <c r="G193" s="88">
        <f>COUNTIF(G186:G191,"+")/6</f>
        <v>0.33333333333333331</v>
      </c>
      <c r="L193" s="46" t="s">
        <v>94</v>
      </c>
      <c r="M193" s="47">
        <f>(C193+E193+G193)/3</f>
        <v>0.44444444444444442</v>
      </c>
    </row>
    <row r="194" spans="1:41" ht="2.2999999999999998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1.95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1.95" customHeight="1">
      <c r="A196" s="13">
        <v>1</v>
      </c>
      <c r="B196" s="12" t="str">
        <f>VLOOKUP('Програма-кодове'!F23,Списък!$A$1:$C$209,3,FALSE)</f>
        <v>английски език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математика</v>
      </c>
      <c r="G196" s="87" t="str">
        <f>IF(OR(F196="история",F196="свят и личност",F196= "география",F196="химия",F196="биология",F196="физика",F196="философия"),"+","-")</f>
        <v>-</v>
      </c>
      <c r="H196" s="12" t="str">
        <f>VLOOKUP('Програма-кодове'!I23,Списък!$A$1:$C$209,3,FALSE)</f>
        <v>философия</v>
      </c>
      <c r="I196" s="45" t="str">
        <f>IF(OR(H196="история",H196="свят и личност",H196= "география",H196="химия",H196="биология",H196="физика",H196="философия"),"+","-")</f>
        <v>+</v>
      </c>
      <c r="J196" s="12" t="str">
        <f>VLOOKUP('Програма-кодове'!J23,Списък!$A$1:$C$209,3,FALSE)</f>
        <v>английски език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1.95" customHeight="1">
      <c r="A197" s="13">
        <v>2</v>
      </c>
      <c r="B197" s="12" t="str">
        <f>VLOOKUP('Програма-кодове'!F24,Списък!$A$1:$C$209,3,FALSE)</f>
        <v>английски език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+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философия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-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английски език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1.95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английски език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физкултура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-</v>
      </c>
      <c r="J198" s="12" t="str">
        <f>VLOOKUP('Програма-кодове'!J25,Списък!$A$1:$C$209,3,FALSE)</f>
        <v>английски език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1.95" customHeight="1">
      <c r="A199" s="13">
        <v>4</v>
      </c>
      <c r="B199" s="12" t="str">
        <f>VLOOKUP('Програма-кодове'!F26,Списък!$A$1:$C$209,3,FALSE)</f>
        <v>математика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+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английски език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+</v>
      </c>
      <c r="J199" s="12" t="str">
        <f>VLOOKUP('Програма-кодове'!J26,Списък!$A$1:$C$209,3,FALSE)</f>
        <v>английски език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1.95" customHeight="1">
      <c r="A200" s="13">
        <v>5</v>
      </c>
      <c r="B200" s="12" t="str">
        <f>VLOOKUP('Програма-кодове'!F27,Списък!$A$1:$C$209,3,FALSE)</f>
        <v>философия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физкултура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английски език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английски език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+</v>
      </c>
      <c r="J200" s="12" t="str">
        <f>VLOOKUP('Програма-кодове'!J27,Списък!$A$1:$C$209,3,FALSE)</f>
        <v>математика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1.95" customHeight="1">
      <c r="A201" s="13">
        <v>6</v>
      </c>
      <c r="B201" s="12" t="str">
        <f>VLOOKUP('Програма-кодове'!F28,Списък!$A$1:$C$209,3,FALSE)</f>
        <v>бълг. език</v>
      </c>
      <c r="C201" s="45" t="str">
        <f>IF(OR(B201="физкултура",B201="музика",B201="рисуване",B201="ИТ/ДБТ",B201="домашен бит и техника"),"+","-")</f>
        <v>-</v>
      </c>
      <c r="D201" s="12" t="str">
        <f>VLOOKUP('Програма-кодове'!G28,Списък!$A$1:$C$209,3,FALSE)</f>
        <v>философия</v>
      </c>
      <c r="E201" s="45" t="str">
        <f>IF(OR(D201="физкултура",D201="музика",D201="рисуване",D201="ИТ/ДБТ",D201="домашен бит и техника"),"+","-")</f>
        <v>-</v>
      </c>
      <c r="F201" s="12" t="str">
        <f>VLOOKUP('Програма-кодове'!H28,Списък!$A$1:$C$209,3,FALSE)</f>
        <v>английски език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рисуване</v>
      </c>
      <c r="K201" s="45" t="str">
        <f>IF(OR(J201="физкултура",J201="музика",J201="рисуване",J201="ИТ/ДБТ",J201="домашен бит и техника"),"+","-")</f>
        <v>+</v>
      </c>
      <c r="L201" s="46"/>
      <c r="M201" s="46"/>
    </row>
    <row r="202" spans="1:41" ht="11.95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1.95" customHeight="1">
      <c r="C203" s="60">
        <f>COUNTIF(C196:C202,"+")/7</f>
        <v>0.5714285714285714</v>
      </c>
      <c r="E203" s="60">
        <f>COUNTIF(E196:E202,"+")/7</f>
        <v>0.42857142857142855</v>
      </c>
      <c r="G203" s="88">
        <f>COUNTIF(G196:G201,"+")/6</f>
        <v>0.33333333333333331</v>
      </c>
      <c r="I203" s="60">
        <f>COUNTIF(I196:I202,"+")/7</f>
        <v>0.5714285714285714</v>
      </c>
      <c r="J203" s="21"/>
      <c r="K203" s="60">
        <f>COUNTIF(K196:K202,"+")/7</f>
        <v>0.7142857142857143</v>
      </c>
      <c r="L203" s="46" t="s">
        <v>94</v>
      </c>
      <c r="M203" s="47">
        <f>(C203+E203+G203+I203+K203)/5</f>
        <v>0.52380952380952384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1.95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1.95" customHeight="1">
      <c r="A206" s="13">
        <v>1</v>
      </c>
      <c r="B206" s="12" t="str">
        <f>VLOOKUP('Програма-кодове'!K23,Списък!$A$1:$C$209,3,FALSE)</f>
        <v>история</v>
      </c>
      <c r="C206" s="87" t="str">
        <f>IF(OR(B206="история",B206="свят и личност",B206= "география",B206="химия",B206="биология",B206="физика",B206="философия"),"+","-")</f>
        <v>+</v>
      </c>
      <c r="D206" s="12" t="str">
        <f>VLOOKUP('Програма-кодове'!L23,Списък!$A$1:$C$209,3,FALSE)</f>
        <v>физика</v>
      </c>
      <c r="E206" s="87" t="str">
        <f>IF(OR(D206="история",D206="свят и личност",D206= "география",D206="химия",D206="биология",D206="физика",D206="философия"),"+","-")</f>
        <v>+</v>
      </c>
      <c r="F206" s="21" t="str">
        <f>VLOOKUP('Програма-кодове'!M23,Списък!$A$1:$C$209,3,FALSE)</f>
        <v>история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физкултура</v>
      </c>
      <c r="I206" s="87" t="str">
        <f>IF(OR(H206="история",H206="свят и личност",H206= "география",H206="химия",H206="биология",H206="физика",H206="философия"),"+","-")</f>
        <v>-</v>
      </c>
      <c r="J206" s="12" t="str">
        <f>VLOOKUP('Програма-кодове'!O23,Списък!$A$1:$C$209,3,FALSE)</f>
        <v>география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1.95" customHeight="1">
      <c r="A207" s="13">
        <v>2</v>
      </c>
      <c r="B207" s="12" t="str">
        <f>VLOOKUP('Програма-кодове'!K24,Списък!$A$1:$C$209,3,FALSE)</f>
        <v>физика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-</v>
      </c>
      <c r="D207" s="12" t="str">
        <f>VLOOKUP('Програма-кодове'!L24,Списък!$A$1:$C$209,3,FALSE)</f>
        <v>физкултура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-</v>
      </c>
      <c r="F207" s="21" t="str">
        <f>VLOOKUP('Програма-кодове'!M24,Списък!$A$1:$C$209,3,FALSE)</f>
        <v>физика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музика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история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-</v>
      </c>
      <c r="L207" s="46"/>
      <c r="M207" s="46"/>
    </row>
    <row r="208" spans="1:41" ht="11.95" customHeight="1">
      <c r="A208" s="13">
        <v>3</v>
      </c>
      <c r="B208" s="12" t="str">
        <f>VLOOKUP('Програма-кодове'!K25,Списък!$A$1:$C$209,3,FALSE)</f>
        <v>физкултура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-</v>
      </c>
      <c r="D208" s="12" t="str">
        <f>VLOOKUP('Програма-кодове'!L25,Списък!$A$1:$C$209,3,FALSE)</f>
        <v>математика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+</v>
      </c>
      <c r="F208" s="21" t="str">
        <f>VLOOKUP('Програма-кодове'!M25,Списък!$A$1:$C$209,3,FALSE)</f>
        <v>математика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+</v>
      </c>
      <c r="H208" s="12" t="str">
        <f>VLOOKUP('Програма-кодове'!N25,Списък!$A$1:$C$209,3,FALSE)</f>
        <v>физика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-</v>
      </c>
      <c r="J208" s="12" t="str">
        <f>VLOOKUP('Програма-кодове'!O25,Списък!$A$1:$C$209,3,FALSE)</f>
        <v>бълг.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1.95" customHeight="1">
      <c r="A209" s="13">
        <v>4</v>
      </c>
      <c r="B209" s="12" t="str">
        <f>VLOOKUP('Програма-кодове'!K26,Списък!$A$1:$C$209,3,FALSE)</f>
        <v>химия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-</v>
      </c>
      <c r="D209" s="12" t="str">
        <f>VLOOKUP('Програма-кодове'!L26,Списък!$A$1:$C$209,3,FALSE)</f>
        <v>география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ИТ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-</v>
      </c>
      <c r="H209" s="12" t="str">
        <f>VLOOKUP('Програма-кодове'!N26,Списък!$A$1:$C$209,3,FALSE)</f>
        <v>английски език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+</v>
      </c>
      <c r="J209" s="12" t="str">
        <f>VLOOKUP('Програма-кодове'!O26,Списък!$A$1:$C$209,3,FALSE)</f>
        <v>бълг.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1.95" customHeight="1">
      <c r="A210" s="13">
        <v>5</v>
      </c>
      <c r="B210" s="12" t="str">
        <f>VLOOKUP('Програма-кодове'!K27,Списък!$A$1:$C$209,3,FALSE)</f>
        <v>география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философия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английски език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история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ИТ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1.95" customHeight="1">
      <c r="A211" s="13">
        <v>6</v>
      </c>
      <c r="B211" s="12" t="str">
        <f>VLOOKUP('Програма-кодове'!K28,Списък!$A$1:$C$209,3,FALSE)</f>
        <v>английски език</v>
      </c>
      <c r="C211" s="87" t="str">
        <f>IF(OR(B211="история",B211="свят и личност",B211= "география",B211="химия",B211="биология",B211="физика",B211="философия"),"+","-")</f>
        <v>-</v>
      </c>
      <c r="D211" s="12" t="str">
        <f>VLOOKUP('Програма-кодове'!L28,Списък!$A$1:$C$209,3,FALSE)</f>
        <v>история</v>
      </c>
      <c r="E211" s="87" t="str">
        <f>IF(OR(D211="история",D211="свят и личност",D211= "география",D211="химия",D211="биология",D211="физика",D211="философия"),"+","-")</f>
        <v>+</v>
      </c>
      <c r="F211" s="21" t="str">
        <f>VLOOKUP('Програма-кодове'!M28,Списък!$A$1:$C$209,3,FALSE)</f>
        <v>география</v>
      </c>
      <c r="G211" s="87" t="str">
        <f>IF(OR(F211="история",F211="свят и личност",F211= "география",F211="химия",F211="биология",F211="физика",F211="философия"),"+","-")</f>
        <v>+</v>
      </c>
      <c r="H211" s="12" t="str">
        <f>VLOOKUP('Програма-кодове'!N28,Списък!$A$1:$C$209,3,FALSE)</f>
        <v>математика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математика</v>
      </c>
      <c r="K211" s="87" t="str">
        <f>IF(OR(J211="история",J211="свят и личност",J211= "география",J211="химия",J211="биология",J211="физика",J211="философия"),"+","-")</f>
        <v>-</v>
      </c>
      <c r="L211" s="46"/>
      <c r="M211" s="46"/>
    </row>
    <row r="212" spans="1:41" ht="11.95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1.95" customHeight="1">
      <c r="C213" s="88">
        <f>COUNTIF(C206:C211,"+")/6</f>
        <v>0.16666666666666666</v>
      </c>
      <c r="D213" s="21"/>
      <c r="E213" s="88">
        <f>COUNTIF(E206:E211,"+")/6</f>
        <v>0.5</v>
      </c>
      <c r="F213" s="21"/>
      <c r="G213" s="88">
        <f>COUNTIF(G206:G211,"+")/6</f>
        <v>0.5</v>
      </c>
      <c r="H213" s="21"/>
      <c r="I213" s="88">
        <f>COUNTIF(I206:I211,"+")/6</f>
        <v>0.16666666666666666</v>
      </c>
      <c r="K213" s="88">
        <f>COUNTIF(K206:K211,"+")/6</f>
        <v>0.5</v>
      </c>
      <c r="L213" s="46" t="s">
        <v>94</v>
      </c>
      <c r="M213" s="47">
        <f>(C213+E213+G213+I213+K213)/5</f>
        <v>0.36666666666666664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1.95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1.95" customHeight="1">
      <c r="A216" s="13">
        <v>1</v>
      </c>
      <c r="B216" s="12" t="str">
        <f>VLOOKUP('Програма-кодове'!P23,Списък!$A$1:$C$209,3,FALSE)</f>
        <v>математика</v>
      </c>
      <c r="C216" s="87" t="str">
        <f>IF(OR(B216="история",B216="свят и личност",B216= "география",B216="химия",B216="биология",B216="физика",B216="философия"),"+","-")</f>
        <v>-</v>
      </c>
      <c r="D216" s="21" t="str">
        <f>VLOOKUP('Програма-кодове'!Q23,Списък!$A$1:$C$209,3,FALSE)</f>
        <v>информатика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бълг. език</v>
      </c>
      <c r="G216" s="87" t="str">
        <f>IF(OR(F216="история",F216="свят и личност",F216= "география",F216="химия",F216="биология",F216="физика",F216="философия"),"+","-")</f>
        <v>-</v>
      </c>
      <c r="H216" s="12" t="str">
        <f>VLOOKUP('Програма-кодове'!S23,Списък!$A$1:$C$209,3,FALSE)</f>
        <v>философия</v>
      </c>
      <c r="I216" s="87" t="str">
        <f>IF(OR(H216="история",H216="свят и личност",H216= "география",H216="химия",H216="биология",H216="физика",H216="философия"),"+","-")</f>
        <v>+</v>
      </c>
      <c r="J216" s="12" t="str">
        <f>VLOOKUP('Програма-кодове'!T23,Списък!$A$1:$C$209,3,FALSE)</f>
        <v>история</v>
      </c>
      <c r="K216" s="87" t="str">
        <f>IF(OR(J216="история",J216="свят и личност",J216= "география",J216="химия",J216="биология",J216="физика",J216="философия"),"+","-")</f>
        <v>+</v>
      </c>
      <c r="L216" s="46"/>
      <c r="M216" s="46"/>
    </row>
    <row r="217" spans="1:41" ht="11.95" customHeight="1">
      <c r="A217" s="13">
        <v>2</v>
      </c>
      <c r="B217" s="12" t="str">
        <f>VLOOKUP('Програма-кодове'!P24,Списък!$A$1:$C$209,3,FALSE)</f>
        <v>философия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-</v>
      </c>
      <c r="D217" s="21" t="str">
        <f>VLOOKUP('Програма-кодове'!Q24,Списък!$A$1:$C$209,3,FALSE)</f>
        <v>география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-</v>
      </c>
      <c r="F217" s="12" t="str">
        <f>VLOOKUP('Програма-кодове'!R24,Списък!$A$1:$C$209,3,FALSE)</f>
        <v>информатика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история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1.95" customHeight="1">
      <c r="A218" s="13">
        <v>3</v>
      </c>
      <c r="B218" s="12" t="str">
        <f>VLOOKUP('Програма-кодове'!P25,Списък!$A$1:$C$209,3,FALSE)</f>
        <v>история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-</v>
      </c>
      <c r="D218" s="21" t="str">
        <f>VLOOKUP('Програма-кодове'!Q25,Списък!$A$1:$C$209,3,FALSE)</f>
        <v>химия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-</v>
      </c>
      <c r="F218" s="12" t="str">
        <f>VLOOKUP('Програма-кодове'!R25,Списък!$A$1:$C$209,3,FALSE)</f>
        <v>музика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-</v>
      </c>
      <c r="H218" s="12" t="str">
        <f>VLOOKUP('Програма-кодове'!S25,Списък!$A$1:$C$209,3,FALSE)</f>
        <v>бълг. език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+</v>
      </c>
      <c r="J218" s="12" t="str">
        <f>VLOOKUP('Програма-кодове'!T25,Списък!$A$1:$C$209,3,FALSE)</f>
        <v>география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-</v>
      </c>
      <c r="L218" s="46"/>
      <c r="M218" s="46"/>
    </row>
    <row r="219" spans="1:41" ht="11.95" customHeight="1">
      <c r="A219" s="13">
        <v>4</v>
      </c>
      <c r="B219" s="12" t="str">
        <f>VLOOKUP('Програма-кодове'!P26,Списък!$A$1:$C$209,3,FALSE)</f>
        <v>ИТ/ИТ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бълг. език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+</v>
      </c>
      <c r="F219" s="12" t="str">
        <f>VLOOKUP('Програма-кодове'!R26,Списък!$A$1:$C$209,3,FALSE)</f>
        <v>философия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-</v>
      </c>
      <c r="H219" s="12" t="str">
        <f>VLOOKUP('Програма-кодове'!S26,Списък!$A$1:$C$209,3,FALSE)</f>
        <v>биология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-</v>
      </c>
      <c r="J219" s="12" t="str">
        <f>VLOOKUP('Програма-кодове'!T26,Списък!$A$1:$C$209,3,FALSE)</f>
        <v>философия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-</v>
      </c>
      <c r="L219" s="46"/>
      <c r="M219" s="46"/>
    </row>
    <row r="220" spans="1:41" ht="11.95" customHeight="1">
      <c r="A220" s="13">
        <v>5</v>
      </c>
      <c r="B220" s="12" t="str">
        <f>VLOOKUP('Програма-кодове'!P27,Списък!$A$1:$C$209,3,FALSE)</f>
        <v>бълг. език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история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биология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ИТ/ИТ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химия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1.95" customHeight="1">
      <c r="A221" s="13">
        <v>6</v>
      </c>
      <c r="B221" s="12" t="str">
        <f>VLOOKUP('Програма-кодове'!P28,Списък!$A$1:$C$209,3,FALSE)</f>
        <v>биология</v>
      </c>
      <c r="C221" s="87" t="str">
        <f>IF(OR(B221="история",B221="свят и личност",B221= "география",B221="химия",B221="биология",B221="физика",B221="философия"),"+","-")</f>
        <v>+</v>
      </c>
      <c r="D221" s="21" t="str">
        <f>VLOOKUP('Програма-кодове'!Q28,Списък!$A$1:$C$209,3,FALSE)</f>
        <v>физкултура</v>
      </c>
      <c r="E221" s="87" t="str">
        <f>IF(OR(D221="история",D221="свят и личност",D221= "география",D221="химия",D221="биология",D221="физика",D221="философия"),"+","-")</f>
        <v>-</v>
      </c>
      <c r="F221" s="12" t="str">
        <f>VLOOKUP('Програма-кодове'!R28,Списък!$A$1:$C$209,3,FALSE)</f>
        <v>математика</v>
      </c>
      <c r="G221" s="87" t="str">
        <f>IF(OR(F221="история",F221="свят и личност",F221= "география",F221="химия",F221="биология",F221="физика",F221="философия"),"+","-")</f>
        <v>-</v>
      </c>
      <c r="H221" s="12" t="str">
        <f>VLOOKUP('Програма-кодове'!S28,Списък!$A$1:$C$209,3,FALSE)</f>
        <v>математика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бълг. език</v>
      </c>
      <c r="K221" s="87" t="str">
        <f>IF(OR(J221="история",J221="свят и личност",J221= "география",J221="химия",J221="биология",J221="физика",J221="философия"),"+","-")</f>
        <v>-</v>
      </c>
      <c r="L221" s="46"/>
      <c r="M221" s="46"/>
    </row>
    <row r="222" spans="1:41" ht="11.95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1.95" customHeight="1">
      <c r="C223" s="88">
        <f>COUNTIF(C216:C221,"+")/6</f>
        <v>0.16666666666666666</v>
      </c>
      <c r="D223" s="21"/>
      <c r="E223" s="88">
        <f>COUNTIF(E216:E221,"+")/6</f>
        <v>0.16666666666666666</v>
      </c>
      <c r="G223" s="88">
        <f>COUNTIF(G216:G221,"+")/6</f>
        <v>0.16666666666666666</v>
      </c>
      <c r="I223" s="88">
        <f>COUNTIF(I216:I221,"+")/6</f>
        <v>0.33333333333333331</v>
      </c>
      <c r="K223" s="88">
        <f>COUNTIF(K216:K221,"+")/6</f>
        <v>0.33333333333333331</v>
      </c>
      <c r="L223" s="46" t="s">
        <v>94</v>
      </c>
      <c r="M223" s="47">
        <f>(C223+E223+G223+I223+K223)/5</f>
        <v>0.23333333333333331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1.95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1.95" customHeight="1">
      <c r="A226" s="13">
        <v>1</v>
      </c>
      <c r="B226" s="12" t="str">
        <f>VLOOKUP('Програма-кодове'!U23,Списък!$A$1:$C$209,3,FALSE)</f>
        <v>информатика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ІІ - ри чужд език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ІІ - ри чужд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физкултура</v>
      </c>
      <c r="I226" s="87" t="str">
        <f>IF(OR(H226="история",H226="свят и личност",H226= "география",H226="химия",H226="биология",H226="физика",H226="философия"),"+","-")</f>
        <v>-</v>
      </c>
      <c r="J226" s="12" t="str">
        <f>VLOOKUP('Програма-кодове'!Y23,Списък!$A$1:$C$209,3,FALSE)</f>
        <v>химия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1.95" customHeight="1">
      <c r="A227" s="13">
        <v>2</v>
      </c>
      <c r="B227" s="12" t="str">
        <f>VLOOKUP('Програма-кодове'!U24,Списък!$A$1:$C$209,3,FALSE)</f>
        <v>химия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ІІ - ри чужд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ІІ - ри чужд език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+</v>
      </c>
      <c r="H227" s="21" t="str">
        <f>VLOOKUP('Програма-кодове'!X24,Списък!$A$1:$C$209,3,FALSE)</f>
        <v>информатика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химия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-</v>
      </c>
      <c r="L227" s="46"/>
      <c r="M227" s="46"/>
    </row>
    <row r="228" spans="1:41" ht="11.95" customHeight="1">
      <c r="A228" s="13">
        <v>3</v>
      </c>
      <c r="B228" s="12" t="str">
        <f>VLOOKUP('Програма-кодове'!U25,Списък!$A$1:$C$209,3,FALSE)</f>
        <v>философия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химия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информатика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бълг. език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+</v>
      </c>
      <c r="J228" s="12" t="str">
        <f>VLOOKUP('Програма-кодове'!Y25,Списък!$A$1:$C$209,3,FALSE)</f>
        <v>ІІ - ри чужд език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+</v>
      </c>
      <c r="L228" s="46"/>
      <c r="M228" s="46"/>
    </row>
    <row r="229" spans="1:41" ht="11.95" customHeight="1">
      <c r="A229" s="13">
        <v>4</v>
      </c>
      <c r="B229" s="12" t="str">
        <f>VLOOKUP('Програма-кодове'!U26,Списък!$A$1:$C$209,3,FALSE)</f>
        <v>математика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+</v>
      </c>
      <c r="D229" s="12" t="str">
        <f>VLOOKUP('Програма-кодове'!V26,Списък!$A$1:$C$209,3,FALSE)</f>
        <v>информатика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+</v>
      </c>
      <c r="F229" s="21" t="str">
        <f>VLOOKUP('Програма-кодове'!W26,Списък!$A$1:$C$209,3,FALSE)</f>
        <v>химия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-</v>
      </c>
      <c r="H229" s="21" t="str">
        <f>VLOOKUP('Програма-кодове'!X26,Списък!$A$1:$C$209,3,FALSE)</f>
        <v>бълг. език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+</v>
      </c>
      <c r="J229" s="12" t="str">
        <f>VLOOKUP('Програма-кодове'!Y26,Списък!$A$1:$C$209,3,FALSE)</f>
        <v>ІІ - ри чужд език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+</v>
      </c>
      <c r="L229" s="46"/>
      <c r="M229" s="46"/>
    </row>
    <row r="230" spans="1:41" ht="11.95" customHeight="1">
      <c r="A230" s="13">
        <v>5</v>
      </c>
      <c r="B230" s="12" t="str">
        <f>VLOOKUP('Програма-кодове'!U27,Списък!$A$1:$C$209,3,FALSE)</f>
        <v>ІІ - ри чужд език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бълг. език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биология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английски език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физкултура</v>
      </c>
      <c r="K230" s="87" t="str">
        <f>IF(OR(J230="физкултура",J230="музика",J230="рисуване",J230="ИТ/ДБТ",J230="домашен бит и техника"),"+","-")</f>
        <v>+</v>
      </c>
      <c r="L230" s="46"/>
      <c r="M230" s="46"/>
    </row>
    <row r="231" spans="1:41" ht="11.95" customHeight="1">
      <c r="A231" s="13">
        <v>6</v>
      </c>
      <c r="B231" s="12" t="str">
        <f>VLOOKUP('Програма-кодове'!U28,Списък!$A$1:$C$209,3,FALSE)</f>
        <v>ІІ - ри чужд език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бълг. език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математика</v>
      </c>
      <c r="G231" s="87" t="str">
        <f>IF(OR(F231="история",F231="свят и личност",F231= "география",F231="химия",F231="биология",F231="физика",F231="философия"),"+","-")</f>
        <v>-</v>
      </c>
      <c r="H231" s="21" t="str">
        <f>VLOOKUP('Програма-кодове'!X28,Списък!$A$1:$C$209,3,FALSE)</f>
        <v>биология</v>
      </c>
      <c r="I231" s="87" t="str">
        <f>IF(OR(H231="история",H231="свят и личност",H231= "география",H231="химия",H231="биология",H231="физика",H231="философия"),"+","-")</f>
        <v>+</v>
      </c>
      <c r="J231" s="12" t="str">
        <f>VLOOKUP('Програма-кодове'!Y28,Списък!$A$1:$C$209,3,FALSE)</f>
        <v>английски език</v>
      </c>
      <c r="K231" s="87" t="str">
        <f>IF(OR(J231="история",J231="свят и личност",J231= "география",J231="химия",J231="биология",J231="физика",J231="философия"),"+","-")</f>
        <v>-</v>
      </c>
      <c r="L231" s="46"/>
      <c r="M231" s="46"/>
    </row>
    <row r="232" spans="1:41" ht="11.95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1.95" customHeight="1">
      <c r="C233" s="88">
        <f>COUNTIF(C226:C231,"+")/6</f>
        <v>0.16666666666666666</v>
      </c>
      <c r="D233" s="21"/>
      <c r="E233" s="88">
        <f>COUNTIF(E226:E231,"+")/6</f>
        <v>0.33333333333333331</v>
      </c>
      <c r="F233" s="21"/>
      <c r="G233" s="88">
        <f>COUNTIF(G226:G231,"+")/6</f>
        <v>0.33333333333333331</v>
      </c>
      <c r="H233" s="21"/>
      <c r="I233" s="88">
        <f>COUNTIF(I226:I231,"+")/6</f>
        <v>0.66666666666666663</v>
      </c>
      <c r="K233" s="88">
        <f>COUNTIF(K226:K231,"+")/6</f>
        <v>0.66666666666666663</v>
      </c>
      <c r="L233" s="46" t="s">
        <v>94</v>
      </c>
      <c r="M233" s="47">
        <f>(C233+E233+G233+I233+K233)/5</f>
        <v>0.43333333333333329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1.95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1.95" customHeight="1">
      <c r="A236" s="13">
        <v>1</v>
      </c>
      <c r="B236" s="12" t="str">
        <f>VLOOKUP('Програма-кодове'!Z23,Списък!$A$1:$C$209,3,FALSE)</f>
        <v>бълг. език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информатика</v>
      </c>
      <c r="E236" s="87" t="str">
        <f>IF(OR(D236="история",D236="свят и личност",D236= "география",D236="химия",D236="биология",D236="физика",D236="философия"),"+","-")</f>
        <v>-</v>
      </c>
      <c r="F236" s="12" t="str">
        <f>VLOOKUP('Програма-кодове'!AB23,Списък!$A$1:$C$209,3,FALSE)</f>
        <v>математика</v>
      </c>
      <c r="G236" s="87" t="str">
        <f>IF(OR(F236="история",F236="свят и личност",F236= "география",F236="химия",F236="биология",F236="физика",F236="философия"),"+","-")</f>
        <v>-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биология</v>
      </c>
      <c r="K236" s="87" t="str">
        <f>IF(OR(J236="история",J236="свят и личност",J236= "география",J236="химия",J236="биология",J236="физика",J236="философия"),"+","-")</f>
        <v>+</v>
      </c>
      <c r="L236" s="46"/>
      <c r="M236" s="46"/>
    </row>
    <row r="237" spans="1:41" ht="11.95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английски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математика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+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1.95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английски език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информатика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география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-</v>
      </c>
      <c r="J238" s="12" t="str">
        <f>VLOOKUP('Програма-кодове'!AD25,Списък!$A$1:$C$209,3,FALSE)</f>
        <v>бълг. език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+</v>
      </c>
      <c r="L238" s="46"/>
      <c r="M238" s="46"/>
    </row>
    <row r="239" spans="1:41" ht="11.95" customHeight="1">
      <c r="A239" s="13">
        <v>4</v>
      </c>
      <c r="B239" s="12" t="str">
        <f>VLOOKUP('Програма-кодове'!Z26,Списък!$A$1:$C$209,3,FALSE)</f>
        <v>математика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+</v>
      </c>
      <c r="D239" s="12" t="str">
        <f>VLOOKUP('Програма-кодове'!AA26,Списък!$A$1:$C$209,3,FALSE)</f>
        <v>математика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физкултура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-</v>
      </c>
      <c r="H239" s="12" t="str">
        <f>VLOOKUP('Програма-кодове'!AC26,Списък!$A$1:$C$209,3,FALSE)</f>
        <v>бълг. език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+</v>
      </c>
      <c r="J239" s="12" t="str">
        <f>VLOOKUP('Програма-кодове'!AD26,Списък!$A$1:$C$209,3,FALSE)</f>
        <v>история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-</v>
      </c>
      <c r="L239" s="46"/>
      <c r="M239" s="46"/>
    </row>
    <row r="240" spans="1:41" ht="11.95" customHeight="1">
      <c r="A240" s="13">
        <v>5</v>
      </c>
      <c r="B240" s="12" t="str">
        <f>VLOOKUP('Програма-кодове'!Z27,Списък!$A$1:$C$209,3,FALSE)</f>
        <v>английски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физкултура</v>
      </c>
      <c r="E240" s="87" t="str">
        <f>IF(OR(D240="физкултура",D240="музика",D240="рисуване",D240="ИТ/ДБТ",D240="домашен бит и техника"),"+","-")</f>
        <v>+</v>
      </c>
      <c r="F240" s="12" t="str">
        <f>VLOOKUP('Програма-кодове'!AB27,Списък!$A$1:$C$209,3,FALSE)</f>
        <v>бълг. език</v>
      </c>
      <c r="G240" s="87" t="str">
        <f>IF(OR(F240="физкултура",F240="музика",F240="рисуване",F240="ИТ/ДБТ",F240="домашен бит и техника"),"+","-")</f>
        <v>-</v>
      </c>
      <c r="H240" s="12" t="str">
        <f>VLOOKUP('Програма-кодове'!AC27,Списък!$A$1:$C$209,3,FALSE)</f>
        <v>история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химия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1.95" customHeight="1">
      <c r="A241" s="13">
        <v>6</v>
      </c>
      <c r="B241" s="12" t="str">
        <f>VLOOKUP('Програма-кодове'!Z28,Списък!$A$1:$C$209,3,FALSE)</f>
        <v>английски език</v>
      </c>
      <c r="C241" s="87" t="str">
        <f>IF(OR(B241="история",B241="свят и личност",B241= "география",B241="химия",B241="биология",B241="физика",B241="философия"),"+","-")</f>
        <v>-</v>
      </c>
      <c r="D241" s="12" t="str">
        <f>VLOOKUP('Програма-кодове'!AA28,Списък!$A$1:$C$209,3,FALSE)</f>
        <v>бълг.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история</v>
      </c>
      <c r="G241" s="87" t="str">
        <f>IF(OR(F241="история",F241="свят и личност",F241= "география",F241="химия",F241="биология",F241="физика",F241="философия"),"+","-")</f>
        <v>+</v>
      </c>
      <c r="H241" s="12" t="str">
        <f>VLOOKUP('Програма-кодове'!AC28,Списък!$A$1:$C$209,3,FALSE)</f>
        <v>физкултура</v>
      </c>
      <c r="I241" s="87" t="str">
        <f>IF(OR(H241="история",H241="свят и личност",H241= "география",H241="химия",H241="биология",H241="физика",H241="философия"),"+","-")</f>
        <v>-</v>
      </c>
      <c r="J241" s="12" t="str">
        <f>VLOOKUP('Програма-кодове'!AD28,Списък!$A$1:$C$209,3,FALSE)</f>
        <v>химия</v>
      </c>
      <c r="K241" s="87" t="str">
        <f>IF(OR(J241="история",J241="свят и личност",J241= "география",J241="химия",J241="биология",J241="физика",J241="философия"),"+","-")</f>
        <v>+</v>
      </c>
      <c r="L241" s="46"/>
      <c r="M241" s="46"/>
    </row>
    <row r="242" spans="1:43" ht="11.95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1.95" customHeight="1">
      <c r="C243" s="88">
        <f>COUNTIF(C236:C241,"+")/6</f>
        <v>0.5</v>
      </c>
      <c r="E243" s="88">
        <f>COUNTIF(E236:E241,"+")/6</f>
        <v>0.66666666666666663</v>
      </c>
      <c r="G243" s="88">
        <f>COUNTIF(G236:G241,"+")/6</f>
        <v>0.5</v>
      </c>
      <c r="I243" s="88">
        <f>COUNTIF(I236:I241,"+")/6</f>
        <v>0.33333333333333331</v>
      </c>
      <c r="K243" s="88">
        <f>COUNTIF(K236:K241,"+")/6</f>
        <v>0.5</v>
      </c>
      <c r="L243" s="46" t="s">
        <v>94</v>
      </c>
      <c r="M243" s="47">
        <f>(C243+E243+G243+I243+K243)/5</f>
        <v>0.5</v>
      </c>
    </row>
    <row r="244" spans="1:43" ht="12.8" customHeight="1">
      <c r="A244" s="439" t="s">
        <v>98</v>
      </c>
      <c r="B244" s="439"/>
      <c r="C244" s="439"/>
      <c r="D244" s="439"/>
      <c r="E244" s="439"/>
      <c r="F244" s="439"/>
      <c r="G244" s="439"/>
      <c r="H244" s="439"/>
      <c r="I244" s="439"/>
      <c r="J244" s="439"/>
      <c r="K244" s="439"/>
      <c r="L244" s="439"/>
      <c r="M244" s="57">
        <f>AVERAGE(A193:K193,A203:K203,A213:K213,A223:K223,A233:K233,A243:K243)</f>
        <v>0.41496598639455778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438" t="s">
        <v>28</v>
      </c>
      <c r="B246" s="438"/>
      <c r="C246" s="438"/>
      <c r="D246" s="438"/>
      <c r="E246" s="438"/>
      <c r="F246" s="438"/>
      <c r="G246" s="438"/>
      <c r="H246" s="438"/>
      <c r="I246" s="438"/>
      <c r="J246" s="438"/>
      <c r="K246" s="438"/>
      <c r="L246" s="438"/>
      <c r="M246" s="438"/>
    </row>
    <row r="247" spans="1:43" s="13" customFormat="1" ht="11.95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1.95" customHeight="1">
      <c r="A248" s="13">
        <v>1</v>
      </c>
      <c r="B248" s="12" t="str">
        <f>VLOOKUP('Програма-кодове'!C30,Списък!$A$1:$C$209,3,FALSE)</f>
        <v>ИТ/ТП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математика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математика</v>
      </c>
      <c r="G248" s="87" t="str">
        <f>IF(OR(F248="история",F248="свят и личност",F248= "география",F248="химия",F248="биология",F248="физика",F248="философия"),"+","-")</f>
        <v>-</v>
      </c>
      <c r="L248" s="46"/>
      <c r="M248" s="47"/>
    </row>
    <row r="249" spans="1:43" ht="11.95" customHeight="1">
      <c r="A249" s="13">
        <v>2</v>
      </c>
      <c r="B249" s="12" t="str">
        <f>VLOOKUP('Програма-кодове'!C31,Списък!$A$1:$C$209,3,FALSE)</f>
        <v>математика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+</v>
      </c>
      <c r="D249" s="12" t="str">
        <f>VLOOKUP('Програма-кодове'!D31,Списък!$A$1:$C$209,3,FALSE)</f>
        <v>ИТ/ИТ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математика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+</v>
      </c>
      <c r="L249" s="46"/>
      <c r="M249" s="47"/>
    </row>
    <row r="250" spans="1:43" ht="11.95" customHeight="1">
      <c r="A250" s="13">
        <v>3</v>
      </c>
      <c r="B250" s="12" t="str">
        <f>VLOOKUP('Програма-кодове'!C32,Списък!$A$1:$C$209,3,FALSE)</f>
        <v>физика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ИТ/ТП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история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-</v>
      </c>
      <c r="L250" s="46"/>
      <c r="M250" s="47"/>
    </row>
    <row r="251" spans="1:43" ht="11.95" customHeight="1">
      <c r="A251" s="13">
        <v>4</v>
      </c>
      <c r="B251" s="12" t="str">
        <f>VLOOKUP('Програма-кодове'!C33,Списък!$A$1:$C$209,3,FALSE)</f>
        <v>информатика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+</v>
      </c>
      <c r="D251" s="12" t="str">
        <f>VLOOKUP('Програма-кодове'!D33,Списък!$A$1:$C$209,3,FALSE)</f>
        <v>бълг. език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+</v>
      </c>
      <c r="F251" s="12" t="str">
        <f>VLOOKUP('Програма-кодове'!E33,Списък!$A$1:$C$209,3,FALSE)</f>
        <v>география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-</v>
      </c>
      <c r="L251" s="46"/>
      <c r="M251" s="47"/>
    </row>
    <row r="252" spans="1:43" ht="11.95" customHeight="1">
      <c r="A252" s="13">
        <v>5</v>
      </c>
      <c r="B252" s="12" t="str">
        <f>VLOOKUP('Програма-кодове'!C34,Списък!$A$1:$C$209,3,FALSE)</f>
        <v>бълг. език</v>
      </c>
      <c r="C252" s="87" t="str">
        <f>IF(OR(B252="физкултура",B252="музика",B252="рисуване",B252="ИТ/ДБТ",B252="домашен бит и техника"),"+","-")</f>
        <v>-</v>
      </c>
      <c r="D252" s="12" t="str">
        <f>VLOOKUP('Програма-кодове'!D34,Списък!$A$1:$C$209,3,FALSE)</f>
        <v>физика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бълг. език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1.95" customHeight="1">
      <c r="A253" s="13">
        <v>6</v>
      </c>
      <c r="B253" s="12" t="str">
        <f>VLOOKUP('Програма-кодове'!C35,Списък!$A$1:$C$209,3,FALSE)</f>
        <v>физкултура</v>
      </c>
      <c r="C253" s="87" t="str">
        <f>IF(OR(B253="история",B253="свят и личност",B253= "география",B253="химия",B253="биология",B253="физика",B253="философия"),"+","-")</f>
        <v>-</v>
      </c>
      <c r="D253" s="12" t="str">
        <f>VLOOKUP('Програма-кодове'!D35,Списък!$A$1:$C$209,3,FALSE)</f>
        <v>физкултура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рисуване</v>
      </c>
      <c r="G253" s="87" t="str">
        <f>IF(OR(F253="история",F253="свят и личност",F253= "география",F253="химия",F253="биология",F253="физика",F253="философия"),"+","-")</f>
        <v>-</v>
      </c>
      <c r="L253" s="46"/>
      <c r="M253" s="47"/>
    </row>
    <row r="254" spans="1:43" ht="11.95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1.95" customHeight="1">
      <c r="C255" s="88">
        <f>COUNTIF(C248:C253,"+")/6</f>
        <v>0.33333333333333331</v>
      </c>
      <c r="E255" s="88">
        <f>COUNTIF(E248:E253,"+")/6</f>
        <v>0.16666666666666666</v>
      </c>
      <c r="G255" s="88">
        <f>COUNTIF(G248:G253,"+")/6</f>
        <v>0.16666666666666666</v>
      </c>
      <c r="L255" s="46" t="s">
        <v>94</v>
      </c>
      <c r="M255" s="47">
        <f>(C255+E255+G255)/3</f>
        <v>0.22222222222222221</v>
      </c>
    </row>
    <row r="256" spans="1:43" ht="2.2999999999999998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1.95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1.95" customHeight="1">
      <c r="B258" s="12" t="str">
        <f>VLOOKUP('Програма-кодове'!F30,Списък!$A$1:$C$209,3,FALSE)</f>
        <v>английски език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математика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информатика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1.95" customHeight="1">
      <c r="B259" s="12" t="str">
        <f>VLOOKUP('Програма-кодове'!F31,Списък!$A$1:$C$209,3,FALSE)</f>
        <v>английски език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+</v>
      </c>
      <c r="D259" s="12" t="str">
        <f>VLOOKUP('Програма-кодове'!G31,Списък!$A$1:$C$209,3,FALSE)</f>
        <v>математика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информатика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бълг. език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+</v>
      </c>
      <c r="L259" s="46"/>
      <c r="M259" s="46"/>
    </row>
    <row r="260" spans="1:41" ht="11.95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английски език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бълг.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английски език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+</v>
      </c>
      <c r="L260" s="46"/>
      <c r="M260" s="46"/>
    </row>
    <row r="261" spans="1:41" ht="11.95" customHeight="1">
      <c r="B261" s="12" t="str">
        <f>VLOOKUP('Програма-кодове'!F33,Списък!$A$1:$C$209,3,FALSE)</f>
        <v>английски език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информатика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английски език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+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1.95" customHeight="1">
      <c r="B262" s="12" t="str">
        <f>VLOOKUP('Програма-кодове'!F34,Списък!$A$1:$C$209,3,FALSE)</f>
        <v>физкултура</v>
      </c>
      <c r="C262" s="87" t="str">
        <f>IF(OR(B262="физкултура",B262="музика",B262="рисуване",B262="ИТ/ДБТ",B262="домашен бит и техника"),"+","-")</f>
        <v>+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информатика</v>
      </c>
      <c r="G262" s="87" t="str">
        <f>IF(OR(F262="физкултура",F262="музика",F262="рисуване",F262="ИТ/ДБТ",F262="домашен бит и техника"),"+","-")</f>
        <v>-</v>
      </c>
      <c r="H262" s="12" t="str">
        <f>VLOOKUP('Програма-кодове'!I34,Списък!$A$1:$C$209,3,FALSE)</f>
        <v>английски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английски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1.95" customHeight="1">
      <c r="B263" s="12" t="str">
        <f>VLOOKUP('Програма-кодове'!F35,Списък!$A$1:$C$209,3,FALSE)</f>
        <v>информатика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английски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английски език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1.95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1.95" customHeight="1">
      <c r="C265" s="88">
        <f>COUNTIF(C258:C263,"+")/6</f>
        <v>0.66666666666666663</v>
      </c>
      <c r="E265" s="88">
        <f>COUNTIF(E258:E263,"+")/6</f>
        <v>0.5</v>
      </c>
      <c r="G265" s="88">
        <f>COUNTIF(G258:G263,"+")/6</f>
        <v>0.5</v>
      </c>
      <c r="I265" s="88">
        <f>COUNTIF(I258:I263,"+")/6</f>
        <v>0.5</v>
      </c>
      <c r="K265" s="60">
        <f>COUNTIF(K258:K264,"+")/7</f>
        <v>0.5714285714285714</v>
      </c>
      <c r="L265" s="46" t="s">
        <v>94</v>
      </c>
      <c r="M265" s="47">
        <f>(C265+E265+G265+I265+K265)/5</f>
        <v>0.54761904761904767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1.95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1.95" customHeight="1">
      <c r="A268" s="13">
        <v>1</v>
      </c>
      <c r="B268" s="12" t="str">
        <f>VLOOKUP('Програма-кодове'!K30,Списък!$A$1:$C$209,3,FALSE)</f>
        <v>философия</v>
      </c>
      <c r="C268" s="87" t="str">
        <f>IF(OR(B268="история",B268="свят и личност",B268= "география",B268="химия",B268="биология",B268="физика",B268="философия"),"+","-")</f>
        <v>+</v>
      </c>
      <c r="D268" s="21" t="str">
        <f>VLOOKUP('Програма-кодове'!L30,Списък!$A$1:$C$209,3,FALSE)</f>
        <v>английски език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химия</v>
      </c>
      <c r="G268" s="87" t="str">
        <f>IF(OR(F268="история",F268="свят и личност",F268= "география",F268="химия",F268="биология",F268="физика",F268="философия"),"+","-")</f>
        <v>+</v>
      </c>
      <c r="H268" s="21" t="str">
        <f>VLOOKUP('Програма-кодове'!N30,Списък!$A$1:$C$209,3,FALSE)</f>
        <v>информатика</v>
      </c>
      <c r="I268" s="87" t="str">
        <f>IF(OR(H268="история",H268="свят и личност",H268= "география",H268="химия",H268="биология",H268="физика",H268="философия"),"+","-")</f>
        <v>-</v>
      </c>
      <c r="J268" s="21" t="str">
        <f>VLOOKUP('Програма-кодове'!O30,Списък!$A$1:$C$209,3,FALSE)</f>
        <v>бълг. език</v>
      </c>
      <c r="K268" s="87" t="str">
        <f>IF(OR(J268="история",J268="свят и личност",J268= "география",J268="химия",J268="биология",J268="физика",J268="философия"),"+","-")</f>
        <v>-</v>
      </c>
      <c r="L268" s="46"/>
      <c r="M268" s="46"/>
    </row>
    <row r="269" spans="1:41" ht="11.95" customHeight="1">
      <c r="A269" s="13">
        <v>2</v>
      </c>
      <c r="B269" s="12" t="str">
        <f>VLOOKUP('Програма-кодове'!K31,Списък!$A$1:$C$209,3,FALSE)</f>
        <v>бълг. език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+</v>
      </c>
      <c r="D269" s="21" t="str">
        <f>VLOOKUP('Програма-кодове'!L31,Списък!$A$1:$C$209,3,FALSE)</f>
        <v>информатика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+</v>
      </c>
      <c r="F269" s="12" t="str">
        <f>VLOOKUP('Програма-кодове'!M31,Списък!$A$1:$C$209,3,FALSE)</f>
        <v>математика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биология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-</v>
      </c>
      <c r="J269" s="21" t="str">
        <f>VLOOKUP('Програма-кодове'!O31,Списък!$A$1:$C$209,3,FALSE)</f>
        <v>английски език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+</v>
      </c>
      <c r="L269" s="46"/>
      <c r="M269" s="46"/>
    </row>
    <row r="270" spans="1:41" ht="11.95" customHeight="1">
      <c r="A270" s="13">
        <v>3</v>
      </c>
      <c r="B270" s="12" t="str">
        <f>VLOOKUP('Програма-кодове'!K32,Списък!$A$1:$C$209,3,FALSE)</f>
        <v>математика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+</v>
      </c>
      <c r="D270" s="21" t="str">
        <f>VLOOKUP('Програма-кодове'!L32,Списък!$A$1:$C$209,3,FALSE)</f>
        <v>бълг. език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+</v>
      </c>
      <c r="F270" s="12" t="str">
        <f>VLOOKUP('Програма-кодове'!M32,Списък!$A$1:$C$209,3,FALSE)</f>
        <v>математика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+</v>
      </c>
      <c r="H270" s="21" t="str">
        <f>VLOOKUP('Програма-кодове'!N32,Списък!$A$1:$C$209,3,FALSE)</f>
        <v>география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биология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-</v>
      </c>
      <c r="L270" s="46"/>
      <c r="M270" s="46"/>
    </row>
    <row r="271" spans="1:41" ht="11.95" customHeight="1">
      <c r="A271" s="13">
        <v>4</v>
      </c>
      <c r="B271" s="12" t="str">
        <f>VLOOKUP('Програма-кодове'!K33,Списък!$A$1:$C$209,3,FALSE)</f>
        <v>биология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музика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-</v>
      </c>
      <c r="F271" s="12" t="str">
        <f>VLOOKUP('Програма-кодове'!M33,Списък!$A$1:$C$209,3,FALSE)</f>
        <v>биология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бълг. език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+</v>
      </c>
      <c r="J271" s="21" t="str">
        <f>VLOOKUP('Програма-кодове'!O33,Списък!$A$1:$C$209,3,FALSE)</f>
        <v>химия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-</v>
      </c>
      <c r="L271" s="46"/>
      <c r="M271" s="46"/>
    </row>
    <row r="272" spans="1:41" ht="11.95" customHeight="1">
      <c r="A272" s="13">
        <v>5</v>
      </c>
      <c r="B272" s="12" t="str">
        <f>VLOOKUP('Програма-кодове'!K34,Списък!$A$1:$C$209,3,FALSE)</f>
        <v>история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биология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физкултура</v>
      </c>
      <c r="G272" s="87" t="str">
        <f>IF(OR(F272="физкултура",F272="музика",F272="рисуване",F272="ИТ/ДБТ",F272="домашен бит и техника"),"+","-")</f>
        <v>+</v>
      </c>
      <c r="H272" s="21" t="str">
        <f>VLOOKUP('Програма-кодове'!N34,Списък!$A$1:$C$209,3,FALSE)</f>
        <v>химия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музика</v>
      </c>
      <c r="K272" s="87" t="str">
        <f>IF(OR(J272="физкултура",J272="музика",J272="рисуване",J272="ИТ/ДБТ",J272="домашен бит и техника"),"+","-")</f>
        <v>+</v>
      </c>
      <c r="L272" s="46"/>
      <c r="M272" s="46"/>
    </row>
    <row r="273" spans="1:41" ht="11.95" customHeight="1">
      <c r="A273" s="13">
        <v>6</v>
      </c>
      <c r="B273" s="12" t="str">
        <f>VLOOKUP('Програма-кодове'!K35,Списък!$A$1:$C$209,3,FALSE)</f>
        <v>физкултура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история</v>
      </c>
      <c r="E273" s="87" t="str">
        <f>IF(OR(D273="история",D273="свят и личност",D273= "география",D273="химия",D273="биология",D273="физика",D273="философия"),"+","-")</f>
        <v>+</v>
      </c>
      <c r="F273" s="12" t="str">
        <f>VLOOKUP('Програма-кодове'!M35,Списък!$A$1:$C$209,3,FALSE)</f>
        <v>бълг. език</v>
      </c>
      <c r="G273" s="87" t="str">
        <f>IF(OR(F273="история",F273="свят и личност",F273= "география",F273="химия",F273="биология",F273="физика",F273="философия"),"+","-")</f>
        <v>-</v>
      </c>
      <c r="H273" s="21" t="str">
        <f>VLOOKUP('Програма-кодове'!N35,Списък!$A$1:$C$209,3,FALSE)</f>
        <v>история</v>
      </c>
      <c r="I273" s="87" t="str">
        <f>IF(OR(H273="история",H273="свят и личност",H273= "география",H273="химия",H273="биология",H273="физика",H273="философия"),"+","-")</f>
        <v>+</v>
      </c>
      <c r="J273" s="21" t="str">
        <f>VLOOKUP('Програма-кодове'!O35,Списък!$A$1:$C$209,3,FALSE)</f>
        <v>физика</v>
      </c>
      <c r="K273" s="87" t="str">
        <f>IF(OR(J273="история",J273="свят и личност",J273= "география",J273="химия",J273="биология",J273="физика",J273="философия"),"+","-")</f>
        <v>+</v>
      </c>
      <c r="L273" s="46"/>
      <c r="M273" s="46"/>
    </row>
    <row r="274" spans="1:41" ht="11.95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1.95" customHeight="1">
      <c r="C275" s="88">
        <f>COUNTIF(C268:C273,"+")/6</f>
        <v>0.5</v>
      </c>
      <c r="D275" s="21"/>
      <c r="E275" s="88">
        <f>COUNTIF(E268:E273,"+")/6</f>
        <v>0.5</v>
      </c>
      <c r="G275" s="88">
        <f>COUNTIF(G268:G273,"+")/6</f>
        <v>0.66666666666666663</v>
      </c>
      <c r="H275" s="21"/>
      <c r="I275" s="88">
        <f>COUNTIF(I268:I273,"+")/6</f>
        <v>0.33333333333333331</v>
      </c>
      <c r="J275" s="21"/>
      <c r="K275" s="88">
        <f>COUNTIF(K268:K273,"+")/6</f>
        <v>0.5</v>
      </c>
      <c r="L275" s="46" t="s">
        <v>94</v>
      </c>
      <c r="M275" s="47">
        <f>(C275+E275+G275+I275+K275)/5</f>
        <v>0.5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1.95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1.95" customHeight="1">
      <c r="A278" s="13">
        <v>1</v>
      </c>
      <c r="B278" s="12" t="str">
        <f>VLOOKUP('Програма-кодове'!P30,Списък!$A$1:$C$209,3,FALSE)</f>
        <v>география</v>
      </c>
      <c r="C278" s="87" t="str">
        <f>IF(OR(B278="история",B278="свят и личност",B278= "география",B278="химия",B278="биология",B278="физика",B278="философия"),"+","-")</f>
        <v>+</v>
      </c>
      <c r="D278" s="21" t="str">
        <f>VLOOKUP('Програма-кодове'!Q30,Списък!$A$1:$C$209,3,FALSE)</f>
        <v>история</v>
      </c>
      <c r="E278" s="87" t="str">
        <f>IF(OR(D278="история",D278="свят и личност",D278= "география",D278="химия",D278="биология",D278="физика",D278="философия"),"+","-")</f>
        <v>+</v>
      </c>
      <c r="F278" s="12" t="str">
        <f>VLOOKUP('Програма-кодове'!R30,Списък!$A$1:$C$209,3,FALSE)</f>
        <v>химия</v>
      </c>
      <c r="G278" s="87" t="str">
        <f>IF(OR(F278="история",F278="свят и личност",F278= "география",F278="химия",F278="биология",F278="физика",F278="философия"),"+","-")</f>
        <v>+</v>
      </c>
      <c r="H278" s="21" t="str">
        <f>VLOOKUP('Програма-кодове'!S30,Списък!$A$1:$C$209,3,FALSE)</f>
        <v>физика</v>
      </c>
      <c r="I278" s="87" t="str">
        <f>IF(OR(H278="история",H278="свят и личност",H278= "география",H278="химия",H278="биология",H278="физика",H278="философия"),"+","-")</f>
        <v>+</v>
      </c>
      <c r="J278" s="12" t="str">
        <f>VLOOKUP('Програма-кодове'!T30,Списък!$A$1:$C$209,3,FALSE)</f>
        <v>физкултура</v>
      </c>
      <c r="K278" s="87" t="str">
        <f>IF(OR(J278="история",J278="свят и личност",J278= "география",J278="химия",J278="биология",J278="физика",J278="философия"),"+","-")</f>
        <v>-</v>
      </c>
      <c r="L278" s="46"/>
      <c r="M278" s="46"/>
    </row>
    <row r="279" spans="1:41" ht="11.95" customHeight="1">
      <c r="A279" s="13">
        <v>2</v>
      </c>
      <c r="B279" s="12" t="str">
        <f>VLOOKUP('Програма-кодове'!P31,Списък!$A$1:$C$209,3,FALSE)</f>
        <v>химия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-</v>
      </c>
      <c r="D279" s="21" t="str">
        <f>VLOOKUP('Програма-кодове'!Q31,Списък!$A$1:$C$209,3,FALSE)</f>
        <v>музика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-</v>
      </c>
      <c r="F279" s="12" t="str">
        <f>VLOOKUP('Програма-кодове'!R31,Списък!$A$1:$C$209,3,FALSE)</f>
        <v>история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-</v>
      </c>
      <c r="H279" s="21" t="str">
        <f>VLOOKUP('Програма-кодове'!S31,Списък!$A$1:$C$209,3,FALSE)</f>
        <v>география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-</v>
      </c>
      <c r="J279" s="12" t="str">
        <f>VLOOKUP('Програма-кодове'!T31,Списък!$A$1:$C$209,3,FALSE)</f>
        <v>физика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-</v>
      </c>
      <c r="L279" s="46"/>
      <c r="M279" s="46"/>
    </row>
    <row r="280" spans="1:41" ht="11.95" customHeight="1">
      <c r="A280" s="13">
        <v>3</v>
      </c>
      <c r="B280" s="12" t="str">
        <f>VLOOKUP('Програма-кодове'!P32,Списък!$A$1:$C$209,3,FALSE)</f>
        <v>английски език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+</v>
      </c>
      <c r="D280" s="21" t="str">
        <f>VLOOKUP('Програма-кодове'!Q32,Списък!$A$1:$C$209,3,FALSE)</f>
        <v>математика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физкултура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-</v>
      </c>
      <c r="H280" s="21" t="str">
        <f>VLOOKUP('Програма-кодове'!S32,Списък!$A$1:$C$209,3,FALSE)</f>
        <v>химия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-</v>
      </c>
      <c r="J280" s="12" t="str">
        <f>VLOOKUP('Програма-кодове'!T32,Списък!$A$1:$C$209,3,FALSE)</f>
        <v>бълг. език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+</v>
      </c>
      <c r="L280" s="46"/>
      <c r="M280" s="46"/>
    </row>
    <row r="281" spans="1:41" ht="11.95" customHeight="1">
      <c r="A281" s="13">
        <v>4</v>
      </c>
      <c r="B281" s="12" t="str">
        <f>VLOOKUP('Програма-кодове'!P33,Списък!$A$1:$C$209,3,FALSE)</f>
        <v>история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-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география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английски език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+</v>
      </c>
      <c r="J281" s="12" t="str">
        <f>VLOOKUP('Програма-кодове'!T33,Списък!$A$1:$C$209,3,FALSE)</f>
        <v>бълг. език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+</v>
      </c>
      <c r="L281" s="46"/>
      <c r="M281" s="46"/>
    </row>
    <row r="282" spans="1:41" ht="11.95" customHeight="1">
      <c r="A282" s="13">
        <v>5</v>
      </c>
      <c r="B282" s="12" t="str">
        <f>VLOOKUP('Програма-кодове'!P34,Списък!$A$1:$C$209,3,FALSE)</f>
        <v>бълг. език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английски език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физика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история</v>
      </c>
      <c r="I282" s="87" t="str">
        <f>IF(OR(H282="физкултура",H282="музика",H282="рисуване",H282="ИТ/ДБТ",H282="домашен бит и техника"),"+","-")</f>
        <v>-</v>
      </c>
      <c r="J282" s="12" t="str">
        <f>VLOOKUP('Програма-кодове'!T34,Списък!$A$1:$C$209,3,FALSE)</f>
        <v>география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1.95" customHeight="1">
      <c r="A283" s="13">
        <v>6</v>
      </c>
      <c r="B283" s="12" t="str">
        <f>VLOOKUP('Програма-кодове'!P35,Списък!$A$1:$C$209,3,FALSE)</f>
        <v>физика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география</v>
      </c>
      <c r="E283" s="87" t="str">
        <f>IF(OR(D283="история",D283="свят и личност",D283= "география",D283="химия",D283="биология",D283="физика",D283="философия"),"+","-")</f>
        <v>+</v>
      </c>
      <c r="F283" s="12" t="str">
        <f>VLOOKUP('Програма-кодове'!R35,Списък!$A$1:$C$209,3,FALSE)</f>
        <v>английски език</v>
      </c>
      <c r="G283" s="87" t="str">
        <f>IF(OR(F283="история",F283="свят и личност",F283= "география",F283="химия",F283="биология",F283="физика",F283="философия"),"+","-")</f>
        <v>-</v>
      </c>
      <c r="H283" s="21" t="str">
        <f>VLOOKUP('Програма-кодове'!S35,Списък!$A$1:$C$209,3,FALSE)</f>
        <v>бълг. език</v>
      </c>
      <c r="I283" s="87" t="str">
        <f>IF(OR(H283="история",H283="свят и личност",H283= "география",H283="химия",H283="биология",H283="физика",H283="философия"),"+","-")</f>
        <v>-</v>
      </c>
      <c r="J283" s="12" t="str">
        <f>VLOOKUP('Програма-кодове'!T35,Списък!$A$1:$C$209,3,FALSE)</f>
        <v>математика</v>
      </c>
      <c r="K283" s="87" t="str">
        <f>IF(OR(J283="история",J283="свят и личност",J283= "география",J283="химия",J283="биология",J283="физика",J283="философия"),"+","-")</f>
        <v>-</v>
      </c>
      <c r="L283" s="46"/>
      <c r="M283" s="46"/>
    </row>
    <row r="284" spans="1:41" ht="11.95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1.95" customHeight="1">
      <c r="C285" s="88">
        <f>COUNTIF(C278:C283,"+")/6</f>
        <v>0.5</v>
      </c>
      <c r="D285" s="21"/>
      <c r="E285" s="88">
        <f>COUNTIF(E278:E283,"+")/6</f>
        <v>0.5</v>
      </c>
      <c r="G285" s="88">
        <f>COUNTIF(G278:G283,"+")/6</f>
        <v>0.16666666666666666</v>
      </c>
      <c r="H285" s="21"/>
      <c r="I285" s="88">
        <f>COUNTIF(I278:I283,"+")/6</f>
        <v>0.33333333333333331</v>
      </c>
      <c r="K285" s="88">
        <f>COUNTIF(K278:K283,"+")/6</f>
        <v>0.33333333333333331</v>
      </c>
      <c r="L285" s="46" t="s">
        <v>94</v>
      </c>
      <c r="M285" s="47">
        <f>(C285+E285+G285+I285+K285)/5</f>
        <v>0.36666666666666664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1.95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1.95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английски език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физкултура</v>
      </c>
      <c r="G288" s="87" t="str">
        <f>IF(OR(F288="история",F288="свят и личност",F288= "география",F288="химия",F288="биология",F288="физика",F288="философия"),"+","-")</f>
        <v>-</v>
      </c>
      <c r="H288" s="12" t="str">
        <f>VLOOKUP('Програма-кодове'!X30,Списък!$A$1:$C$209,3,FALSE)</f>
        <v>английски език</v>
      </c>
      <c r="I288" s="87" t="str">
        <f>IF(OR(H288="история",H288="свят и личност",H288= "география",H288="химия",H288="биология",H288="физика",H288="философия"),"+","-")</f>
        <v>-</v>
      </c>
      <c r="J288" s="12" t="str">
        <f>VLOOKUP('Програма-кодове'!Y30,Списък!$A$1:$C$209,3,FALSE)</f>
        <v>история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1.95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история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философия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-</v>
      </c>
      <c r="J289" s="12" t="str">
        <f>VLOOKUP('Програма-кодове'!Y31,Списък!$A$1:$C$209,3,FALSE)</f>
        <v>биология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-</v>
      </c>
      <c r="L289" s="46"/>
      <c r="M289" s="46"/>
    </row>
    <row r="290" spans="1:41" ht="11.95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история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биология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-</v>
      </c>
      <c r="H290" s="12" t="str">
        <f>VLOOKUP('Програма-кодове'!X32,Списък!$A$1:$C$209,3,FALSE)</f>
        <v>химия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-</v>
      </c>
      <c r="J290" s="12" t="str">
        <f>VLOOKUP('Програма-кодове'!Y32,Списък!$A$1:$C$209,3,FALSE)</f>
        <v>математика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+</v>
      </c>
      <c r="L290" s="46"/>
      <c r="M290" s="46"/>
    </row>
    <row r="291" spans="1:41" ht="11.95" customHeight="1">
      <c r="A291" s="13">
        <v>4</v>
      </c>
      <c r="B291" s="12" t="str">
        <f>VLOOKUP('Програма-кодове'!U33,Списък!$A$1:$C$209,3,FALSE)</f>
        <v>математика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+</v>
      </c>
      <c r="D291" s="12" t="str">
        <f>VLOOKUP('Програма-кодове'!V33,Списък!$A$1:$C$209,3,FALSE)</f>
        <v>математика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философия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-</v>
      </c>
      <c r="H291" s="12" t="str">
        <f>VLOOKUP('Програма-кодове'!X33,Списък!$A$1:$C$209,3,FALSE)</f>
        <v>немски език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английски език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+</v>
      </c>
      <c r="L291" s="46"/>
      <c r="M291" s="46"/>
    </row>
    <row r="292" spans="1:41" ht="11.95" customHeight="1">
      <c r="A292" s="13">
        <v>5</v>
      </c>
      <c r="B292" s="12" t="str">
        <f>VLOOKUP('Програма-кодове'!U34,Списък!$A$1:$C$209,3,FALSE)</f>
        <v>математика</v>
      </c>
      <c r="C292" s="87" t="str">
        <f>IF(OR(B292="физкултура",B292="музика",B292="рисуване",B292="ИТ/ДБТ",B292="домашен бит и техника"),"+","-")</f>
        <v>-</v>
      </c>
      <c r="D292" s="12" t="str">
        <f>VLOOKUP('Програма-кодове'!V34,Списък!$A$1:$C$209,3,FALSE)</f>
        <v>математика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английски език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история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философия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1.95" customHeight="1">
      <c r="A293" s="13">
        <v>6</v>
      </c>
      <c r="B293" s="12" t="str">
        <f>VLOOKUP('Програма-кодове'!U35,Списък!$A$1:$C$209,3,FALSE)</f>
        <v>история</v>
      </c>
      <c r="C293" s="87" t="str">
        <f>IF(OR(B293="история",B293="свят и личност",B293= "география",B293="химия",B293="биология",B293="физика",B293="философия"),"+","-")</f>
        <v>+</v>
      </c>
      <c r="D293" s="12" t="str">
        <f>VLOOKUP('Програма-кодове'!V35,Списък!$A$1:$C$209,3,FALSE)</f>
        <v>философия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английски език</v>
      </c>
      <c r="G293" s="87" t="str">
        <f>IF(OR(F293="история",F293="свят и личност",F293= "география",F293="химия",F293="биология",F293="физика",F293="философия"),"+","-")</f>
        <v>-</v>
      </c>
      <c r="H293" s="12" t="str">
        <f>VLOOKUP('Програма-кодове'!X35,Списък!$A$1:$C$209,3,FALSE)</f>
        <v>математика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химия</v>
      </c>
      <c r="K293" s="87" t="str">
        <f>IF(OR(J293="история",J293="свят и личност",J293= "география",J293="химия",J293="биология",J293="физика",J293="философия"),"+","-")</f>
        <v>+</v>
      </c>
      <c r="L293" s="46"/>
      <c r="M293" s="46"/>
    </row>
    <row r="294" spans="1:41" ht="11.95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1.95" customHeight="1">
      <c r="C295" s="88">
        <f>COUNTIF(C288:C293,"+")/6</f>
        <v>0.66666666666666663</v>
      </c>
      <c r="E295" s="88">
        <f>COUNTIF(E288:E293,"+")/6</f>
        <v>0.5</v>
      </c>
      <c r="G295" s="88">
        <f>COUNTIF(G288:G293,"+")/6</f>
        <v>0</v>
      </c>
      <c r="I295" s="88">
        <f>COUNTIF(I288:I293,"+")/6</f>
        <v>0.16666666666666666</v>
      </c>
      <c r="K295" s="88">
        <f>COUNTIF(K288:K293,"+")/6</f>
        <v>0.66666666666666663</v>
      </c>
      <c r="L295" s="46" t="s">
        <v>94</v>
      </c>
      <c r="M295" s="47">
        <f>(C295+E295+G295+I295+K295)/5</f>
        <v>0.4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1.95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1.95" customHeight="1">
      <c r="A298" s="13">
        <v>1</v>
      </c>
      <c r="B298" s="12" t="str">
        <f>VLOOKUP('Програма-кодове'!Z30,Списък!$A$1:$C$209,3,FALSE)</f>
        <v>математика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математика</v>
      </c>
      <c r="E298" s="87" t="str">
        <f>IF(OR(D298="история",D298="свят и личност",D298= "география",D298="химия",D298="биология",D298="физика",D298="философия"),"+","-")</f>
        <v>-</v>
      </c>
      <c r="F298" s="12" t="str">
        <f>VLOOKUP('Програма-кодове'!AB30,Списък!$A$1:$C$209,3,FALSE)</f>
        <v>бълг. език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немски език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биология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1.95" customHeight="1">
      <c r="A299" s="13">
        <v>2</v>
      </c>
      <c r="B299" s="12" t="str">
        <f>VLOOKUP('Програма-кодове'!Z31,Списък!$A$1:$C$209,3,FALSE)</f>
        <v>физкултура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-</v>
      </c>
      <c r="D299" s="12" t="str">
        <f>VLOOKUP('Програма-кодове'!AA31,Списък!$A$1:$C$209,3,FALSE)</f>
        <v>математика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английски език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немски език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бълг. език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+</v>
      </c>
      <c r="L299" s="46"/>
      <c r="M299" s="46"/>
    </row>
    <row r="300" spans="1:41" ht="11.95" customHeight="1">
      <c r="A300" s="13">
        <v>3</v>
      </c>
      <c r="B300" s="12" t="str">
        <f>VLOOKUP('Програма-кодове'!Z32,Списък!$A$1:$C$209,3,FALSE)</f>
        <v>ІІ - ри чужд език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информатика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+</v>
      </c>
      <c r="F300" s="12" t="str">
        <f>VLOOKUP('Програма-кодове'!AB32,Списък!$A$1:$C$209,3,FALSE)</f>
        <v>ІІ - ри чужд език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бълг. език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1.95" customHeight="1">
      <c r="A301" s="13">
        <v>4</v>
      </c>
      <c r="B301" s="12" t="str">
        <f>VLOOKUP('Програма-кодове'!Z33,Списък!$A$1:$C$209,3,FALSE)</f>
        <v>ІІ - ри чужд език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английски език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ІІ - ри чужд език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математика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математика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+</v>
      </c>
      <c r="L301" s="46"/>
      <c r="M301" s="46"/>
    </row>
    <row r="302" spans="1:41" ht="11.95" customHeight="1">
      <c r="A302" s="13">
        <v>5</v>
      </c>
      <c r="B302" s="12" t="str">
        <f>VLOOKUP('Програма-кодове'!Z34,Списък!$A$1:$C$209,3,FALSE)</f>
        <v>английски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ІІ - ри чужд език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математика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информатика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1.95" customHeight="1">
      <c r="A303" s="13">
        <v>6</v>
      </c>
      <c r="B303" s="12" t="str">
        <f>VLOOKUP('Програма-кодове'!Z35,Списък!$A$1:$C$209,3,FALSE)</f>
        <v>информатика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ІІ - ри чужд език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математика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английски език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1.95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1.95" customHeight="1">
      <c r="C305" s="88">
        <f>COUNTIF(C298:C303,"+")/6</f>
        <v>0.33333333333333331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0.66666666666666663</v>
      </c>
      <c r="L305" s="46" t="s">
        <v>94</v>
      </c>
      <c r="M305" s="47">
        <f>(C305+E305+G305+I305+K305)/5</f>
        <v>0.5</v>
      </c>
    </row>
    <row r="306" spans="1:14">
      <c r="A306" s="439" t="s">
        <v>99</v>
      </c>
      <c r="B306" s="439"/>
      <c r="C306" s="439"/>
      <c r="D306" s="439"/>
      <c r="E306" s="439"/>
      <c r="F306" s="439"/>
      <c r="G306" s="439"/>
      <c r="H306" s="439"/>
      <c r="I306" s="439"/>
      <c r="J306" s="439"/>
      <c r="K306" s="439"/>
      <c r="L306" s="439"/>
      <c r="M306" s="57">
        <f>AVERAGE(A255:K255,A265:K265,A275:K275,A285:K285,A295:K295,A305:K305)</f>
        <v>0.43707482993197272</v>
      </c>
      <c r="N306" s="62"/>
    </row>
    <row r="307" spans="1:14">
      <c r="J307" s="441" t="s">
        <v>101</v>
      </c>
      <c r="K307" s="441"/>
      <c r="L307" s="441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440" t="s">
        <v>107</v>
      </c>
      <c r="C309" s="440"/>
      <c r="D309" s="440"/>
      <c r="E309" s="440"/>
      <c r="F309" s="440"/>
      <c r="G309" s="440"/>
      <c r="H309" s="440"/>
      <c r="I309" s="440"/>
      <c r="J309" s="440"/>
      <c r="K309" s="440"/>
      <c r="L309" s="49"/>
      <c r="M309" s="48"/>
    </row>
    <row r="310" spans="1:14">
      <c r="B310" s="46"/>
      <c r="C310" s="55" t="s">
        <v>102</v>
      </c>
      <c r="D310" s="55"/>
      <c r="E310" s="55" t="s">
        <v>103</v>
      </c>
      <c r="F310" s="55"/>
      <c r="G310" s="55" t="s">
        <v>104</v>
      </c>
      <c r="H310" s="55"/>
      <c r="I310" s="55" t="s">
        <v>105</v>
      </c>
      <c r="J310" s="54"/>
      <c r="K310" s="54" t="s">
        <v>106</v>
      </c>
      <c r="L310" s="49"/>
      <c r="M310" s="48"/>
    </row>
    <row r="311" spans="1:14">
      <c r="B311" s="53" t="s">
        <v>156</v>
      </c>
      <c r="C311" s="89">
        <f>(M10+M71+M132+M193+M255)/5</f>
        <v>0.31111111111111106</v>
      </c>
      <c r="D311" s="45"/>
      <c r="E311" s="50">
        <f>AVERAGE(E10,E71,E132,E193,E255)</f>
        <v>0.36666666666666664</v>
      </c>
      <c r="F311" s="45"/>
      <c r="G311" s="50">
        <f>AVERAGE(G10,G71,G132,G193,G255)</f>
        <v>0.23333333333333334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0.33333333333333331</v>
      </c>
      <c r="D312" s="51"/>
      <c r="E312" s="50">
        <f>AVERAGE(E20,E81,E142,E203,E265)</f>
        <v>0.45238095238095238</v>
      </c>
      <c r="F312" s="51"/>
      <c r="G312" s="50">
        <f>AVERAGE(G20,G81,G142,G203,G265)</f>
        <v>0.45238095238095238</v>
      </c>
      <c r="H312" s="51"/>
      <c r="I312" s="50">
        <f>AVERAGE(I20,I81,I142,I203,I265)</f>
        <v>0.54285714285714293</v>
      </c>
      <c r="J312" s="51"/>
      <c r="K312" s="50">
        <f>AVERAGE(K20,K81,K142,K203,K265)</f>
        <v>0.54285714285714293</v>
      </c>
    </row>
    <row r="313" spans="1:14">
      <c r="A313" s="52"/>
      <c r="B313" s="53">
        <v>9</v>
      </c>
      <c r="C313" s="50">
        <f>AVERAGE(C30,C91,C152,C213,C275)</f>
        <v>0.419047619047619</v>
      </c>
      <c r="D313" s="51"/>
      <c r="E313" s="50">
        <f>AVERAGE(E30,E91,E152,E213,E275)</f>
        <v>0.62857142857142856</v>
      </c>
      <c r="G313" s="50">
        <f>AVERAGE(G30,G91,G152,G213,G275)</f>
        <v>0.40476190476190477</v>
      </c>
      <c r="I313" s="50">
        <f>AVERAGE(I30,I91,I152,I213,I275)</f>
        <v>0.38571428571428573</v>
      </c>
      <c r="K313" s="50">
        <f>AVERAGE(K30,K91,K152,K213,K275)</f>
        <v>0.37142857142857139</v>
      </c>
    </row>
    <row r="314" spans="1:14">
      <c r="A314" s="52"/>
      <c r="B314" s="53">
        <v>10</v>
      </c>
      <c r="C314" s="50">
        <f>AVERAGE(C40,C101,C162,C223,C285)</f>
        <v>0.39047619047619048</v>
      </c>
      <c r="D314" s="51"/>
      <c r="E314" s="50">
        <f>AVERAGE(E40,E101,E162,E223,E285)</f>
        <v>0.39047619047619048</v>
      </c>
      <c r="G314" s="50">
        <f>AVERAGE(G40,G101,G162,G223,G285)</f>
        <v>0.29523809523809524</v>
      </c>
      <c r="I314" s="50">
        <f>AVERAGE(I40,I101,I162,I223,I285)</f>
        <v>0.36190476190476184</v>
      </c>
      <c r="K314" s="50">
        <f>AVERAGE(K40,K101,K162,K223,K285)</f>
        <v>0.44761904761904764</v>
      </c>
    </row>
    <row r="315" spans="1:14">
      <c r="A315" s="52"/>
      <c r="B315" s="53">
        <v>11</v>
      </c>
      <c r="C315" s="50">
        <f>AVERAGE(C50,C111,C172,C233,C295)</f>
        <v>0.51904761904761898</v>
      </c>
      <c r="D315" s="51"/>
      <c r="E315" s="50">
        <f>AVERAGE(E50,E111,E172,E233,E295)</f>
        <v>0.45238095238095238</v>
      </c>
      <c r="G315" s="50">
        <f>AVERAGE(G50,G111,G172,G233,G295)</f>
        <v>0.29523809523809519</v>
      </c>
      <c r="I315" s="50">
        <f>AVERAGE(I50,I111,I172,I233,I295)</f>
        <v>0.50952380952380949</v>
      </c>
      <c r="K315" s="50">
        <f>AVERAGE(K50,K111,K172,K233,K295)</f>
        <v>0.46666666666666662</v>
      </c>
    </row>
    <row r="316" spans="1:14">
      <c r="A316" s="52"/>
      <c r="B316" s="53">
        <v>12</v>
      </c>
      <c r="C316" s="50">
        <f>AVERAGE(C60,C121,C182,C243,C305)</f>
        <v>0.45238095238095238</v>
      </c>
      <c r="D316" s="51"/>
      <c r="E316" s="50">
        <f>AVERAGE(E60,E121,E182,E243,E305)</f>
        <v>0.4904761904761904</v>
      </c>
      <c r="G316" s="50">
        <f>AVERAGE(G60,G121,G182,G243,G305)</f>
        <v>0.51428571428571423</v>
      </c>
      <c r="I316" s="50">
        <f>AVERAGE(I60,I121,I182,I243,I305)</f>
        <v>0.48095238095238091</v>
      </c>
      <c r="K316" s="50">
        <f>AVERAGE(K60,K121,K182,K243,K305)</f>
        <v>0.4904761904761904</v>
      </c>
    </row>
    <row r="317" spans="1:14">
      <c r="K317" s="50"/>
    </row>
    <row r="318" spans="1:14">
      <c r="B318" s="12" t="s">
        <v>182</v>
      </c>
    </row>
    <row r="319" spans="1:14">
      <c r="B319" s="12" t="s">
        <v>167</v>
      </c>
    </row>
    <row r="320" spans="1:14">
      <c r="B320" s="12" t="s">
        <v>178</v>
      </c>
    </row>
    <row r="321" spans="2:2">
      <c r="B321" s="12" t="s">
        <v>179</v>
      </c>
    </row>
    <row r="322" spans="2:2">
      <c r="B322" s="12" t="s">
        <v>180</v>
      </c>
    </row>
    <row r="323" spans="2:2">
      <c r="B323" s="12" t="s">
        <v>181</v>
      </c>
    </row>
    <row r="324" spans="2:2">
      <c r="B324" s="12" t="s">
        <v>183</v>
      </c>
    </row>
    <row r="326" spans="2:2">
      <c r="B326" s="12" t="s">
        <v>197</v>
      </c>
    </row>
  </sheetData>
  <mergeCells count="12">
    <mergeCell ref="A246:M246"/>
    <mergeCell ref="A244:L244"/>
    <mergeCell ref="B309:K309"/>
    <mergeCell ref="J307:L307"/>
    <mergeCell ref="A306:L306"/>
    <mergeCell ref="A1:M1"/>
    <mergeCell ref="A123:M123"/>
    <mergeCell ref="A184:M184"/>
    <mergeCell ref="A122:L122"/>
    <mergeCell ref="A183:L183"/>
    <mergeCell ref="A62:M62"/>
    <mergeCell ref="A61:L6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R293"/>
  <sheetViews>
    <sheetView topLeftCell="A283" zoomScale="145" zoomScaleNormal="145" workbookViewId="0">
      <selection activeCell="A283" sqref="A283:G287"/>
    </sheetView>
  </sheetViews>
  <sheetFormatPr defaultColWidth="9.125" defaultRowHeight="13.1"/>
  <cols>
    <col min="1" max="1" width="2.25" style="21" customWidth="1"/>
    <col min="2" max="2" width="2.625" style="43" customWidth="1"/>
    <col min="3" max="7" width="18.75" style="21" customWidth="1"/>
    <col min="8" max="16384" width="9.125" style="21"/>
  </cols>
  <sheetData>
    <row r="1" spans="1:7" ht="44.2" customHeight="1"/>
    <row r="2" spans="1:7" ht="34.700000000000003">
      <c r="A2" s="446" t="s">
        <v>187</v>
      </c>
      <c r="B2" s="446"/>
      <c r="C2" s="446"/>
      <c r="D2" s="446"/>
      <c r="E2" s="446"/>
      <c r="F2" s="446"/>
      <c r="G2" s="446"/>
    </row>
    <row r="3" spans="1:7" ht="38.950000000000003" customHeight="1">
      <c r="A3" s="443" t="s">
        <v>188</v>
      </c>
      <c r="B3" s="443"/>
      <c r="C3" s="443"/>
      <c r="D3" s="443"/>
      <c r="E3" s="443"/>
      <c r="F3" s="443"/>
      <c r="G3" s="443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8" customHeight="1">
      <c r="A5" s="118"/>
      <c r="B5" s="118"/>
      <c r="C5" s="118"/>
      <c r="D5" s="118"/>
      <c r="E5" s="119" t="s">
        <v>196</v>
      </c>
      <c r="F5" s="119"/>
      <c r="G5" s="119"/>
    </row>
    <row r="6" spans="1:7" ht="21.8" customHeight="1">
      <c r="A6" s="118"/>
      <c r="B6" s="118"/>
      <c r="C6" s="118"/>
      <c r="E6" s="119" t="s">
        <v>192</v>
      </c>
      <c r="G6" s="118"/>
    </row>
    <row r="7" spans="1:7" ht="21.8" customHeight="1">
      <c r="A7" s="118"/>
      <c r="B7" s="118"/>
      <c r="C7" s="118"/>
      <c r="E7" s="119" t="s">
        <v>193</v>
      </c>
      <c r="G7" s="118"/>
    </row>
    <row r="8" spans="1:7" ht="21.8" customHeight="1">
      <c r="A8" s="118"/>
      <c r="B8" s="118"/>
      <c r="C8" s="118"/>
      <c r="E8" s="119" t="s">
        <v>194</v>
      </c>
      <c r="G8" s="118"/>
    </row>
    <row r="9" spans="1:7" ht="21.8" customHeight="1">
      <c r="A9" s="118"/>
      <c r="B9" s="118"/>
      <c r="C9" s="118"/>
      <c r="E9" s="119" t="s">
        <v>195</v>
      </c>
      <c r="G9" s="118"/>
    </row>
    <row r="10" spans="1:7" ht="60.05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444" t="s">
        <v>189</v>
      </c>
      <c r="B11" s="445"/>
      <c r="C11" s="445"/>
      <c r="D11" s="445"/>
      <c r="E11" s="445"/>
      <c r="F11" s="445"/>
      <c r="G11" s="445"/>
    </row>
    <row r="12" spans="1:7" ht="88.55" customHeight="1"/>
    <row r="13" spans="1:7" ht="34.549999999999997" customHeight="1">
      <c r="A13" s="447" t="s">
        <v>191</v>
      </c>
      <c r="B13" s="447"/>
      <c r="C13" s="447"/>
      <c r="D13" s="447"/>
      <c r="E13" s="447"/>
      <c r="F13" s="447"/>
      <c r="G13" s="447"/>
    </row>
    <row r="14" spans="1:7" ht="51.75" customHeight="1">
      <c r="A14" s="446" t="s">
        <v>379</v>
      </c>
      <c r="B14" s="446"/>
      <c r="C14" s="446"/>
      <c r="D14" s="446"/>
      <c r="E14" s="446"/>
      <c r="F14" s="446"/>
      <c r="G14" s="446"/>
    </row>
    <row r="15" spans="1:7" ht="84.8" customHeight="1"/>
    <row r="16" spans="1:7" ht="27.85" customHeight="1">
      <c r="F16" s="120" t="s">
        <v>190</v>
      </c>
      <c r="G16" s="121"/>
    </row>
    <row r="17" spans="1:7" ht="28.15">
      <c r="E17" s="122"/>
      <c r="F17" s="123"/>
      <c r="G17" s="120" t="s">
        <v>329</v>
      </c>
    </row>
    <row r="18" spans="1:7" ht="13.75" thickBot="1"/>
    <row r="19" spans="1:7" ht="13.7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129</v>
      </c>
      <c r="G19" s="116" t="s">
        <v>28</v>
      </c>
    </row>
    <row r="20" spans="1:7" ht="12.8" customHeight="1">
      <c r="A20" s="442" t="s">
        <v>128</v>
      </c>
      <c r="B20" s="43">
        <v>1</v>
      </c>
      <c r="C20" s="21" t="str">
        <f>VLOOKUP('Програма-кодове'!C2,Списък!$A$1:$C$210,3,FALSE)</f>
        <v>математика</v>
      </c>
      <c r="D20" s="21" t="str">
        <f>VLOOKUP('Програма-кодове'!C9,Списък!$A$1:$C$210,3,FALSE)</f>
        <v>бълг. език</v>
      </c>
      <c r="E20" s="21" t="str">
        <f>VLOOKUP('Програма-кодове'!C16,Списък!$A$1:$C$210,3,FALSE)</f>
        <v>немски език</v>
      </c>
      <c r="F20" s="21" t="str">
        <f>VLOOKUP('Програма-кодове'!C23,Списък!$A$1:$C$209,3,FALSE)</f>
        <v>бълг. език</v>
      </c>
      <c r="G20" s="21" t="str">
        <f>VLOOKUP('Програма-кодове'!C30,Списък!$A$1:$C$209,3,FALSE)</f>
        <v>ИТ/ТП</v>
      </c>
    </row>
    <row r="21" spans="1:7">
      <c r="A21" s="442"/>
      <c r="B21" s="43">
        <v>2</v>
      </c>
      <c r="C21" s="21" t="str">
        <f>VLOOKUP('Програма-кодове'!C3,Списък!$A$1:$C$210,3,FALSE)</f>
        <v>математика</v>
      </c>
      <c r="D21" s="21" t="str">
        <f>VLOOKUP('Програма-кодове'!C10,Списък!$A$1:$C$210,3,FALSE)</f>
        <v>физика</v>
      </c>
      <c r="E21" s="21" t="str">
        <f>VLOOKUP('Програма-кодове'!C17,Списък!$A$1:$C$210,3,FALSE)</f>
        <v>история</v>
      </c>
      <c r="F21" s="21" t="str">
        <f>VLOOKUP('Програма-кодове'!C24,Списък!$A$1:$C$209,3,FALSE)</f>
        <v>бълг. език</v>
      </c>
      <c r="G21" s="21" t="str">
        <f>VLOOKUP('Програма-кодове'!C31,Списък!$A$1:$C$209,3,FALSE)</f>
        <v>математика</v>
      </c>
    </row>
    <row r="22" spans="1:7">
      <c r="A22" s="442"/>
      <c r="B22" s="43">
        <v>3</v>
      </c>
      <c r="C22" s="21" t="str">
        <f>VLOOKUP('Програма-кодове'!C4,Списък!$A$1:$C$210,3,FALSE)</f>
        <v>немски език</v>
      </c>
      <c r="D22" s="21" t="str">
        <f>VLOOKUP('Програма-кодове'!C11,Списък!$A$1:$C$210,3,FALSE)</f>
        <v>ИТ/ТП</v>
      </c>
      <c r="E22" s="21" t="str">
        <f>VLOOKUP('Програма-кодове'!C18,Списък!$A$1:$C$210,3,FALSE)</f>
        <v>бълг. език</v>
      </c>
      <c r="F22" s="21" t="str">
        <f>VLOOKUP('Програма-кодове'!C25,Списък!$A$1:$C$209,3,FALSE)</f>
        <v>немски език</v>
      </c>
      <c r="G22" s="21" t="str">
        <f>VLOOKUP('Програма-кодове'!C32,Списък!$A$1:$C$209,3,FALSE)</f>
        <v>физика</v>
      </c>
    </row>
    <row r="23" spans="1:7">
      <c r="A23" s="442"/>
      <c r="B23" s="43">
        <v>4</v>
      </c>
      <c r="C23" s="21" t="str">
        <f>VLOOKUP('Програма-кодове'!C5,Списък!$A$1:$C$210,3,FALSE)</f>
        <v>музика</v>
      </c>
      <c r="D23" s="21" t="str">
        <f>VLOOKUP('Програма-кодове'!C12,Списък!$A$1:$C$210,3,FALSE)</f>
        <v>музика</v>
      </c>
      <c r="E23" s="21" t="str">
        <f>VLOOKUP('Програма-кодове'!C19,Списък!$A$1:$C$210,3,FALSE)</f>
        <v>физкултура</v>
      </c>
      <c r="F23" s="21" t="str">
        <f>VLOOKUP('Програма-кодове'!C26,Списък!$A$1:$C$209,3,FALSE)</f>
        <v>история</v>
      </c>
      <c r="G23" s="21" t="str">
        <f>VLOOKUP('Програма-кодове'!C33,Списък!$A$1:$C$209,3,FALSE)</f>
        <v>информатика</v>
      </c>
    </row>
    <row r="24" spans="1:7">
      <c r="A24" s="442"/>
      <c r="B24" s="43">
        <v>5</v>
      </c>
      <c r="C24" s="21" t="str">
        <f>VLOOKUP('Програма-кодове'!C6,Списък!$A$1:$C$210,3,FALSE)</f>
        <v>география</v>
      </c>
      <c r="D24" s="21" t="str">
        <f>VLOOKUP('Програма-кодове'!C13,Списък!$A$1:$C$210,3,FALSE)</f>
        <v>информатика</v>
      </c>
      <c r="E24" s="21" t="str">
        <f>VLOOKUP('Програма-кодове'!C20,Списък!$A$1:$C$210,3,FALSE)</f>
        <v>рисуване</v>
      </c>
      <c r="F24" s="21" t="str">
        <f>VLOOKUP('Програма-кодове'!C27,Списък!$A$1:$C$209,3,FALSE)</f>
        <v>рисуване</v>
      </c>
      <c r="G24" s="21" t="str">
        <f>VLOOKUP('Програма-кодове'!C34,Списък!$A$1:$C$209,3,FALSE)</f>
        <v>бълг. език</v>
      </c>
    </row>
    <row r="25" spans="1:7">
      <c r="A25" s="442"/>
      <c r="B25" s="43">
        <v>6</v>
      </c>
      <c r="C25" s="21" t="str">
        <f>VLOOKUP('Програма-кодове'!C7,Списък!$A$1:$C$210,3,FALSE)</f>
        <v>физика</v>
      </c>
      <c r="D25" s="21" t="str">
        <f>VLOOKUP('Програма-кодове'!C14,Списък!$A$1:$C$210,3,FALSE)</f>
        <v>математика</v>
      </c>
      <c r="E25" s="21" t="str">
        <f>VLOOKUP('Програма-кодове'!C21,Списък!$A$1:$C$210,3,FALSE)</f>
        <v>математика</v>
      </c>
      <c r="F25" s="21" t="str">
        <f>VLOOKUP('Програма-кодове'!C28,Списък!$A$1:$C$209,3,FALSE)</f>
        <v>математика</v>
      </c>
      <c r="G25" s="21" t="str">
        <f>VLOOKUP('Програма-кодове'!C35,Списък!$A$1:$C$209,3,FALSE)</f>
        <v>физкултура</v>
      </c>
    </row>
    <row r="26" spans="1:7">
      <c r="A26" s="442"/>
      <c r="B26" s="43">
        <v>7</v>
      </c>
      <c r="E26" s="21" t="s">
        <v>59</v>
      </c>
    </row>
    <row r="27" spans="1:7" ht="13.75" thickBot="1">
      <c r="A27" s="442"/>
    </row>
    <row r="28" spans="1:7" ht="12.8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129</v>
      </c>
      <c r="G28" s="116" t="s">
        <v>28</v>
      </c>
    </row>
    <row r="29" spans="1:7" ht="12.8" customHeight="1">
      <c r="A29" s="442" t="s">
        <v>130</v>
      </c>
      <c r="B29" s="43">
        <v>1</v>
      </c>
      <c r="C29" s="21" t="str">
        <f>VLOOKUP('Програма-кодове'!D2,Списък!$A$1:$C$210,3,FALSE)</f>
        <v>география</v>
      </c>
      <c r="D29" s="21" t="str">
        <f>VLOOKUP('Програма-кодове'!D9,Списък!$A$1:$C$210,3,FALSE)</f>
        <v>английски език</v>
      </c>
      <c r="E29" s="21" t="str">
        <f>VLOOKUP('Програма-кодове'!D16,Списък!$A$1:$C$210,3,FALSE)</f>
        <v>музика</v>
      </c>
      <c r="F29" s="21" t="str">
        <f>VLOOKUP('Програма-кодове'!D23,Списък!$A$1:$C$209,3,FALSE)</f>
        <v>английски език</v>
      </c>
      <c r="G29" s="21" t="str">
        <f>VLOOKUP('Програма-кодове'!D30,Списък!$A$1:$C$209,3,FALSE)</f>
        <v>математика</v>
      </c>
    </row>
    <row r="30" spans="1:7" ht="12.8" customHeight="1">
      <c r="A30" s="442"/>
      <c r="B30" s="43">
        <v>2</v>
      </c>
      <c r="C30" s="21" t="str">
        <f>VLOOKUP('Програма-кодове'!D3,Списък!$A$1:$C$210,3,FALSE)</f>
        <v>история</v>
      </c>
      <c r="D30" s="21" t="str">
        <f>VLOOKUP('Програма-кодове'!D10,Списък!$A$1:$C$210,3,FALSE)</f>
        <v>история</v>
      </c>
      <c r="E30" s="21" t="str">
        <f>VLOOKUP('Програма-кодове'!D17,Списък!$A$1:$C$210,3,FALSE)</f>
        <v>бълг. език</v>
      </c>
      <c r="F30" s="21" t="str">
        <f>VLOOKUP('Програма-кодове'!D24,Списък!$A$1:$C$209,3,FALSE)</f>
        <v>бълг. език</v>
      </c>
      <c r="G30" s="21" t="str">
        <f>VLOOKUP('Програма-кодове'!D31,Списък!$A$1:$C$209,3,FALSE)</f>
        <v>ИТ/ИТ</v>
      </c>
    </row>
    <row r="31" spans="1:7" ht="12.8" customHeight="1">
      <c r="A31" s="442"/>
      <c r="B31" s="43">
        <v>3</v>
      </c>
      <c r="C31" s="21" t="str">
        <f>VLOOKUP('Програма-кодове'!D4,Списък!$A$1:$C$210,3,FALSE)</f>
        <v>английски език</v>
      </c>
      <c r="D31" s="21" t="str">
        <f>VLOOKUP('Програма-кодове'!D11,Списък!$A$1:$C$210,3,FALSE)</f>
        <v>математика</v>
      </c>
      <c r="E31" s="21" t="str">
        <f>VLOOKUP('Програма-кодове'!D18,Списък!$A$1:$C$210,3,FALSE)</f>
        <v>бълг. език</v>
      </c>
      <c r="F31" s="21" t="str">
        <f>VLOOKUP('Програма-кодове'!D25,Списък!$A$1:$C$209,3,FALSE)</f>
        <v>рисуване</v>
      </c>
      <c r="G31" s="21" t="str">
        <f>VLOOKUP('Програма-кодове'!D32,Списък!$A$1:$C$209,3,FALSE)</f>
        <v>ИТ/ТП</v>
      </c>
    </row>
    <row r="32" spans="1:7" ht="12.8" customHeight="1">
      <c r="A32" s="442"/>
      <c r="B32" s="43">
        <v>4</v>
      </c>
      <c r="C32" s="21" t="str">
        <f>VLOOKUP('Програма-кодове'!D5,Списък!$A$1:$C$210,3,FALSE)</f>
        <v>математика</v>
      </c>
      <c r="D32" s="21" t="str">
        <f>VLOOKUP('Програма-кодове'!D12,Списък!$A$1:$C$210,3,FALSE)</f>
        <v>ИТ/ТП</v>
      </c>
      <c r="E32" s="21" t="str">
        <f>VLOOKUP('Програма-кодове'!D19,Списък!$A$1:$C$210,3,FALSE)</f>
        <v>рисуване</v>
      </c>
      <c r="F32" s="21" t="str">
        <f>VLOOKUP('Програма-кодове'!D26,Списък!$A$1:$C$209,3,FALSE)</f>
        <v>математика</v>
      </c>
      <c r="G32" s="21" t="str">
        <f>VLOOKUP('Програма-кодове'!D33,Списък!$A$1:$C$209,3,FALSE)</f>
        <v>бълг. език</v>
      </c>
    </row>
    <row r="33" spans="1:7" ht="12.8" customHeight="1">
      <c r="A33" s="442"/>
      <c r="B33" s="43">
        <v>5</v>
      </c>
      <c r="C33" s="21" t="str">
        <f>VLOOKUP('Програма-кодове'!D6,Списък!$A$1:$C$210,3,FALSE)</f>
        <v>бълг. език</v>
      </c>
      <c r="D33" s="21" t="str">
        <f>VLOOKUP('Програма-кодове'!D13,Списък!$A$1:$C$210,3,FALSE)</f>
        <v>физкултура</v>
      </c>
      <c r="E33" s="21" t="str">
        <f>VLOOKUP('Програма-кодове'!D20,Списък!$A$1:$C$210,3,FALSE)</f>
        <v>физика</v>
      </c>
      <c r="F33" s="21" t="str">
        <f>VLOOKUP('Програма-кодове'!D27,Списък!$A$1:$C$209,3,FALSE)</f>
        <v>математика</v>
      </c>
      <c r="G33" s="21" t="str">
        <f>VLOOKUP('Програма-кодове'!D34,Списък!$A$1:$C$209,3,FALSE)</f>
        <v>физика</v>
      </c>
    </row>
    <row r="34" spans="1:7" ht="12.8" customHeight="1">
      <c r="A34" s="442"/>
      <c r="B34" s="43">
        <v>6</v>
      </c>
      <c r="C34" s="21" t="str">
        <f>VLOOKUP('Програма-кодове'!D7,Списък!$A$1:$C$210,3,FALSE)</f>
        <v>музика</v>
      </c>
      <c r="D34" s="21" t="str">
        <f>VLOOKUP('Програма-кодове'!D14,Списък!$A$1:$C$210,3,FALSE)</f>
        <v>ИТ/ИТ</v>
      </c>
      <c r="E34" s="21" t="str">
        <f>VLOOKUP('Програма-кодове'!D21,Списък!$A$1:$C$210,3,FALSE)</f>
        <v>математика</v>
      </c>
      <c r="F34" s="21" t="str">
        <f>VLOOKUP('Програма-кодове'!D28,Списък!$A$1:$C$209,3,FALSE)</f>
        <v>география</v>
      </c>
      <c r="G34" s="21" t="str">
        <f>VLOOKUP('Програма-кодове'!D35,Списък!$A$1:$C$209,3,FALSE)</f>
        <v>физкултура</v>
      </c>
    </row>
    <row r="35" spans="1:7" ht="12.8" customHeight="1">
      <c r="A35" s="442"/>
      <c r="B35" s="43">
        <v>7</v>
      </c>
      <c r="E35" s="21" t="s">
        <v>59</v>
      </c>
    </row>
    <row r="36" spans="1:7" ht="12.8" customHeight="1" thickBot="1">
      <c r="A36" s="124"/>
    </row>
    <row r="37" spans="1:7" ht="12.8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129</v>
      </c>
      <c r="G37" s="116" t="s">
        <v>28</v>
      </c>
    </row>
    <row r="38" spans="1:7" ht="12.8" customHeight="1">
      <c r="A38" s="442" t="s">
        <v>157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химия</v>
      </c>
      <c r="E38" s="21" t="str">
        <f>VLOOKUP('Програма-кодове'!E16,Списък!$A$1:$C$210,3,FALSE)</f>
        <v>физкултура</v>
      </c>
      <c r="F38" s="21" t="str">
        <f>VLOOKUP('Програма-кодове'!E23,Списък!$A$1:$C$209,3,FALSE)</f>
        <v>бълг. език</v>
      </c>
      <c r="G38" s="21" t="str">
        <f>VLOOKUP('Програма-кодове'!E30,Списък!$A$1:$C$209,3,FALSE)</f>
        <v>математика</v>
      </c>
    </row>
    <row r="39" spans="1:7" ht="12.8" customHeight="1">
      <c r="A39" s="442"/>
      <c r="B39" s="43">
        <v>2</v>
      </c>
      <c r="C39" s="21" t="str">
        <f>VLOOKUP('Програма-кодове'!E3,Списък!$A$1:$C$210,3,FALSE)</f>
        <v>биология</v>
      </c>
      <c r="D39" s="21" t="str">
        <f>VLOOKUP('Програма-кодове'!E10,Списък!$A$1:$C$210,3,FALSE)</f>
        <v>музика</v>
      </c>
      <c r="E39" s="21" t="str">
        <f>VLOOKUP('Програма-кодове'!E17,Списък!$A$1:$C$210,3,FALSE)</f>
        <v>ИТ/ТП</v>
      </c>
      <c r="F39" s="21" t="str">
        <f>VLOOKUP('Програма-кодове'!E24,Списък!$A$1:$C$209,3,FALSE)</f>
        <v>бълг. език</v>
      </c>
      <c r="G39" s="21" t="str">
        <f>VLOOKUP('Програма-кодове'!E31,Списък!$A$1:$C$209,3,FALSE)</f>
        <v>математика</v>
      </c>
    </row>
    <row r="40" spans="1:7" ht="12.8" customHeight="1">
      <c r="A40" s="442"/>
      <c r="B40" s="43">
        <v>3</v>
      </c>
      <c r="C40" s="21" t="str">
        <f>VLOOKUP('Програма-кодове'!E4,Списък!$A$1:$C$210,3,FALSE)</f>
        <v>физкултура</v>
      </c>
      <c r="D40" s="21" t="str">
        <f>VLOOKUP('Програма-кодове'!E11,Списък!$A$1:$C$210,3,FALSE)</f>
        <v>история</v>
      </c>
      <c r="E40" s="21" t="str">
        <f>VLOOKUP('Програма-кодове'!E18,Списък!$A$1:$C$210,3,FALSE)</f>
        <v>математика</v>
      </c>
      <c r="F40" s="21" t="str">
        <f>VLOOKUP('Програма-кодове'!E25,Списък!$A$1:$C$209,3,FALSE)</f>
        <v>английски език</v>
      </c>
      <c r="G40" s="21" t="str">
        <f>VLOOKUP('Програма-кодове'!E32,Списък!$A$1:$C$209,3,FALSE)</f>
        <v>история</v>
      </c>
    </row>
    <row r="41" spans="1:7" ht="12.8" customHeight="1">
      <c r="A41" s="442"/>
      <c r="B41" s="43">
        <v>4</v>
      </c>
      <c r="C41" s="21" t="str">
        <f>VLOOKUP('Програма-кодове'!E5,Списък!$A$1:$C$210,3,FALSE)</f>
        <v>химия</v>
      </c>
      <c r="D41" s="21" t="str">
        <f>VLOOKUP('Програма-кодове'!E12,Списък!$A$1:$C$210,3,FALSE)</f>
        <v>математика</v>
      </c>
      <c r="E41" s="21" t="str">
        <f>VLOOKUP('Програма-кодове'!E19,Списък!$A$1:$C$210,3,FALSE)</f>
        <v>география</v>
      </c>
      <c r="F41" s="21" t="str">
        <f>VLOOKUP('Програма-кодове'!E26,Списък!$A$1:$C$209,3,FALSE)</f>
        <v>биология</v>
      </c>
      <c r="G41" s="21" t="str">
        <f>VLOOKUP('Програма-кодове'!E33,Списък!$A$1:$C$209,3,FALSE)</f>
        <v>география</v>
      </c>
    </row>
    <row r="42" spans="1:7" ht="12.8" customHeight="1">
      <c r="A42" s="442"/>
      <c r="B42" s="43">
        <v>5</v>
      </c>
      <c r="C42" s="21" t="str">
        <f>VLOOKUP('Програма-кодове'!E6,Списък!$A$1:$C$210,3,FALSE)</f>
        <v>бълг. език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бълг. език</v>
      </c>
      <c r="F42" s="21" t="str">
        <f>VLOOKUP('Програма-кодове'!E27,Списък!$A$1:$C$209,3,FALSE)</f>
        <v>математика</v>
      </c>
      <c r="G42" s="21" t="str">
        <f>VLOOKUP('Програма-кодове'!E34,Списък!$A$1:$C$209,3,FALSE)</f>
        <v>бълг. език</v>
      </c>
    </row>
    <row r="43" spans="1:7" ht="12.8" customHeight="1">
      <c r="A43" s="442"/>
      <c r="B43" s="43">
        <v>6</v>
      </c>
      <c r="C43" s="21" t="str">
        <f>VLOOKUP('Програма-кодове'!E7,Списък!$A$1:$C$210,3,FALSE)</f>
        <v>физика</v>
      </c>
      <c r="D43" s="21" t="str">
        <f>VLOOKUP('Програма-кодове'!E14,Списък!$A$1:$C$210,3,FALSE)</f>
        <v>английски език</v>
      </c>
      <c r="E43" s="21" t="str">
        <f>VLOOKUP('Програма-кодове'!E21,Списък!$A$1:$C$210,3,FALSE)</f>
        <v>ИТ/ТП</v>
      </c>
      <c r="F43" s="21" t="str">
        <f>VLOOKUP('Програма-кодове'!E28,Списък!$A$1:$C$209,3,FALSE)</f>
        <v>музика</v>
      </c>
      <c r="G43" s="21" t="str">
        <f>VLOOKUP('Програма-кодове'!E35,Списък!$A$1:$C$209,3,FALSE)</f>
        <v>рисуване</v>
      </c>
    </row>
    <row r="44" spans="1:7" ht="12.8" customHeight="1">
      <c r="A44" s="442"/>
      <c r="B44" s="43">
        <v>7</v>
      </c>
      <c r="C44" s="21" t="str">
        <f>VLOOKUP('Програма-кодове'!E8,Списък!$A$1:$C$210,3,FALSE)</f>
        <v>математика</v>
      </c>
      <c r="E44" s="21" t="s">
        <v>59</v>
      </c>
    </row>
    <row r="45" spans="1:7" ht="12.8" customHeight="1" thickBot="1">
      <c r="A45" s="124"/>
    </row>
    <row r="46" spans="1:7" ht="12.8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129</v>
      </c>
      <c r="G46" s="116" t="s">
        <v>28</v>
      </c>
    </row>
    <row r="47" spans="1:7" ht="12.8" customHeight="1">
      <c r="A47" s="442" t="s">
        <v>131</v>
      </c>
      <c r="B47" s="43">
        <v>1</v>
      </c>
      <c r="C47" s="21" t="str">
        <f>VLOOKUP('Програма-кодове'!F2,Списък!$A$1:$C$210,3,FALSE)</f>
        <v>бълг. език</v>
      </c>
      <c r="D47" s="21" t="str">
        <f>VLOOKUP('Програма-кодове'!F9,Списък!$A$1:$C$210,3,FALSE)</f>
        <v>информатика</v>
      </c>
      <c r="E47" s="21" t="str">
        <f>VLOOKUP('Програма-кодове'!F16,Списък!$A$1:$C$210,3,FALSE)</f>
        <v>рисуване</v>
      </c>
      <c r="F47" s="21" t="str">
        <f>VLOOKUP('Програма-кодове'!F23,Списък!$A$1:$C$209,3,FALSE)</f>
        <v>английски език</v>
      </c>
      <c r="G47" s="21" t="str">
        <f>VLOOKUP('Програма-кодове'!F30,Списък!$A$1:$C$209,3,FALSE)</f>
        <v>английски език</v>
      </c>
    </row>
    <row r="48" spans="1:7" ht="12.8" customHeight="1">
      <c r="A48" s="442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бълг. език</v>
      </c>
      <c r="E48" s="21" t="str">
        <f>VLOOKUP('Програма-кодове'!F17,Списък!$A$1:$C$210,3,FALSE)</f>
        <v>ИТ/ИТ</v>
      </c>
      <c r="F48" s="21" t="str">
        <f>VLOOKUP('Програма-кодове'!F24,Списък!$A$1:$C$209,3,FALSE)</f>
        <v>английски език</v>
      </c>
      <c r="G48" s="21" t="str">
        <f>VLOOKUP('Програма-кодове'!F31,Списък!$A$1:$C$209,3,FALSE)</f>
        <v>английски език</v>
      </c>
    </row>
    <row r="49" spans="1:7" ht="12.8" customHeight="1">
      <c r="A49" s="442"/>
      <c r="B49" s="43">
        <v>3</v>
      </c>
      <c r="C49" s="21" t="str">
        <f>VLOOKUP('Програма-кодове'!F4,Списък!$A$1:$C$210,3,FALSE)</f>
        <v>английски език</v>
      </c>
      <c r="D49" s="21" t="str">
        <f>VLOOKUP('Програма-кодове'!F11,Списък!$A$1:$C$210,3,FALSE)</f>
        <v>математика</v>
      </c>
      <c r="E49" s="21" t="str">
        <f>VLOOKUP('Програма-кодове'!F18,Списък!$A$1:$C$210,3,FALSE)</f>
        <v>математика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8" customHeight="1">
      <c r="A50" s="442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английски език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математика</v>
      </c>
      <c r="G50" s="21" t="str">
        <f>VLOOKUP('Програма-кодове'!F33,Списък!$A$1:$C$209,3,FALSE)</f>
        <v>английски език</v>
      </c>
    </row>
    <row r="51" spans="1:7" ht="12.8" customHeight="1">
      <c r="A51" s="442"/>
      <c r="B51" s="43">
        <v>5</v>
      </c>
      <c r="C51" s="21" t="str">
        <f>VLOOKUP('Програма-кодове'!F6,Списък!$A$1:$C$210,3,FALSE)</f>
        <v>физкултура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английски език</v>
      </c>
      <c r="F51" s="21" t="str">
        <f>VLOOKUP('Програма-кодове'!F27,Списък!$A$1:$C$209,3,FALSE)</f>
        <v>философия</v>
      </c>
      <c r="G51" s="21" t="str">
        <f>VLOOKUP('Програма-кодове'!F34,Списък!$A$1:$C$209,3,FALSE)</f>
        <v>физкултура</v>
      </c>
    </row>
    <row r="52" spans="1:7" ht="12.8" customHeight="1">
      <c r="A52" s="442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английски език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бълг. език</v>
      </c>
      <c r="G52" s="21" t="str">
        <f>VLOOKUP('Програма-кодове'!F35,Списък!$A$1:$C$209,3,FALSE)</f>
        <v>информатика</v>
      </c>
    </row>
    <row r="53" spans="1:7" ht="12.8" customHeight="1">
      <c r="A53" s="442"/>
      <c r="B53" s="43">
        <v>7</v>
      </c>
      <c r="C53" s="21" t="str">
        <f>VLOOKUP('Програма-кодове'!F8,Списък!$A$1:$C$210,3,FALSE)</f>
        <v>английски език</v>
      </c>
      <c r="D53" s="21" t="str">
        <f>VLOOKUP('Програма-кодове'!F15,Списък!$A$1:$C$210,3,FALSE)</f>
        <v>английски език</v>
      </c>
      <c r="E53" s="21" t="s">
        <v>59</v>
      </c>
    </row>
    <row r="54" spans="1:7" ht="12.8" customHeight="1" thickBot="1">
      <c r="A54" s="124"/>
    </row>
    <row r="55" spans="1:7" ht="12.8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129</v>
      </c>
      <c r="G55" s="116" t="s">
        <v>28</v>
      </c>
    </row>
    <row r="56" spans="1:7" ht="12.8" customHeight="1">
      <c r="A56" s="442" t="s">
        <v>132</v>
      </c>
      <c r="B56" s="43">
        <v>1</v>
      </c>
      <c r="C56" s="21" t="str">
        <f>VLOOKUP('Програма-кодове'!G2,Списък!$A$1:$C$210,3,FALSE)</f>
        <v>бълг. език</v>
      </c>
      <c r="D56" s="21" t="str">
        <f>VLOOKUP('Програма-кодове'!G9,Списък!$A$1:$C$210,3,FALSE)</f>
        <v>английски език</v>
      </c>
      <c r="E56" s="21" t="str">
        <f>VLOOKUP('Програма-кодове'!G16,Списък!$A$1:$C$210,3,FALSE)</f>
        <v>английски език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8" customHeight="1">
      <c r="A57" s="442"/>
      <c r="B57" s="43">
        <v>2</v>
      </c>
      <c r="C57" s="21" t="str">
        <f>VLOOKUP('Програма-кодове'!G3,Списък!$A$1:$C$210,3,FALSE)</f>
        <v>бълг. език</v>
      </c>
      <c r="D57" s="21" t="str">
        <f>VLOOKUP('Програма-кодове'!G10,Списък!$A$1:$C$210,3,FALSE)</f>
        <v>английски език</v>
      </c>
      <c r="E57" s="21" t="str">
        <f>VLOOKUP('Програма-кодове'!G17,Списък!$A$1:$C$210,3,FALSE)</f>
        <v>английски език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математика</v>
      </c>
    </row>
    <row r="58" spans="1:7" ht="12.8" customHeight="1">
      <c r="A58" s="442"/>
      <c r="B58" s="43">
        <v>3</v>
      </c>
      <c r="C58" s="21" t="str">
        <f>VLOOKUP('Програма-кодове'!G4,Списък!$A$1:$C$210,3,FALSE)</f>
        <v>физкултура</v>
      </c>
      <c r="D58" s="21" t="str">
        <f>VLOOKUP('Програма-кодове'!G11,Списък!$A$1:$C$210,3,FALSE)</f>
        <v>английски език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английски език</v>
      </c>
    </row>
    <row r="59" spans="1:7" ht="12.8" customHeight="1">
      <c r="A59" s="442"/>
      <c r="B59" s="43">
        <v>4</v>
      </c>
      <c r="C59" s="21" t="str">
        <f>VLOOKUP('Програма-кодове'!G5,Списък!$A$1:$C$210,3,FALSE)</f>
        <v>английски език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ИТ/ИТ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информатика</v>
      </c>
    </row>
    <row r="60" spans="1:7" ht="12.8" customHeight="1">
      <c r="A60" s="442"/>
      <c r="B60" s="43">
        <v>5</v>
      </c>
      <c r="C60" s="21" t="str">
        <f>VLOOKUP('Програма-кодове'!G6,Списък!$A$1:$C$210,3,FALSE)</f>
        <v>английски език</v>
      </c>
      <c r="D60" s="21" t="str">
        <f>VLOOKUP('Програма-кодове'!G13,Списък!$A$1:$C$210,3,FALSE)</f>
        <v>математика</v>
      </c>
      <c r="E60" s="21" t="str">
        <f>VLOOKUP('Програма-кодове'!G20,Списък!$A$1:$C$210,3,FALSE)</f>
        <v>математика</v>
      </c>
      <c r="F60" s="21" t="str">
        <f>VLOOKUP('Програма-кодове'!G27,Списък!$A$1:$C$209,3,FALSE)</f>
        <v>физкултура</v>
      </c>
      <c r="G60" s="21" t="str">
        <f>VLOOKUP('Програма-кодове'!G34,Списък!$A$1:$C$209,3,FALSE)</f>
        <v>английски език</v>
      </c>
    </row>
    <row r="61" spans="1:7" ht="12.8" customHeight="1">
      <c r="A61" s="442"/>
      <c r="B61" s="43">
        <v>6</v>
      </c>
      <c r="C61" s="21" t="str">
        <f>VLOOKUP('Програма-кодове'!G7,Списък!$A$1:$C$210,3,FALSE)</f>
        <v>английски език</v>
      </c>
      <c r="D61" s="21" t="str">
        <f>VLOOKUP('Програма-кодове'!G14,Списък!$A$1:$C$210,3,FALSE)</f>
        <v>информатика</v>
      </c>
      <c r="E61" s="21" t="str">
        <f>VLOOKUP('Програма-кодове'!G21,Списък!$A$1:$C$210,3,FALSE)</f>
        <v>бълг. език</v>
      </c>
      <c r="F61" s="21" t="str">
        <f>VLOOKUP('Програма-кодове'!G28,Списък!$A$1:$C$209,3,FALSE)</f>
        <v>философия</v>
      </c>
      <c r="G61" s="21" t="str">
        <f>VLOOKUP('Програма-кодове'!G35,Списък!$A$1:$C$209,3,FALSE)</f>
        <v>английски език</v>
      </c>
    </row>
    <row r="62" spans="1:7" ht="12.8" customHeight="1">
      <c r="A62" s="442"/>
      <c r="B62" s="43">
        <v>7</v>
      </c>
      <c r="C62" s="21" t="str">
        <f>VLOOKUP('Програма-кодове'!G8,Списък!$A$1:$C$210,3,FALSE)</f>
        <v>английски език</v>
      </c>
      <c r="D62" s="21" t="str">
        <f>VLOOKUP('Програма-кодове'!G15,Списък!$A$1:$C$210,3,FALSE)</f>
        <v>рисуване</v>
      </c>
      <c r="E62" s="21" t="s">
        <v>59</v>
      </c>
    </row>
    <row r="63" spans="1:7" ht="12.8" customHeight="1" thickBot="1">
      <c r="A63" s="124"/>
    </row>
    <row r="64" spans="1:7" ht="12.8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129</v>
      </c>
      <c r="G64" s="116" t="s">
        <v>28</v>
      </c>
    </row>
    <row r="65" spans="1:7" ht="12.8" customHeight="1">
      <c r="A65" s="442" t="s">
        <v>133</v>
      </c>
      <c r="B65" s="43">
        <v>1</v>
      </c>
      <c r="C65" s="21" t="str">
        <f>VLOOKUP('Програма-кодове'!H2,Списък!$A$1:$C$210,3,FALSE)</f>
        <v>математика</v>
      </c>
      <c r="D65" s="21" t="str">
        <f>VLOOKUP('Програма-кодове'!H9,Списък!$A$1:$C$210,3,FALSE)</f>
        <v>математика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математика</v>
      </c>
      <c r="G65" s="21" t="str">
        <f>VLOOKUP('Програма-кодове'!H30,Списък!$A$1:$C$209,3,FALSE)</f>
        <v>английски език</v>
      </c>
    </row>
    <row r="66" spans="1:7" ht="12.8" customHeight="1">
      <c r="A66" s="442"/>
      <c r="B66" s="43">
        <v>2</v>
      </c>
      <c r="C66" s="21" t="str">
        <f>VLOOKUP('Програма-кодове'!H3,Списък!$A$1:$C$210,3,FALSE)</f>
        <v>рисуване</v>
      </c>
      <c r="D66" s="21" t="str">
        <f>VLOOKUP('Програма-кодове'!H10,Списък!$A$1:$C$210,3,FALSE)</f>
        <v>физкултура</v>
      </c>
      <c r="E66" s="21" t="str">
        <f>VLOOKUP('Програма-кодове'!H17,Списък!$A$1:$C$210,3,FALSE)</f>
        <v>английски език</v>
      </c>
      <c r="F66" s="21" t="str">
        <f>VLOOKUP('Програма-кодове'!H24,Списък!$A$1:$C$209,3,FALSE)</f>
        <v>философия</v>
      </c>
      <c r="G66" s="21" t="str">
        <f>VLOOKUP('Програма-кодове'!H31,Списък!$A$1:$C$209,3,FALSE)</f>
        <v>английски език</v>
      </c>
    </row>
    <row r="67" spans="1:7" ht="12.8" customHeight="1">
      <c r="A67" s="442"/>
      <c r="B67" s="43">
        <v>3</v>
      </c>
      <c r="C67" s="21" t="str">
        <f>VLOOKUP('Програма-кодове'!H4,Списък!$A$1:$C$210,3,FALSE)</f>
        <v>бълг. език</v>
      </c>
      <c r="D67" s="21" t="str">
        <f>VLOOKUP('Програма-кодове'!H11,Списък!$A$1:$C$210,3,FALSE)</f>
        <v>информатика</v>
      </c>
      <c r="E67" s="21" t="str">
        <f>VLOOKUP('Програма-кодове'!H18,Списък!$A$1:$C$210,3,FALSE)</f>
        <v>английски език</v>
      </c>
      <c r="F67" s="21" t="str">
        <f>VLOOKUP('Програма-кодове'!H25,Списък!$A$1:$C$209,3,FALSE)</f>
        <v>английски език</v>
      </c>
      <c r="G67" s="21" t="str">
        <f>VLOOKUP('Програма-кодове'!H32,Списък!$A$1:$C$209,3,FALSE)</f>
        <v>английски език</v>
      </c>
    </row>
    <row r="68" spans="1:7" ht="12.8" customHeight="1">
      <c r="A68" s="442"/>
      <c r="B68" s="43">
        <v>4</v>
      </c>
      <c r="C68" s="21" t="str">
        <f>VLOOKUP('Програма-кодове'!H5,Списък!$A$1:$C$210,3,FALSE)</f>
        <v>бълг. език</v>
      </c>
      <c r="D68" s="21" t="str">
        <f>VLOOKUP('Програма-кодове'!H12,Списък!$A$1:$C$210,3,FALSE)</f>
        <v>английски език</v>
      </c>
      <c r="E68" s="21" t="str">
        <f>VLOOKUP('Програма-кодове'!H19,Списък!$A$1:$C$210,3,FALSE)</f>
        <v>английски език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8" customHeight="1">
      <c r="A69" s="442"/>
      <c r="B69" s="43">
        <v>5</v>
      </c>
      <c r="C69" s="21" t="str">
        <f>VLOOKUP('Програма-кодове'!H6,Списък!$A$1:$C$210,3,FALSE)</f>
        <v>английски език</v>
      </c>
      <c r="D69" s="21" t="str">
        <f>VLOOKUP('Програма-кодове'!H13,Списък!$A$1:$C$210,3,FALSE)</f>
        <v>английски език</v>
      </c>
      <c r="E69" s="21" t="str">
        <f>VLOOKUP('Програма-кодове'!H20,Списък!$A$1:$C$210,3,FALSE)</f>
        <v>ИТ/ИТ</v>
      </c>
      <c r="F69" s="21" t="str">
        <f>VLOOKUP('Програма-кодове'!H27,Списък!$A$1:$C$209,3,FALSE)</f>
        <v>английски език</v>
      </c>
      <c r="G69" s="21" t="str">
        <f>VLOOKUP('Програма-кодове'!H34,Списък!$A$1:$C$209,3,FALSE)</f>
        <v>информатика</v>
      </c>
    </row>
    <row r="70" spans="1:7" ht="12.8" customHeight="1">
      <c r="A70" s="442"/>
      <c r="B70" s="43">
        <v>6</v>
      </c>
      <c r="C70" s="21" t="str">
        <f>VLOOKUP('Програма-кодове'!H7,Списък!$A$1:$C$210,3,FALSE)</f>
        <v>английски език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физкултура</v>
      </c>
      <c r="F70" s="21" t="str">
        <f>VLOOKUP('Програма-кодове'!H28,Списък!$A$1:$C$209,3,FALSE)</f>
        <v>английски език</v>
      </c>
      <c r="G70" s="21" t="str">
        <f>VLOOKUP('Програма-кодове'!H35,Списък!$A$1:$C$209,3,FALSE)</f>
        <v>бълг. език</v>
      </c>
    </row>
    <row r="71" spans="1:7" ht="12.8" customHeight="1">
      <c r="A71" s="442"/>
      <c r="B71" s="43">
        <v>7</v>
      </c>
      <c r="C71" s="21" t="str">
        <f>VLOOKUP('Програма-кодове'!H8,Списък!$A$1:$C$210,3,FALSE)</f>
        <v>английски език</v>
      </c>
      <c r="D71" s="21" t="str">
        <f>VLOOKUP('Програма-кодове'!H15,Списък!$A$1:$C$210,3,FALSE)</f>
        <v>английски език</v>
      </c>
      <c r="E71" s="21" t="s">
        <v>59</v>
      </c>
    </row>
    <row r="72" spans="1:7" ht="12.8" customHeight="1" thickBot="1">
      <c r="A72" s="124"/>
    </row>
    <row r="73" spans="1:7" ht="12.8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129</v>
      </c>
      <c r="G73" s="116" t="s">
        <v>28</v>
      </c>
    </row>
    <row r="74" spans="1:7" ht="12.8" customHeight="1">
      <c r="A74" s="442" t="s">
        <v>134</v>
      </c>
      <c r="B74" s="43">
        <v>1</v>
      </c>
      <c r="C74" s="21" t="str">
        <f>VLOOKUP('Програма-кодове'!I2,Списък!$A$1:$C$210,3,FALSE)</f>
        <v>рисуване</v>
      </c>
      <c r="D74" s="21" t="str">
        <f>VLOOKUP('Програма-кодове'!I9,Списък!$A$1:$C$210,3,FALSE)</f>
        <v>физкултура</v>
      </c>
      <c r="E74" s="21" t="str">
        <f>VLOOKUP('Програма-кодове'!I16,Списък!$A$1:$C$210,3,FALSE)</f>
        <v>ИТ/ИТ</v>
      </c>
      <c r="F74" s="21" t="str">
        <f>VLOOKUP('Програма-кодове'!I23,Списък!$A$1:$C$209,3,FALSE)</f>
        <v>философия</v>
      </c>
      <c r="G74" s="21" t="str">
        <f>VLOOKUP('Програма-кодове'!I30,Списък!$A$1:$C$209,3,FALSE)</f>
        <v>математика</v>
      </c>
    </row>
    <row r="75" spans="1:7" ht="12.8" customHeight="1">
      <c r="A75" s="442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информатика</v>
      </c>
      <c r="E75" s="21" t="str">
        <f>VLOOKUP('Програма-кодове'!I17,Списък!$A$1:$C$210,3,FALSE)</f>
        <v>математика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информатика</v>
      </c>
    </row>
    <row r="76" spans="1:7" ht="12.8" customHeight="1">
      <c r="A76" s="442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бълг. език</v>
      </c>
      <c r="F76" s="21" t="str">
        <f>VLOOKUP('Програма-кодове'!I25,Списък!$A$1:$C$209,3,FALSE)</f>
        <v>физкултура</v>
      </c>
      <c r="G76" s="21" t="str">
        <f>VLOOKUP('Програма-кодове'!I32,Списък!$A$1:$C$209,3,FALSE)</f>
        <v>бълг. език</v>
      </c>
    </row>
    <row r="77" spans="1:7" ht="12.8" customHeight="1">
      <c r="A77" s="442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английски език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английски език</v>
      </c>
      <c r="G77" s="21" t="str">
        <f>VLOOKUP('Програма-кодове'!I33,Списък!$A$1:$C$209,3,FALSE)</f>
        <v>английски език</v>
      </c>
    </row>
    <row r="78" spans="1:7" ht="12.8" customHeight="1">
      <c r="A78" s="442"/>
      <c r="B78" s="43">
        <v>5</v>
      </c>
      <c r="C78" s="21" t="str">
        <f>VLOOKUP('Програма-кодове'!I6,Списък!$A$1:$C$210,3,FALSE)</f>
        <v>английски език</v>
      </c>
      <c r="D78" s="21" t="str">
        <f>VLOOKUP('Програма-кодове'!I13,Списък!$A$1:$C$210,3,FALSE)</f>
        <v>английски език</v>
      </c>
      <c r="E78" s="21" t="str">
        <f>VLOOKUP('Програма-кодове'!I20,Списък!$A$1:$C$210,3,FALSE)</f>
        <v>английски език</v>
      </c>
      <c r="F78" s="21" t="str">
        <f>VLOOKUP('Програма-кодове'!I27,Списък!$A$1:$C$209,3,FALSE)</f>
        <v>английски език</v>
      </c>
      <c r="G78" s="21" t="str">
        <f>VLOOKUP('Програма-кодове'!I34,Списък!$A$1:$C$209,3,FALSE)</f>
        <v>английски език</v>
      </c>
    </row>
    <row r="79" spans="1:7" ht="12.8" customHeight="1">
      <c r="A79" s="442"/>
      <c r="B79" s="43">
        <v>6</v>
      </c>
      <c r="C79" s="21" t="str">
        <f>VLOOKUP('Програма-кодове'!I7,Списък!$A$1:$C$210,3,FALSE)</f>
        <v>бълг. език</v>
      </c>
      <c r="D79" s="21" t="str">
        <f>VLOOKUP('Програма-кодове'!I14,Списък!$A$1:$C$210,3,FALSE)</f>
        <v>математика</v>
      </c>
      <c r="E79" s="21" t="str">
        <f>VLOOKUP('Програма-кодове'!I21,Списък!$A$1:$C$210,3,FALSE)</f>
        <v>английски език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английски език</v>
      </c>
    </row>
    <row r="80" spans="1:7" ht="12.8" customHeight="1">
      <c r="A80" s="442"/>
      <c r="B80" s="43">
        <v>7</v>
      </c>
      <c r="C80" s="21" t="str">
        <f>VLOOKUP('Програма-кодове'!I8,Списък!$A$1:$C$210,3,FALSE)</f>
        <v>бълг. език</v>
      </c>
      <c r="D80" s="21" t="str">
        <f>VLOOKUP('Програма-кодове'!I15,Списък!$A$1:$C$210,3,FALSE)</f>
        <v>английски език</v>
      </c>
      <c r="E80" s="21" t="s">
        <v>59</v>
      </c>
    </row>
    <row r="81" spans="1:7" ht="12.8" customHeight="1" thickBot="1">
      <c r="A81" s="124"/>
    </row>
    <row r="82" spans="1:7" ht="12.8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129</v>
      </c>
      <c r="G82" s="116" t="s">
        <v>28</v>
      </c>
    </row>
    <row r="83" spans="1:7" ht="12.8" customHeight="1">
      <c r="A83" s="442" t="s">
        <v>135</v>
      </c>
      <c r="B83" s="43">
        <v>1</v>
      </c>
      <c r="C83" s="21" t="str">
        <f>VLOOKUP('Програма-кодове'!J2,Списък!$A$1:$C$210,3,FALSE)</f>
        <v>английски език</v>
      </c>
      <c r="D83" s="21" t="str">
        <f>VLOOKUP('Програма-кодове'!J9,Списък!$A$1:$C$210,3,FALSE)</f>
        <v>английски език</v>
      </c>
      <c r="E83" s="21" t="str">
        <f>VLOOKUP('Програма-кодове'!J16,Списък!$A$1:$C$210,3,FALSE)</f>
        <v>математика</v>
      </c>
      <c r="F83" s="21" t="str">
        <f>VLOOKUP('Програма-кодове'!J23,Списък!$A$1:$C$209,3,FALSE)</f>
        <v>английски език</v>
      </c>
      <c r="G83" s="21" t="str">
        <f>VLOOKUP('Програма-кодове'!J30,Списък!$A$1:$C$209,3,FALSE)</f>
        <v>информатика</v>
      </c>
    </row>
    <row r="84" spans="1:7" ht="12.8" customHeight="1">
      <c r="A84" s="442"/>
      <c r="B84" s="43">
        <v>2</v>
      </c>
      <c r="C84" s="21" t="str">
        <f>VLOOKUP('Програма-кодове'!J3,Списък!$A$1:$C$210,3,FALSE)</f>
        <v>английски език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бълг. език</v>
      </c>
      <c r="F84" s="21" t="str">
        <f>VLOOKUP('Програма-кодове'!J24,Списък!$A$1:$C$209,3,FALSE)</f>
        <v>английски език</v>
      </c>
      <c r="G84" s="21" t="str">
        <f>VLOOKUP('Програма-кодове'!J31,Списък!$A$1:$C$209,3,FALSE)</f>
        <v>бълг. език</v>
      </c>
    </row>
    <row r="85" spans="1:7" ht="12.8" customHeight="1">
      <c r="A85" s="442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английски език</v>
      </c>
      <c r="E85" s="21" t="str">
        <f>VLOOKUP('Програма-кодове'!J18,Списък!$A$1:$C$210,3,FALSE)</f>
        <v>ИТ/ИТ</v>
      </c>
      <c r="F85" s="21" t="str">
        <f>VLOOKUP('Програма-кодове'!J25,Списък!$A$1:$C$209,3,FALSE)</f>
        <v>английски език</v>
      </c>
      <c r="G85" s="21" t="str">
        <f>VLOOKUP('Програма-кодове'!J32,Списък!$A$1:$C$209,3,FALSE)</f>
        <v>английски език</v>
      </c>
    </row>
    <row r="86" spans="1:7" ht="12.8" customHeight="1">
      <c r="A86" s="442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физкултура</v>
      </c>
      <c r="E86" s="21" t="str">
        <f>VLOOKUP('Програма-кодове'!J19,Списък!$A$1:$C$210,3,FALSE)</f>
        <v>английски език</v>
      </c>
      <c r="F86" s="21" t="str">
        <f>VLOOKUP('Програма-кодове'!J26,Списък!$A$1:$C$209,3,FALSE)</f>
        <v>английски език</v>
      </c>
      <c r="G86" s="21" t="str">
        <f>VLOOKUP('Програма-кодове'!J33,Списък!$A$1:$C$209,3,FALSE)</f>
        <v>английски език</v>
      </c>
    </row>
    <row r="87" spans="1:7" ht="12.8" customHeight="1">
      <c r="A87" s="442"/>
      <c r="B87" s="43">
        <v>5</v>
      </c>
      <c r="C87" s="21" t="str">
        <f>VLOOKUP('Програма-кодове'!J6,Списък!$A$1:$C$210,3,FALSE)</f>
        <v>математика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математика</v>
      </c>
      <c r="G87" s="21" t="str">
        <f>VLOOKUP('Програма-кодове'!J34,Списък!$A$1:$C$209,3,FALSE)</f>
        <v>английски език</v>
      </c>
    </row>
    <row r="88" spans="1:7" ht="12.8" customHeight="1">
      <c r="A88" s="442"/>
      <c r="B88" s="43">
        <v>6</v>
      </c>
      <c r="C88" s="21" t="str">
        <f>VLOOKUP('Програма-кодове'!J7,Списък!$A$1:$C$210,3,FALSE)</f>
        <v>философия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английски език</v>
      </c>
      <c r="F88" s="21" t="str">
        <f>VLOOKUP('Програма-кодове'!J28,Списък!$A$1:$C$209,3,FALSE)</f>
        <v>рисуване</v>
      </c>
      <c r="G88" s="21" t="str">
        <f>VLOOKUP('Програма-кодове'!J35,Списък!$A$1:$C$209,3,FALSE)</f>
        <v>английски език</v>
      </c>
    </row>
    <row r="89" spans="1:7" ht="12.8" customHeight="1">
      <c r="A89" s="442"/>
      <c r="B89" s="43">
        <v>7</v>
      </c>
      <c r="C89" s="21" t="str">
        <f>VLOOKUP('Програма-кодове'!J8,Списък!$A$1:$C$210,3,FALSE)</f>
        <v>физкултура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8" customHeight="1" thickBot="1">
      <c r="A90" s="442"/>
      <c r="B90" s="21"/>
    </row>
    <row r="91" spans="1:7" ht="12.8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129</v>
      </c>
      <c r="G91" s="116" t="s">
        <v>28</v>
      </c>
    </row>
    <row r="92" spans="1:7" ht="12.8" customHeight="1">
      <c r="A92" s="442" t="s">
        <v>136</v>
      </c>
      <c r="B92" s="43">
        <v>1</v>
      </c>
      <c r="C92" s="21" t="str">
        <f>VLOOKUP('Програма-кодове'!K2,Списък!$A$1:$C$210,3,FALSE)</f>
        <v>английски език</v>
      </c>
      <c r="D92" s="21" t="str">
        <f>VLOOKUP('Програма-кодове'!K9,Списък!$A$1:$C$210,3,FALSE)</f>
        <v>ІІ - ри чужд език</v>
      </c>
      <c r="E92" s="21" t="str">
        <f>VLOOKUP('Програма-кодове'!K16,Списък!$A$1:$C$209,3,FALSE)</f>
        <v>история</v>
      </c>
      <c r="F92" s="21" t="str">
        <f>VLOOKUP('Програма-кодове'!K23,Списък!$A$1:$C$209,3,FALSE)</f>
        <v>история</v>
      </c>
      <c r="G92" s="21" t="str">
        <f>VLOOKUP('Програма-кодове'!K30,Списък!$A$1:$C$209,3,FALSE)</f>
        <v>философия</v>
      </c>
    </row>
    <row r="93" spans="1:7" ht="12.8" customHeight="1">
      <c r="A93" s="442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ІІ - ри чужд език</v>
      </c>
      <c r="E93" s="21" t="str">
        <f>VLOOKUP('Програма-кодове'!K17,Списък!$A$1:$C$209,3,FALSE)</f>
        <v>музика</v>
      </c>
      <c r="F93" s="21" t="str">
        <f>VLOOKUP('Програма-кодове'!K24,Списък!$A$1:$C$209,3,FALSE)</f>
        <v>физика</v>
      </c>
      <c r="G93" s="21" t="str">
        <f>VLOOKUP('Програма-кодове'!K31,Списък!$A$1:$C$209,3,FALSE)</f>
        <v>бълг. език</v>
      </c>
    </row>
    <row r="94" spans="1:7" ht="12.8" customHeight="1">
      <c r="A94" s="442"/>
      <c r="B94" s="43">
        <v>3</v>
      </c>
      <c r="C94" s="21" t="str">
        <f>VLOOKUP('Програма-кодове'!K4,Списък!$A$1:$C$210,3,FALSE)</f>
        <v>география</v>
      </c>
      <c r="D94" s="21" t="str">
        <f>VLOOKUP('Програма-кодове'!K11,Списък!$A$1:$C$210,3,FALSE)</f>
        <v>бълг. език</v>
      </c>
      <c r="E94" s="21" t="str">
        <f>VLOOKUP('Програма-кодове'!K18,Списък!$A$1:$C$209,3,FALSE)</f>
        <v>математика</v>
      </c>
      <c r="F94" s="21" t="str">
        <f>VLOOKUP('Програма-кодове'!K25,Списък!$A$1:$C$209,3,FALSE)</f>
        <v>физкултура</v>
      </c>
      <c r="G94" s="21" t="str">
        <f>VLOOKUP('Програма-кодове'!K32,Списък!$A$1:$C$209,3,FALSE)</f>
        <v>математика</v>
      </c>
    </row>
    <row r="95" spans="1:7" ht="12.8" customHeight="1">
      <c r="A95" s="442"/>
      <c r="B95" s="43">
        <v>4</v>
      </c>
      <c r="C95" s="21" t="str">
        <f>VLOOKUP('Програма-кодове'!K5,Списък!$A$1:$C$210,3,FALSE)</f>
        <v>химия</v>
      </c>
      <c r="D95" s="21" t="str">
        <f>VLOOKUP('Програма-кодове'!K12,Списък!$A$1:$C$210,3,FALSE)</f>
        <v>бълг. език</v>
      </c>
      <c r="E95" s="21" t="str">
        <f>VLOOKUP('Програма-кодове'!K19,Списък!$A$1:$C$209,3,FALSE)</f>
        <v>математика</v>
      </c>
      <c r="F95" s="21" t="str">
        <f>VLOOKUP('Програма-кодове'!K26,Списък!$A$1:$C$209,3,FALSE)</f>
        <v>химия</v>
      </c>
      <c r="G95" s="21" t="str">
        <f>VLOOKUP('Програма-кодове'!K33,Списък!$A$1:$C$209,3,FALSE)</f>
        <v>биология</v>
      </c>
    </row>
    <row r="96" spans="1:7" ht="12.8" customHeight="1">
      <c r="A96" s="442"/>
      <c r="B96" s="43">
        <v>5</v>
      </c>
      <c r="C96" s="21" t="str">
        <f>VLOOKUP('Програма-кодове'!K6,Списък!$A$1:$C$210,3,FALSE)</f>
        <v>физика</v>
      </c>
      <c r="D96" s="21" t="str">
        <f>VLOOKUP('Програма-кодове'!K13,Списък!$A$1:$C$210,3,FALSE)</f>
        <v>химия</v>
      </c>
      <c r="E96" s="21" t="str">
        <f>VLOOKUP('Програма-кодове'!K20,Списък!$A$1:$C$209,3,FALSE)</f>
        <v>биология</v>
      </c>
      <c r="F96" s="21" t="str">
        <f>VLOOKUP('Програма-кодове'!K27,Списък!$A$1:$C$209,3,FALSE)</f>
        <v>география</v>
      </c>
      <c r="G96" s="21" t="str">
        <f>VLOOKUP('Програма-кодове'!K34,Списък!$A$1:$C$209,3,FALSE)</f>
        <v>история</v>
      </c>
    </row>
    <row r="97" spans="1:18" ht="12.8" customHeight="1">
      <c r="A97" s="442"/>
      <c r="B97" s="43">
        <v>6</v>
      </c>
      <c r="C97" s="21" t="str">
        <f>VLOOKUP('Програма-кодове'!K7,Списък!$A$1:$C$210,3,FALSE)</f>
        <v>математика</v>
      </c>
      <c r="D97" s="21" t="str">
        <f>VLOOKUP('Програма-кодове'!K14,Списък!$A$1:$C$210,3,FALSE)</f>
        <v>история</v>
      </c>
      <c r="E97" s="21" t="str">
        <f>VLOOKUP('Програма-кодове'!K21,Списък!$A$1:$C$209,3,FALSE)</f>
        <v>английски език</v>
      </c>
      <c r="F97" s="21" t="str">
        <f>VLOOKUP('Програма-кодове'!K28,Списък!$A$1:$C$209,3,FALSE)</f>
        <v>английски език</v>
      </c>
      <c r="G97" s="21" t="str">
        <f>VLOOKUP('Програма-кодове'!K35,Списък!$A$1:$C$209,3,FALSE)</f>
        <v>физкултура</v>
      </c>
    </row>
    <row r="98" spans="1:18" ht="12.8" customHeight="1">
      <c r="A98" s="442"/>
      <c r="B98" s="43">
        <v>7</v>
      </c>
      <c r="C98" s="21" t="str">
        <f>VLOOKUP('Програма-кодове'!K8,Списък!$A$1:$C$210,3,FALSE)</f>
        <v>бълг. език</v>
      </c>
      <c r="D98" s="21" t="str">
        <f>VLOOKUP('Програма-кодове'!K15,Списък!$A$1:$C$210,3,FALSE)</f>
        <v>информатика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8" customHeight="1" thickBot="1">
      <c r="A99" s="124"/>
    </row>
    <row r="100" spans="1:18" ht="12.8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129</v>
      </c>
      <c r="G100" s="116" t="s">
        <v>28</v>
      </c>
    </row>
    <row r="101" spans="1:18" ht="12.8" customHeight="1">
      <c r="A101" s="442" t="s">
        <v>137</v>
      </c>
      <c r="B101" s="43">
        <v>1</v>
      </c>
      <c r="C101" s="21" t="str">
        <f>VLOOKUP('Програма-кодове'!L2,Списък!$A$1:$C$210,3,FALSE)</f>
        <v>химия</v>
      </c>
      <c r="D101" s="21" t="str">
        <f>VLOOKUP('Програма-кодове'!L9,Списък!$A$1:$C$210,3,FALSE)</f>
        <v>английски език</v>
      </c>
      <c r="E101" s="21" t="str">
        <f>VLOOKUP('Програма-кодове'!L16,Списък!$A$1:$C$209,3,FALSE)</f>
        <v>информатика</v>
      </c>
      <c r="F101" s="21" t="str">
        <f>VLOOKUP('Програма-кодове'!L23,Списък!$A$1:$C$209,3,FALSE)</f>
        <v>физика</v>
      </c>
      <c r="G101" s="21" t="str">
        <f>VLOOKUP('Програма-кодове'!L30,Списък!$A$1:$C$209,3,FALSE)</f>
        <v>английски език</v>
      </c>
    </row>
    <row r="102" spans="1:18" ht="12.8" customHeight="1">
      <c r="A102" s="442"/>
      <c r="B102" s="43">
        <v>2</v>
      </c>
      <c r="C102" s="21" t="str">
        <f>VLOOKUP('Програма-кодове'!L3,Списък!$A$1:$C$210,3,FALSE)</f>
        <v>физика</v>
      </c>
      <c r="D102" s="21" t="str">
        <f>VLOOKUP('Програма-кодове'!L10,Списък!$A$1:$C$210,3,FALSE)</f>
        <v>английски език</v>
      </c>
      <c r="E102" s="21" t="str">
        <f>VLOOKUP('Програма-кодове'!L17,Списък!$A$1:$C$209,3,FALSE)</f>
        <v>математика</v>
      </c>
      <c r="F102" s="21" t="str">
        <f>VLOOKUP('Програма-кодове'!L24,Списък!$A$1:$C$209,3,FALSE)</f>
        <v>физкултура</v>
      </c>
      <c r="G102" s="21" t="str">
        <f>VLOOKUP('Програма-кодове'!L31,Списък!$A$1:$C$209,3,FALSE)</f>
        <v>информатика</v>
      </c>
    </row>
    <row r="103" spans="1:18" ht="12.8" customHeight="1">
      <c r="A103" s="442"/>
      <c r="B103" s="43">
        <v>3</v>
      </c>
      <c r="C103" s="21" t="str">
        <f>VLOOKUP('Програма-кодове'!L4,Списък!$A$1:$C$210,3,FALSE)</f>
        <v>математика</v>
      </c>
      <c r="D103" s="21" t="str">
        <f>VLOOKUP('Програма-кодове'!L11,Списък!$A$1:$C$210,3,FALSE)</f>
        <v>ІІ - ри чужд език</v>
      </c>
      <c r="E103" s="21" t="str">
        <f>VLOOKUP('Програма-кодове'!L18,Списък!$A$1:$C$209,3,FALSE)</f>
        <v>английски език</v>
      </c>
      <c r="F103" s="21" t="str">
        <f>VLOOKUP('Програма-кодове'!L25,Списък!$A$1:$C$209,3,FALSE)</f>
        <v>математика</v>
      </c>
      <c r="G103" s="21" t="str">
        <f>VLOOKUP('Програма-кодове'!L32,Списък!$A$1:$C$209,3,FALSE)</f>
        <v>бълг. език</v>
      </c>
    </row>
    <row r="104" spans="1:18" ht="12.8" customHeight="1">
      <c r="A104" s="442"/>
      <c r="B104" s="43">
        <v>4</v>
      </c>
      <c r="C104" s="21" t="str">
        <f>VLOOKUP('Програма-кодове'!L5,Списък!$A$1:$C$210,3,FALSE)</f>
        <v>бълг. език</v>
      </c>
      <c r="D104" s="21" t="str">
        <f>VLOOKUP('Програма-кодове'!L12,Списък!$A$1:$C$210,3,FALSE)</f>
        <v>ІІ - ри чужд език</v>
      </c>
      <c r="E104" s="21" t="str">
        <f>VLOOKUP('Програма-кодове'!L19,Списък!$A$1:$C$209,3,FALSE)</f>
        <v>бълг. език</v>
      </c>
      <c r="F104" s="21" t="str">
        <f>VLOOKUP('Програма-кодове'!L26,Списък!$A$1:$C$209,3,FALSE)</f>
        <v>география</v>
      </c>
      <c r="G104" s="21" t="str">
        <f>VLOOKUP('Програма-кодове'!L33,Списък!$A$1:$C$209,3,FALSE)</f>
        <v>музика</v>
      </c>
    </row>
    <row r="105" spans="1:18" ht="12.8" customHeight="1">
      <c r="A105" s="442"/>
      <c r="B105" s="43">
        <v>5</v>
      </c>
      <c r="C105" s="21" t="str">
        <f>VLOOKUP('Програма-кодове'!L6,Списък!$A$1:$C$210,3,FALSE)</f>
        <v>бълг. език</v>
      </c>
      <c r="D105" s="21" t="str">
        <f>VLOOKUP('Програма-кодове'!L13,Списък!$A$1:$C$210,3,FALSE)</f>
        <v>история</v>
      </c>
      <c r="E105" s="21" t="str">
        <f>VLOOKUP('Програма-кодове'!L20,Списък!$A$1:$C$209,3,FALSE)</f>
        <v>химия</v>
      </c>
      <c r="F105" s="21" t="str">
        <f>VLOOKUP('Програма-кодове'!L27,Списък!$A$1:$C$209,3,FALSE)</f>
        <v>философия</v>
      </c>
      <c r="G105" s="21" t="str">
        <f>VLOOKUP('Програма-кодове'!L34,Списък!$A$1:$C$209,3,FALSE)</f>
        <v>биология</v>
      </c>
    </row>
    <row r="106" spans="1:18" ht="12.8" customHeight="1">
      <c r="A106" s="442"/>
      <c r="B106" s="43">
        <v>6</v>
      </c>
      <c r="C106" s="21" t="str">
        <f>VLOOKUP('Програма-кодове'!L7,Списък!$A$1:$C$210,3,FALSE)</f>
        <v>физкултура</v>
      </c>
      <c r="D106" s="21" t="str">
        <f>VLOOKUP('Програма-кодове'!L14,Списък!$A$1:$C$210,3,FALSE)</f>
        <v>химия</v>
      </c>
      <c r="E106" s="21" t="str">
        <f>VLOOKUP('Програма-кодове'!L21,Списък!$A$1:$C$209,3,FALSE)</f>
        <v>история</v>
      </c>
      <c r="F106" s="21" t="str">
        <f>VLOOKUP('Програма-кодове'!L28,Списък!$A$1:$C$209,3,FALSE)</f>
        <v>история</v>
      </c>
      <c r="G106" s="21" t="str">
        <f>VLOOKUP('Програма-кодове'!L35,Списък!$A$1:$C$209,3,FALSE)</f>
        <v>история</v>
      </c>
    </row>
    <row r="107" spans="1:18" s="43" customFormat="1" ht="12.8" customHeight="1">
      <c r="A107" s="442"/>
      <c r="B107" s="43">
        <v>7</v>
      </c>
      <c r="C107" s="21" t="str">
        <f>VLOOKUP('Програма-кодове'!L8,Списък!$A$1:$C$210,3,FALSE)</f>
        <v>география</v>
      </c>
      <c r="D107" s="21" t="str">
        <f>VLOOKUP('Програма-кодове'!L15,Списък!$A$1:$C$210,3,FALSE)</f>
        <v>биология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8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8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129</v>
      </c>
      <c r="G109" s="116" t="s">
        <v>28</v>
      </c>
    </row>
    <row r="110" spans="1:18" ht="12.8" customHeight="1">
      <c r="A110" s="442" t="s">
        <v>138</v>
      </c>
      <c r="B110" s="43">
        <v>1</v>
      </c>
      <c r="C110" s="21" t="str">
        <f>VLOOKUP('Програма-кодове'!M2,Списък!$A$1:$C$210,3,FALSE)</f>
        <v>физика</v>
      </c>
      <c r="D110" s="21" t="str">
        <f>VLOOKUP('Програма-кодове'!M9,Списък!$A$1:$C$210,3,FALSE)</f>
        <v>ІІ - ри чужд език</v>
      </c>
      <c r="E110" s="21" t="str">
        <f>VLOOKUP('Програма-кодове'!M16,Списък!$A$1:$C$209,3,FALSE)</f>
        <v>бълг. език</v>
      </c>
      <c r="F110" s="21" t="str">
        <f>VLOOKUP('Програма-кодове'!M23,Списък!$A$1:$C$209,3,FALSE)</f>
        <v>история</v>
      </c>
      <c r="G110" s="21" t="str">
        <f>VLOOKUP('Програма-кодове'!M30,Списък!$A$1:$C$209,3,FALSE)</f>
        <v>химия</v>
      </c>
    </row>
    <row r="111" spans="1:18" ht="12.8" customHeight="1">
      <c r="A111" s="442"/>
      <c r="B111" s="43">
        <v>2</v>
      </c>
      <c r="C111" s="21" t="str">
        <f>VLOOKUP('Програма-кодове'!M3,Списък!$A$1:$C$210,3,FALSE)</f>
        <v>химия</v>
      </c>
      <c r="D111" s="21" t="str">
        <f>VLOOKUP('Програма-кодове'!M10,Списък!$A$1:$C$210,3,FALSE)</f>
        <v>ІІ - ри чужд език</v>
      </c>
      <c r="E111" s="21" t="str">
        <f>VLOOKUP('Програма-кодове'!M17,Списък!$A$1:$C$209,3,FALSE)</f>
        <v>бълг. език</v>
      </c>
      <c r="F111" s="21" t="str">
        <f>VLOOKUP('Програма-кодове'!M24,Списък!$A$1:$C$209,3,FALSE)</f>
        <v>физика</v>
      </c>
      <c r="G111" s="21" t="str">
        <f>VLOOKUP('Програма-кодове'!M31,Списък!$A$1:$C$209,3,FALSE)</f>
        <v>математика</v>
      </c>
    </row>
    <row r="112" spans="1:18" ht="12.8" customHeight="1">
      <c r="A112" s="442"/>
      <c r="B112" s="43">
        <v>3</v>
      </c>
      <c r="C112" s="21" t="str">
        <f>VLOOKUP('Програма-кодове'!M4,Списък!$A$1:$C$210,3,FALSE)</f>
        <v>история</v>
      </c>
      <c r="D112" s="21" t="str">
        <f>VLOOKUP('Програма-кодове'!M11,Списък!$A$1:$C$210,3,FALSE)</f>
        <v>биология</v>
      </c>
      <c r="E112" s="21" t="str">
        <f>VLOOKUP('Програма-кодове'!M18,Списък!$A$1:$C$209,3,FALSE)</f>
        <v>история</v>
      </c>
      <c r="F112" s="21" t="str">
        <f>VLOOKUP('Програма-кодове'!M25,Списък!$A$1:$C$209,3,FALSE)</f>
        <v>математика</v>
      </c>
      <c r="G112" s="21" t="str">
        <f>VLOOKUP('Програма-кодове'!M32,Списък!$A$1:$C$209,3,FALSE)</f>
        <v>математика</v>
      </c>
    </row>
    <row r="113" spans="1:17" ht="12.8" customHeight="1">
      <c r="A113" s="442"/>
      <c r="B113" s="43">
        <v>4</v>
      </c>
      <c r="C113" s="21" t="str">
        <f>VLOOKUP('Програма-кодове'!M5,Списък!$A$1:$C$210,3,FALSE)</f>
        <v>география</v>
      </c>
      <c r="D113" s="21" t="str">
        <f>VLOOKUP('Програма-кодове'!M12,Списък!$A$1:$C$210,3,FALSE)</f>
        <v>английски език</v>
      </c>
      <c r="E113" s="21" t="str">
        <f>VLOOKUP('Програма-кодове'!M19,Списък!$A$1:$C$209,3,FALSE)</f>
        <v>химия</v>
      </c>
      <c r="F113" s="21" t="str">
        <f>VLOOKUP('Програма-кодове'!M26,Списък!$A$1:$C$209,3,FALSE)</f>
        <v>ИТ</v>
      </c>
      <c r="G113" s="21" t="str">
        <f>VLOOKUP('Програма-кодове'!M33,Списък!$A$1:$C$209,3,FALSE)</f>
        <v>биология</v>
      </c>
    </row>
    <row r="114" spans="1:17" ht="12.8" customHeight="1">
      <c r="A114" s="442"/>
      <c r="B114" s="43">
        <v>5</v>
      </c>
      <c r="C114" s="21" t="str">
        <f>VLOOKUP('Програма-кодове'!M6,Списък!$A$1:$C$210,3,FALSE)</f>
        <v>музика</v>
      </c>
      <c r="D114" s="21" t="str">
        <f>VLOOKUP('Програма-кодове'!M13,Списък!$A$1:$C$210,3,FALSE)</f>
        <v>английски език</v>
      </c>
      <c r="E114" s="21" t="str">
        <f>VLOOKUP('Програма-кодове'!M20,Списък!$A$1:$C$209,3,FALSE)</f>
        <v>английски език</v>
      </c>
      <c r="F114" s="21" t="str">
        <f>VLOOKUP('Програма-кодове'!M27,Списък!$A$1:$C$209,3,FALSE)</f>
        <v>английски език</v>
      </c>
      <c r="G114" s="21" t="str">
        <f>VLOOKUP('Програма-кодове'!M34,Списък!$A$1:$C$209,3,FALSE)</f>
        <v>физкултура</v>
      </c>
    </row>
    <row r="115" spans="1:17" ht="12.8" customHeight="1">
      <c r="A115" s="442"/>
      <c r="B115" s="43">
        <v>6</v>
      </c>
      <c r="C115" s="21" t="str">
        <f>VLOOKUP('Програма-кодове'!M7,Списък!$A$1:$C$210,3,FALSE)</f>
        <v>бълг. език</v>
      </c>
      <c r="D115" s="21" t="str">
        <f>VLOOKUP('Програма-кодове'!M14,Списък!$A$1:$C$210,3,FALSE)</f>
        <v>история</v>
      </c>
      <c r="E115" s="21" t="str">
        <f>VLOOKUP('Програма-кодове'!M21,Списък!$A$1:$C$209,3,FALSE)</f>
        <v>философия</v>
      </c>
      <c r="F115" s="21" t="str">
        <f>VLOOKUP('Програма-кодове'!M28,Списък!$A$1:$C$209,3,FALSE)</f>
        <v>география</v>
      </c>
      <c r="G115" s="21" t="str">
        <f>VLOOKUP('Програма-кодове'!M35,Списък!$A$1:$C$209,3,FALSE)</f>
        <v>бълг. език</v>
      </c>
    </row>
    <row r="116" spans="1:17" ht="12.8" customHeight="1">
      <c r="A116" s="442"/>
      <c r="B116" s="43">
        <v>7</v>
      </c>
      <c r="C116" s="21" t="str">
        <f>VLOOKUP('Програма-кодове'!M8,Списък!$A$1:$C$210,3,FALSE)</f>
        <v>математика</v>
      </c>
      <c r="D116" s="21" t="str">
        <f>VLOOKUP('Програма-кодове'!M15,Списък!$A$1:$C$210,3,FALSE)</f>
        <v>физкултура</v>
      </c>
      <c r="E116" s="21" t="s">
        <v>59</v>
      </c>
    </row>
    <row r="117" spans="1:17" ht="12.8" customHeight="1" thickBot="1">
      <c r="A117" s="124"/>
    </row>
    <row r="118" spans="1:17" ht="12.8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129</v>
      </c>
      <c r="G118" s="116" t="s">
        <v>28</v>
      </c>
    </row>
    <row r="119" spans="1:17" ht="12.8" customHeight="1">
      <c r="A119" s="442" t="s">
        <v>139</v>
      </c>
      <c r="B119" s="43">
        <v>1</v>
      </c>
      <c r="C119" s="21" t="str">
        <f>VLOOKUP('Програма-кодове'!N2,Списък!$A$1:$C$210,3,FALSE)</f>
        <v>физкултура</v>
      </c>
      <c r="D119" s="21" t="str">
        <f>VLOOKUP('Програма-кодове'!N9,Списък!$A$1:$C$210,3,FALSE)</f>
        <v>биология</v>
      </c>
      <c r="E119" s="21" t="str">
        <f>VLOOKUP('Програма-кодове'!N16,Списък!$A$1:$C$209,3,FALSE)</f>
        <v>математика</v>
      </c>
      <c r="F119" s="21" t="str">
        <f>VLOOKUP('Програма-кодове'!N23,Списък!$A$1:$C$209,3,FALSE)</f>
        <v>физкултура</v>
      </c>
      <c r="G119" s="21" t="str">
        <f>VLOOKUP('Програма-кодове'!N30,Списък!$A$1:$C$209,3,FALSE)</f>
        <v>информатика</v>
      </c>
    </row>
    <row r="120" spans="1:17" ht="12.8" customHeight="1">
      <c r="A120" s="442"/>
      <c r="B120" s="43">
        <v>2</v>
      </c>
      <c r="C120" s="21" t="str">
        <f>VLOOKUP('Програма-кодове'!N3,Списък!$A$1:$C$210,3,FALSE)</f>
        <v>физика</v>
      </c>
      <c r="D120" s="21" t="str">
        <f>VLOOKUP('Програма-кодове'!N10,Списък!$A$1:$C$210,3,FALSE)</f>
        <v>химия</v>
      </c>
      <c r="E120" s="21" t="str">
        <f>VLOOKUP('Програма-кодове'!N17,Списък!$A$1:$C$209,3,FALSE)</f>
        <v>информатика</v>
      </c>
      <c r="F120" s="21" t="str">
        <f>VLOOKUP('Програма-кодове'!N24,Списък!$A$1:$C$209,3,FALSE)</f>
        <v>музика</v>
      </c>
      <c r="G120" s="21" t="str">
        <f>VLOOKUP('Програма-кодове'!N31,Списък!$A$1:$C$209,3,FALSE)</f>
        <v>биология</v>
      </c>
    </row>
    <row r="121" spans="1:17" ht="12.8" customHeight="1">
      <c r="A121" s="442"/>
      <c r="B121" s="43">
        <v>3</v>
      </c>
      <c r="C121" s="21" t="str">
        <f>VLOOKUP('Програма-кодове'!N4,Списък!$A$1:$C$210,3,FALSE)</f>
        <v>английски език</v>
      </c>
      <c r="D121" s="21" t="str">
        <f>VLOOKUP('Програма-кодове'!N11,Списък!$A$1:$C$210,3,FALSE)</f>
        <v>ІІ - ри чужд език</v>
      </c>
      <c r="E121" s="21" t="str">
        <f>VLOOKUP('Програма-кодове'!N18,Списък!$A$1:$C$209,3,FALSE)</f>
        <v>химия</v>
      </c>
      <c r="F121" s="21" t="str">
        <f>VLOOKUP('Програма-кодове'!N25,Списък!$A$1:$C$209,3,FALSE)</f>
        <v>физика</v>
      </c>
      <c r="G121" s="21" t="str">
        <f>VLOOKUP('Програма-кодове'!N32,Списък!$A$1:$C$209,3,FALSE)</f>
        <v>география</v>
      </c>
    </row>
    <row r="122" spans="1:17" ht="12.8" customHeight="1">
      <c r="A122" s="442"/>
      <c r="B122" s="43">
        <v>4</v>
      </c>
      <c r="C122" s="21" t="str">
        <f>VLOOKUP('Програма-кодове'!N5,Списък!$A$1:$C$210,3,FALSE)</f>
        <v>английски език</v>
      </c>
      <c r="D122" s="21" t="str">
        <f>VLOOKUP('Програма-кодове'!N12,Списък!$A$1:$C$210,3,FALSE)</f>
        <v>ІІ - ри чужд език</v>
      </c>
      <c r="E122" s="21" t="str">
        <f>VLOOKUP('Програма-кодове'!N19,Списък!$A$1:$C$209,3,FALSE)</f>
        <v>английски език</v>
      </c>
      <c r="F122" s="21" t="str">
        <f>VLOOKUP('Програма-кодове'!N26,Списък!$A$1:$C$209,3,FALSE)</f>
        <v>английски език</v>
      </c>
      <c r="G122" s="21" t="str">
        <f>VLOOKUP('Програма-кодове'!N33,Списък!$A$1:$C$209,3,FALSE)</f>
        <v>бълг. език</v>
      </c>
    </row>
    <row r="123" spans="1:17" ht="12.8" customHeight="1">
      <c r="A123" s="442"/>
      <c r="B123" s="43">
        <v>5</v>
      </c>
      <c r="C123" s="21" t="str">
        <f>VLOOKUP('Програма-кодове'!N6,Списък!$A$1:$C$210,3,FALSE)</f>
        <v>бълг. език</v>
      </c>
      <c r="D123" s="21" t="str">
        <f>VLOOKUP('Програма-кодове'!N13,Списък!$A$1:$C$210,3,FALSE)</f>
        <v>история</v>
      </c>
      <c r="E123" s="21" t="str">
        <f>VLOOKUP('Програма-кодове'!N20,Списък!$A$1:$C$209,3,FALSE)</f>
        <v>философия</v>
      </c>
      <c r="F123" s="21" t="str">
        <f>VLOOKUP('Програма-кодове'!N27,Списък!$A$1:$C$209,3,FALSE)</f>
        <v>история</v>
      </c>
      <c r="G123" s="21" t="str">
        <f>VLOOKUP('Програма-кодове'!N34,Списък!$A$1:$C$209,3,FALSE)</f>
        <v>химия</v>
      </c>
    </row>
    <row r="124" spans="1:17" ht="12.8" customHeight="1">
      <c r="A124" s="442"/>
      <c r="B124" s="43">
        <v>6</v>
      </c>
      <c r="C124" s="21" t="str">
        <f>VLOOKUP('Програма-кодове'!N7,Списък!$A$1:$C$210,3,FALSE)</f>
        <v>география</v>
      </c>
      <c r="D124" s="21" t="str">
        <f>VLOOKUP('Програма-кодове'!N14,Списък!$A$1:$C$210,3,FALSE)</f>
        <v>бълг. език</v>
      </c>
      <c r="E124" s="21" t="str">
        <f>VLOOKUP('Програма-кодове'!N21,Списък!$A$1:$C$209,3,FALSE)</f>
        <v>история</v>
      </c>
      <c r="F124" s="21" t="str">
        <f>VLOOKUP('Програма-кодове'!N28,Списък!$A$1:$C$209,3,FALSE)</f>
        <v>математика</v>
      </c>
      <c r="G124" s="21" t="str">
        <f>VLOOKUP('Програма-кодове'!N35,Списък!$A$1:$C$209,3,FALSE)</f>
        <v>история</v>
      </c>
    </row>
    <row r="125" spans="1:17" ht="12.8" customHeight="1">
      <c r="A125" s="442"/>
      <c r="B125" s="43">
        <v>7</v>
      </c>
      <c r="C125" s="21" t="str">
        <f>VLOOKUP('Програма-кодове'!N8,Списък!$A$1:$C$210,3,FALSE)</f>
        <v>математика</v>
      </c>
      <c r="D125" s="21" t="str">
        <f>VLOOKUP('Програма-кодове'!N15,Списък!$A$1:$C$210,3,FALSE)</f>
        <v>бълг. език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8" customHeight="1" thickBot="1">
      <c r="A126" s="124"/>
    </row>
    <row r="127" spans="1:17" ht="12.8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129</v>
      </c>
      <c r="G127" s="116" t="s">
        <v>28</v>
      </c>
    </row>
    <row r="128" spans="1:17" s="43" customFormat="1" ht="12.8" customHeight="1">
      <c r="A128" s="442" t="s">
        <v>140</v>
      </c>
      <c r="B128" s="43">
        <v>1</v>
      </c>
      <c r="C128" s="21" t="str">
        <f>VLOOKUP('Програма-кодове'!O2,Списък!$A$1:$C$210,3,FALSE)</f>
        <v>география</v>
      </c>
      <c r="D128" s="21" t="str">
        <f>VLOOKUP('Програма-кодове'!O9,Списък!$A$1:$C$210,3,FALSE)</f>
        <v>философия</v>
      </c>
      <c r="E128" s="21" t="str">
        <f>VLOOKUP('Програма-кодове'!O16,Списък!$A$1:$C$209,3,FALSE)</f>
        <v>английски език</v>
      </c>
      <c r="F128" s="21" t="str">
        <f>VLOOKUP('Програма-кодове'!O23,Списък!$A$1:$C$209,3,FALSE)</f>
        <v>география</v>
      </c>
      <c r="G128" s="21" t="str">
        <f>VLOOKUP('Програма-кодове'!O30,Списък!$A$1:$C$209,3,FALSE)</f>
        <v>бълг. език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8" customHeight="1">
      <c r="A129" s="442"/>
      <c r="B129" s="43">
        <v>2</v>
      </c>
      <c r="C129" s="21" t="str">
        <f>VLOOKUP('Програма-кодове'!O3,Списък!$A$1:$C$210,3,FALSE)</f>
        <v>история</v>
      </c>
      <c r="D129" s="21" t="str">
        <f>VLOOKUP('Програма-кодове'!O10,Списък!$A$1:$C$210,3,FALSE)</f>
        <v>биология</v>
      </c>
      <c r="E129" s="21" t="str">
        <f>VLOOKUP('Програма-кодове'!O17,Списък!$A$1:$C$209,3,FALSE)</f>
        <v>физика</v>
      </c>
      <c r="F129" s="21" t="str">
        <f>VLOOKUP('Програма-кодове'!O24,Списък!$A$1:$C$209,3,FALSE)</f>
        <v>история</v>
      </c>
      <c r="G129" s="21" t="str">
        <f>VLOOKUP('Програма-кодове'!O31,Списък!$A$1:$C$209,3,FALSE)</f>
        <v>английски език</v>
      </c>
    </row>
    <row r="130" spans="1:17" ht="12.8" customHeight="1">
      <c r="A130" s="442"/>
      <c r="B130" s="43">
        <v>3</v>
      </c>
      <c r="C130" s="21" t="str">
        <f>VLOOKUP('Програма-кодове'!O4,Списък!$A$1:$C$210,3,FALSE)</f>
        <v>бълг. език</v>
      </c>
      <c r="D130" s="21" t="str">
        <f>VLOOKUP('Програма-кодове'!O11,Списък!$A$1:$C$210,3,FALSE)</f>
        <v>история</v>
      </c>
      <c r="E130" s="21" t="str">
        <f>VLOOKUP('Програма-кодове'!O18,Списък!$A$1:$C$209,3,FALSE)</f>
        <v>биология</v>
      </c>
      <c r="F130" s="21" t="str">
        <f>VLOOKUP('Програма-кодове'!O25,Списък!$A$1:$C$209,3,FALSE)</f>
        <v>бълг. език</v>
      </c>
      <c r="G130" s="21" t="str">
        <f>VLOOKUP('Програма-кодове'!O32,Списък!$A$1:$C$209,3,FALSE)</f>
        <v>биология</v>
      </c>
    </row>
    <row r="131" spans="1:17" ht="12.8" customHeight="1">
      <c r="A131" s="442"/>
      <c r="B131" s="43">
        <v>4</v>
      </c>
      <c r="C131" s="21" t="str">
        <f>VLOOKUP('Програма-кодове'!O5,Списък!$A$1:$C$210,3,FALSE)</f>
        <v>физкултура</v>
      </c>
      <c r="D131" s="21" t="str">
        <f>VLOOKUP('Програма-кодове'!O12,Списък!$A$1:$C$210,3,FALSE)</f>
        <v>физкултура</v>
      </c>
      <c r="E131" s="21" t="str">
        <f>VLOOKUP('Програма-кодове'!O19,Списък!$A$1:$C$209,3,FALSE)</f>
        <v>история</v>
      </c>
      <c r="F131" s="21" t="str">
        <f>VLOOKUP('Програма-кодове'!O26,Списък!$A$1:$C$209,3,FALSE)</f>
        <v>бълг. език</v>
      </c>
      <c r="G131" s="21" t="str">
        <f>VLOOKUP('Програма-кодове'!O33,Списък!$A$1:$C$209,3,FALSE)</f>
        <v>химия</v>
      </c>
    </row>
    <row r="132" spans="1:17" ht="12.8" customHeight="1">
      <c r="A132" s="442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химия</v>
      </c>
      <c r="E132" s="21" t="str">
        <f>VLOOKUP('Програма-кодове'!O20,Списък!$A$1:$C$209,3,FALSE)</f>
        <v>химия</v>
      </c>
      <c r="F132" s="21" t="str">
        <f>VLOOKUP('Програма-кодове'!O27,Списък!$A$1:$C$209,3,FALSE)</f>
        <v>ИТ</v>
      </c>
      <c r="G132" s="21" t="str">
        <f>VLOOKUP('Програма-кодове'!O34,Списък!$A$1:$C$209,3,FALSE)</f>
        <v>музика</v>
      </c>
    </row>
    <row r="133" spans="1:17" ht="12.8" customHeight="1">
      <c r="A133" s="442"/>
      <c r="B133" s="43">
        <v>6</v>
      </c>
      <c r="C133" s="21" t="str">
        <f>VLOOKUP('Програма-кодове'!O7,Списък!$A$1:$C$210,3,FALSE)</f>
        <v>ІІ - ри чужд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математика</v>
      </c>
      <c r="F133" s="21" t="str">
        <f>VLOOKUP('Програма-кодове'!O28,Списък!$A$1:$C$209,3,FALSE)</f>
        <v>математика</v>
      </c>
      <c r="G133" s="21" t="str">
        <f>VLOOKUP('Програма-кодове'!O35,Списък!$A$1:$C$209,3,FALSE)</f>
        <v>физика</v>
      </c>
    </row>
    <row r="134" spans="1:17" ht="12.8" customHeight="1">
      <c r="A134" s="442"/>
      <c r="B134" s="43">
        <v>7</v>
      </c>
      <c r="C134" s="21" t="str">
        <f>VLOOKUP('Програма-кодове'!O8,Списък!$A$1:$C$210,3,FALSE)</f>
        <v>ІІ - ри чужд език</v>
      </c>
      <c r="D134" s="21" t="str">
        <f>VLOOKUP('Програма-кодове'!O15,Списък!$A$1:$C$210,3,FALSE)</f>
        <v>английски език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8" customHeight="1" thickBot="1">
      <c r="A135" s="124"/>
    </row>
    <row r="136" spans="1:17" ht="12.8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129</v>
      </c>
      <c r="G136" s="116" t="s">
        <v>28</v>
      </c>
    </row>
    <row r="137" spans="1:17" ht="12.8" customHeight="1">
      <c r="A137" s="442" t="s">
        <v>141</v>
      </c>
      <c r="B137" s="43">
        <v>1</v>
      </c>
      <c r="C137" s="21" t="str">
        <f>VLOOKUP('Програма-кодове'!P2,Списък!$A$1:$C$210,3,FALSE)</f>
        <v>математика</v>
      </c>
      <c r="D137" s="21" t="str">
        <f>VLOOKUP('Програма-кодове'!P9,Списък!$A$1:$C$209,3,FALSE)</f>
        <v>физика</v>
      </c>
      <c r="E137" s="21" t="str">
        <f>VLOOKUP('Програма-кодове'!P16,Списък!$A$1:$C$209,3,FALSE)</f>
        <v>английски език</v>
      </c>
      <c r="F137" s="21" t="str">
        <f>VLOOKUP('Програма-кодове'!P23,Списък!$A$1:$C$209,3,FALSE)</f>
        <v>математика</v>
      </c>
      <c r="G137" s="21" t="str">
        <f>VLOOKUP('Програма-кодове'!P30,Списък!$A$1:$C$209,3,FALSE)</f>
        <v>география</v>
      </c>
    </row>
    <row r="138" spans="1:17" s="43" customFormat="1" ht="12.8" customHeight="1">
      <c r="A138" s="442"/>
      <c r="B138" s="43">
        <v>2</v>
      </c>
      <c r="C138" s="21" t="str">
        <f>VLOOKUP('Програма-кодове'!P3,Списък!$A$1:$C$210,3,FALSE)</f>
        <v>математика</v>
      </c>
      <c r="D138" s="21" t="str">
        <f>VLOOKUP('Програма-кодове'!P10,Списък!$A$1:$C$209,3,FALSE)</f>
        <v>математика</v>
      </c>
      <c r="E138" s="21" t="str">
        <f>VLOOKUP('Програма-кодове'!P17,Списък!$A$1:$C$209,3,FALSE)</f>
        <v>английски език</v>
      </c>
      <c r="F138" s="21" t="str">
        <f>VLOOKUP('Програма-кодове'!P24,Списък!$A$1:$C$209,3,FALSE)</f>
        <v>философия</v>
      </c>
      <c r="G138" s="21" t="str">
        <f>VLOOKUP('Програма-кодове'!P31,Списък!$A$1:$C$209,3,FALSE)</f>
        <v>химия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8" customHeight="1">
      <c r="A139" s="442"/>
      <c r="B139" s="43">
        <v>3</v>
      </c>
      <c r="C139" s="21" t="str">
        <f>VLOOKUP('Програма-кодове'!P4,Списък!$A$1:$C$210,3,FALSE)</f>
        <v>информатика</v>
      </c>
      <c r="D139" s="21" t="str">
        <f>VLOOKUP('Програма-кодове'!P11,Списък!$A$1:$C$209,3,FALSE)</f>
        <v>химия</v>
      </c>
      <c r="E139" s="21" t="str">
        <f>VLOOKUP('Програма-кодове'!P18,Списък!$A$1:$C$209,3,FALSE)</f>
        <v>география</v>
      </c>
      <c r="F139" s="21" t="str">
        <f>VLOOKUP('Програма-кодове'!P25,Списък!$A$1:$C$209,3,FALSE)</f>
        <v>история</v>
      </c>
      <c r="G139" s="21" t="str">
        <f>VLOOKUP('Програма-кодове'!P32,Списък!$A$1:$C$209,3,FALSE)</f>
        <v>английски език</v>
      </c>
    </row>
    <row r="140" spans="1:17" ht="12.8" customHeight="1">
      <c r="A140" s="442"/>
      <c r="B140" s="43">
        <v>4</v>
      </c>
      <c r="C140" s="21" t="str">
        <f>VLOOKUP('Програма-кодове'!P5,Списък!$A$1:$C$210,3,FALSE)</f>
        <v>философия</v>
      </c>
      <c r="D140" s="21" t="str">
        <f>VLOOKUP('Програма-кодове'!P12,Списък!$A$1:$C$209,3,FALSE)</f>
        <v>география</v>
      </c>
      <c r="E140" s="21" t="str">
        <f>VLOOKUP('Програма-кодове'!P19,Списък!$A$1:$C$209,3,FALSE)</f>
        <v>физкултура</v>
      </c>
      <c r="F140" s="21" t="str">
        <f>VLOOKUP('Програма-кодове'!P26,Списък!$A$1:$C$209,3,FALSE)</f>
        <v>ИТ/ИТ</v>
      </c>
      <c r="G140" s="21" t="str">
        <f>VLOOKUP('Програма-кодове'!P33,Списък!$A$1:$C$209,3,FALSE)</f>
        <v>история</v>
      </c>
    </row>
    <row r="141" spans="1:17" ht="12.8" customHeight="1">
      <c r="A141" s="442"/>
      <c r="B141" s="43">
        <v>5</v>
      </c>
      <c r="C141" s="21" t="str">
        <f>VLOOKUP('Програма-кодове'!P6,Списък!$A$1:$C$210,3,FALSE)</f>
        <v>биология</v>
      </c>
      <c r="D141" s="21" t="str">
        <f>VLOOKUP('Програма-кодове'!P13,Списък!$A$1:$C$209,3,FALSE)</f>
        <v>музика</v>
      </c>
      <c r="E141" s="21" t="str">
        <f>VLOOKUP('Програма-кодове'!P20,Списък!$A$1:$C$209,3,FALSE)</f>
        <v>ІІ - ри чужд език</v>
      </c>
      <c r="F141" s="21" t="str">
        <f>VLOOKUP('Програма-кодове'!P27,Списък!$A$1:$C$209,3,FALSE)</f>
        <v>бълг. език</v>
      </c>
      <c r="G141" s="21" t="str">
        <f>VLOOKUP('Програма-кодове'!P34,Списък!$A$1:$C$209,3,FALSE)</f>
        <v>бълг. език</v>
      </c>
    </row>
    <row r="142" spans="1:17" ht="12.8" customHeight="1">
      <c r="A142" s="442"/>
      <c r="B142" s="43">
        <v>6</v>
      </c>
      <c r="C142" s="21" t="str">
        <f>VLOOKUP('Програма-кодове'!P7,Списък!$A$1:$C$210,3,FALSE)</f>
        <v>физкултура</v>
      </c>
      <c r="D142" s="21" t="str">
        <f>VLOOKUP('Програма-кодове'!P14,Списък!$A$1:$C$209,3,FALSE)</f>
        <v>бълг. език</v>
      </c>
      <c r="E142" s="21" t="str">
        <f>VLOOKUP('Програма-кодове'!P21,Списък!$A$1:$C$209,3,FALSE)</f>
        <v>ІІ - ри чужд език</v>
      </c>
      <c r="F142" s="21" t="str">
        <f>VLOOKUP('Програма-кодове'!P28,Списък!$A$1:$C$209,3,FALSE)</f>
        <v>биология</v>
      </c>
      <c r="G142" s="21" t="str">
        <f>VLOOKUP('Програма-кодове'!P35,Списък!$A$1:$C$209,3,FALSE)</f>
        <v>физика</v>
      </c>
    </row>
    <row r="143" spans="1:17" ht="12.8" customHeight="1">
      <c r="A143" s="442"/>
      <c r="B143" s="43">
        <v>7</v>
      </c>
      <c r="C143" s="21" t="str">
        <f>VLOOKUP('Програма-кодове'!P8,Списък!$A$1:$C$210,3,FALSE)</f>
        <v>история</v>
      </c>
      <c r="D143" s="21" t="str">
        <f>VLOOKUP('Програма-кодове'!P15,Списък!$A$1:$C$209,3,FALSE)</f>
        <v>бълг. език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8" customHeight="1" thickBot="1">
      <c r="A144" s="124"/>
    </row>
    <row r="145" spans="1:18" ht="12.8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129</v>
      </c>
      <c r="G145" s="116" t="s">
        <v>28</v>
      </c>
    </row>
    <row r="146" spans="1:18" ht="12.8" customHeight="1">
      <c r="A146" s="442" t="s">
        <v>142</v>
      </c>
      <c r="B146" s="43">
        <v>1</v>
      </c>
      <c r="C146" s="21" t="str">
        <f>VLOOKUP('Програма-кодове'!Q2,Списък!$A$1:$C$210,3,FALSE)</f>
        <v>математика</v>
      </c>
      <c r="D146" s="21" t="str">
        <f>VLOOKUP('Програма-кодове'!Q9,Списък!$A$1:$C$209,3,FALSE)</f>
        <v>химия</v>
      </c>
      <c r="E146" s="21" t="str">
        <f>VLOOKUP('Програма-кодове'!Q16,Списък!$A$1:$C$209,3,FALSE)</f>
        <v>биология</v>
      </c>
      <c r="F146" s="21" t="str">
        <f>VLOOKUP('Програма-кодове'!Q23,Списък!$A$1:$C$209,3,FALSE)</f>
        <v>информатика</v>
      </c>
      <c r="G146" s="21" t="str">
        <f>VLOOKUP('Програма-кодове'!Q30,Списък!$A$1:$C$209,3,FALSE)</f>
        <v>история</v>
      </c>
    </row>
    <row r="147" spans="1:18" ht="12.8" customHeight="1">
      <c r="A147" s="442"/>
      <c r="B147" s="43">
        <v>2</v>
      </c>
      <c r="C147" s="21" t="str">
        <f>VLOOKUP('Програма-кодове'!Q3,Списък!$A$1:$C$210,3,FALSE)</f>
        <v>математика</v>
      </c>
      <c r="D147" s="21" t="str">
        <f>VLOOKUP('Програма-кодове'!Q10,Списък!$A$1:$C$209,3,FALSE)</f>
        <v>география</v>
      </c>
      <c r="E147" s="21" t="str">
        <f>VLOOKUP('Програма-кодове'!Q17,Списък!$A$1:$C$209,3,FALSE)</f>
        <v>философия</v>
      </c>
      <c r="F147" s="21" t="str">
        <f>VLOOKUP('Програма-кодове'!Q24,Списък!$A$1:$C$209,3,FALSE)</f>
        <v>география</v>
      </c>
      <c r="G147" s="21" t="str">
        <f>VLOOKUP('Програма-кодове'!Q31,Списък!$A$1:$C$209,3,FALSE)</f>
        <v>музика</v>
      </c>
    </row>
    <row r="148" spans="1:18" s="43" customFormat="1" ht="12.8" customHeight="1">
      <c r="A148" s="442"/>
      <c r="B148" s="43">
        <v>3</v>
      </c>
      <c r="C148" s="21" t="str">
        <f>VLOOKUP('Програма-кодове'!Q4,Списък!$A$1:$C$210,3,FALSE)</f>
        <v>философия</v>
      </c>
      <c r="D148" s="21" t="str">
        <f>VLOOKUP('Програма-кодове'!Q11,Списък!$A$1:$C$209,3,FALSE)</f>
        <v>физкултура</v>
      </c>
      <c r="E148" s="21" t="str">
        <f>VLOOKUP('Програма-кодове'!Q18,Списък!$A$1:$C$209,3,FALSE)</f>
        <v>ІІ - ри чужд език</v>
      </c>
      <c r="F148" s="21" t="str">
        <f>VLOOKUP('Програма-кодове'!Q25,Списък!$A$1:$C$209,3,FALSE)</f>
        <v>химия</v>
      </c>
      <c r="G148" s="21" t="str">
        <f>VLOOKUP('Програма-кодове'!Q32,Списък!$A$1:$C$209,3,FALSE)</f>
        <v>математика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8" customHeight="1">
      <c r="A149" s="442"/>
      <c r="B149" s="43">
        <v>4</v>
      </c>
      <c r="C149" s="21" t="str">
        <f>VLOOKUP('Програма-кодове'!Q5,Списък!$A$1:$C$210,3,FALSE)</f>
        <v>биология</v>
      </c>
      <c r="D149" s="21" t="str">
        <f>VLOOKUP('Програма-кодове'!Q12,Списък!$A$1:$C$209,3,FALSE)</f>
        <v>бълг. език</v>
      </c>
      <c r="E149" s="21" t="str">
        <f>VLOOKUP('Програма-кодове'!Q19,Списък!$A$1:$C$209,3,FALSE)</f>
        <v>ІІ - ри чужд език</v>
      </c>
      <c r="F149" s="21" t="str">
        <f>VLOOKUP('Програма-кодове'!Q26,Списък!$A$1:$C$209,3,FALSE)</f>
        <v>бълг. език</v>
      </c>
      <c r="G149" s="21" t="str">
        <f>VLOOKUP('Програма-кодове'!Q33,Списък!$A$1:$C$209,3,FALSE)</f>
        <v>физика</v>
      </c>
    </row>
    <row r="150" spans="1:18" ht="12.8" customHeight="1">
      <c r="A150" s="442"/>
      <c r="B150" s="43">
        <v>5</v>
      </c>
      <c r="C150" s="21" t="str">
        <f>VLOOKUP('Програма-кодове'!Q6,Списък!$A$1:$C$210,3,FALSE)</f>
        <v>история</v>
      </c>
      <c r="D150" s="21" t="str">
        <f>VLOOKUP('Програма-кодове'!Q13,Списък!$A$1:$C$209,3,FALSE)</f>
        <v>бълг. език</v>
      </c>
      <c r="E150" s="21" t="str">
        <f>VLOOKUP('Програма-кодове'!Q20,Списък!$A$1:$C$209,3,FALSE)</f>
        <v>английски език</v>
      </c>
      <c r="F150" s="21" t="str">
        <f>VLOOKUP('Програма-кодове'!Q27,Списък!$A$1:$C$209,3,FALSE)</f>
        <v>история</v>
      </c>
      <c r="G150" s="21" t="str">
        <f>VLOOKUP('Програма-кодове'!Q34,Списък!$A$1:$C$209,3,FALSE)</f>
        <v>английски език</v>
      </c>
    </row>
    <row r="151" spans="1:18" ht="12.8" customHeight="1">
      <c r="A151" s="442"/>
      <c r="B151" s="43">
        <v>6</v>
      </c>
      <c r="C151" s="21" t="str">
        <f>VLOOKUP('Програма-кодове'!Q7,Списък!$A$1:$C$210,3,FALSE)</f>
        <v>ИТ/ИТ</v>
      </c>
      <c r="D151" s="21" t="str">
        <f>VLOOKUP('Програма-кодове'!Q14,Списък!$A$1:$C$209,3,FALSE)</f>
        <v>физика</v>
      </c>
      <c r="E151" s="21" t="str">
        <f>VLOOKUP('Програма-кодове'!Q21,Списък!$A$1:$C$209,3,FALSE)</f>
        <v>английски език</v>
      </c>
      <c r="F151" s="21" t="str">
        <f>VLOOKUP('Програма-кодове'!Q28,Списък!$A$1:$C$209,3,FALSE)</f>
        <v>физкултура</v>
      </c>
      <c r="G151" s="21" t="str">
        <f>VLOOKUP('Програма-кодове'!Q35,Списък!$A$1:$C$209,3,FALSE)</f>
        <v>география</v>
      </c>
    </row>
    <row r="152" spans="1:18" ht="12.8" customHeight="1">
      <c r="A152" s="442"/>
      <c r="B152" s="43">
        <v>7</v>
      </c>
      <c r="C152" s="21" t="str">
        <f>VLOOKUP('Програма-кодове'!Q8,Списък!$A$1:$C$210,3,FALSE)</f>
        <v>бълг. език</v>
      </c>
      <c r="D152" s="21" t="str">
        <f>VLOOKUP('Програма-кодове'!Q15,Списък!$A$1:$C$209,3,FALSE)</f>
        <v>математика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8" customHeight="1" thickBot="1">
      <c r="A153" s="124"/>
    </row>
    <row r="154" spans="1:18" ht="12.8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129</v>
      </c>
      <c r="G154" s="116" t="s">
        <v>28</v>
      </c>
    </row>
    <row r="155" spans="1:18" ht="12.8" customHeight="1">
      <c r="A155" s="442" t="s">
        <v>143</v>
      </c>
      <c r="B155" s="43">
        <v>1</v>
      </c>
      <c r="C155" s="21" t="str">
        <f>VLOOKUP('Програма-кодове'!R2,Списък!$A$1:$C$210,3,FALSE)</f>
        <v>история</v>
      </c>
      <c r="D155" s="21" t="str">
        <f>VLOOKUP('Програма-кодове'!R9,Списък!$A$1:$C$209,3,FALSE)</f>
        <v>бълг. език</v>
      </c>
      <c r="E155" s="21" t="str">
        <f>VLOOKUP('Програма-кодове'!R16,Списък!$A$1:$C$209,3,FALSE)</f>
        <v>физкултура</v>
      </c>
      <c r="F155" s="21" t="str">
        <f>VLOOKUP('Програма-кодове'!R23,Списък!$A$1:$C$209,3,FALSE)</f>
        <v>бълг. език</v>
      </c>
      <c r="G155" s="21" t="str">
        <f>VLOOKUP('Програма-кодове'!R30,Списък!$A$1:$C$209,3,FALSE)</f>
        <v>химия</v>
      </c>
    </row>
    <row r="156" spans="1:18" ht="12.8" customHeight="1">
      <c r="A156" s="442"/>
      <c r="B156" s="43">
        <v>2</v>
      </c>
      <c r="C156" s="21" t="str">
        <f>VLOOKUP('Програма-кодове'!R3,Списък!$A$1:$C$210,3,FALSE)</f>
        <v>биология</v>
      </c>
      <c r="D156" s="21" t="str">
        <f>VLOOKUP('Програма-кодове'!R10,Списък!$A$1:$C$209,3,FALSE)</f>
        <v>бълг. език</v>
      </c>
      <c r="E156" s="21" t="str">
        <f>VLOOKUP('Програма-кодове'!R17,Списък!$A$1:$C$209,3,FALSE)</f>
        <v>география</v>
      </c>
      <c r="F156" s="21" t="str">
        <f>VLOOKUP('Програма-кодове'!R24,Списък!$A$1:$C$209,3,FALSE)</f>
        <v>информатика</v>
      </c>
      <c r="G156" s="21" t="str">
        <f>VLOOKUP('Програма-кодове'!R31,Списък!$A$1:$C$209,3,FALSE)</f>
        <v>история</v>
      </c>
    </row>
    <row r="157" spans="1:18" s="43" customFormat="1" ht="12.8" customHeight="1">
      <c r="A157" s="442"/>
      <c r="B157" s="43">
        <v>3</v>
      </c>
      <c r="C157" s="21" t="str">
        <f>VLOOKUP('Програма-кодове'!R4,Списък!$A$1:$C$210,3,FALSE)</f>
        <v>математика</v>
      </c>
      <c r="D157" s="21" t="str">
        <f>VLOOKUP('Програма-кодове'!R11,Списък!$A$1:$C$209,3,FALSE)</f>
        <v>физика</v>
      </c>
      <c r="E157" s="99" t="str">
        <f>VLOOKUP('Програма-кодове'!Q18,Списък!$A$1:$C$209,3,FALSE)</f>
        <v>ІІ - ри чужд език</v>
      </c>
      <c r="F157" s="21" t="str">
        <f>VLOOKUP('Програма-кодове'!R25,Списък!$A$1:$C$209,3,FALSE)</f>
        <v>музика</v>
      </c>
      <c r="G157" s="21" t="str">
        <f>VLOOKUP('Програма-кодове'!R32,Списък!$A$1:$C$209,3,FALSE)</f>
        <v>физкултура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8" customHeight="1">
      <c r="A158" s="442"/>
      <c r="B158" s="43">
        <v>4</v>
      </c>
      <c r="C158" s="21" t="str">
        <f>VLOOKUP('Програма-кодове'!R5,Списък!$A$1:$C$210,3,FALSE)</f>
        <v>математика</v>
      </c>
      <c r="D158" s="21" t="str">
        <f>VLOOKUP('Програма-кодове'!R12,Списък!$A$1:$C$209,3,FALSE)</f>
        <v>химия</v>
      </c>
      <c r="E158" s="99" t="str">
        <f>VLOOKUP('Програма-кодове'!Q19,Списък!$A$1:$C$209,3,FALSE)</f>
        <v>ІІ - ри чужд език</v>
      </c>
      <c r="F158" s="21" t="str">
        <f>VLOOKUP('Програма-кодове'!R26,Списък!$A$1:$C$209,3,FALSE)</f>
        <v>философия</v>
      </c>
      <c r="G158" s="21" t="str">
        <f>VLOOKUP('Програма-кодове'!R33,Списък!$A$1:$C$209,3,FALSE)</f>
        <v>география</v>
      </c>
    </row>
    <row r="159" spans="1:18" ht="12.8" customHeight="1">
      <c r="A159" s="442"/>
      <c r="B159" s="43">
        <v>5</v>
      </c>
      <c r="C159" s="21" t="str">
        <f>VLOOKUP('Програма-кодове'!R6,Списък!$A$1:$C$210,3,FALSE)</f>
        <v>ИТ/ИТ</v>
      </c>
      <c r="D159" s="21" t="str">
        <f>VLOOKUP('Програма-кодове'!R13,Списък!$A$1:$C$209,3,FALSE)</f>
        <v>английски език</v>
      </c>
      <c r="E159" s="21" t="str">
        <f>VLOOKUP('Програма-кодове'!R20,Списък!$A$1:$C$209,3,FALSE)</f>
        <v>история</v>
      </c>
      <c r="F159" s="21" t="str">
        <f>VLOOKUP('Програма-кодове'!R27,Списък!$A$1:$C$209,3,FALSE)</f>
        <v>биология</v>
      </c>
      <c r="G159" s="21" t="str">
        <f>VLOOKUP('Програма-кодове'!R34,Списък!$A$1:$C$209,3,FALSE)</f>
        <v>физика</v>
      </c>
    </row>
    <row r="160" spans="1:18" ht="12.8" customHeight="1">
      <c r="A160" s="442"/>
      <c r="B160" s="43">
        <v>6</v>
      </c>
      <c r="C160" s="21" t="str">
        <f>VLOOKUP('Програма-кодове'!R7,Списък!$A$1:$C$210,3,FALSE)</f>
        <v>бълг. език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математика</v>
      </c>
      <c r="F160" s="21" t="str">
        <f>VLOOKUP('Програма-кодове'!R28,Списък!$A$1:$C$209,3,FALSE)</f>
        <v>математика</v>
      </c>
      <c r="G160" s="21" t="str">
        <f>VLOOKUP('Програма-кодове'!R35,Списък!$A$1:$C$209,3,FALSE)</f>
        <v>английски език</v>
      </c>
    </row>
    <row r="161" spans="1:7" ht="12.8" customHeight="1">
      <c r="A161" s="442"/>
      <c r="B161" s="43">
        <v>7</v>
      </c>
      <c r="C161" s="21" t="str">
        <f>VLOOKUP('Програма-кодове'!R8,Списък!$A$1:$C$210,3,FALSE)</f>
        <v>философия</v>
      </c>
      <c r="D161" s="21" t="str">
        <f>VLOOKUP('Програма-кодове'!R15,Списък!$A$1:$C$209,3,FALSE)</f>
        <v>география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8" customHeight="1" thickBot="1">
      <c r="A162" s="124"/>
    </row>
    <row r="163" spans="1:7" ht="12.8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129</v>
      </c>
      <c r="G163" s="116" t="s">
        <v>28</v>
      </c>
    </row>
    <row r="164" spans="1:7" ht="12.8" customHeight="1">
      <c r="A164" s="442" t="s">
        <v>144</v>
      </c>
      <c r="B164" s="43">
        <v>1</v>
      </c>
      <c r="C164" s="21" t="str">
        <f>VLOOKUP('Програма-кодове'!S2,Списък!$A$1:$C$210,3,FALSE)</f>
        <v>философия</v>
      </c>
      <c r="D164" s="21" t="str">
        <f>VLOOKUP('Програма-кодове'!S9,Списък!$A$1:$C$209,3,FALSE)</f>
        <v>математика</v>
      </c>
      <c r="E164" s="21" t="str">
        <f>VLOOKUP('Програма-кодове'!S16,Списък!$A$1:$C$209,3,FALSE)</f>
        <v>география</v>
      </c>
      <c r="F164" s="21" t="str">
        <f>VLOOKUP('Програма-кодове'!S23,Списък!$A$1:$C$209,3,FALSE)</f>
        <v>философия</v>
      </c>
      <c r="G164" s="21" t="str">
        <f>VLOOKUP('Програма-кодове'!S30,Списък!$A$1:$C$209,3,FALSE)</f>
        <v>физика</v>
      </c>
    </row>
    <row r="165" spans="1:7" ht="12.8" customHeight="1">
      <c r="A165" s="442"/>
      <c r="B165" s="43">
        <v>2</v>
      </c>
      <c r="C165" s="21" t="str">
        <f>VLOOKUP('Програма-кодове'!S3,Списък!$A$1:$C$210,3,FALSE)</f>
        <v>информатика</v>
      </c>
      <c r="D165" s="21" t="str">
        <f>VLOOKUP('Програма-кодове'!S10,Списък!$A$1:$C$209,3,FALSE)</f>
        <v>химия</v>
      </c>
      <c r="E165" s="21" t="str">
        <f>VLOOKUP('Програма-кодове'!S17,Списък!$A$1:$C$209,3,FALSE)</f>
        <v>физкултура</v>
      </c>
      <c r="F165" s="21" t="str">
        <f>VLOOKUP('Програма-кодове'!S24,Списък!$A$1:$C$209,3,FALSE)</f>
        <v>история</v>
      </c>
      <c r="G165" s="21" t="str">
        <f>VLOOKUP('Програма-кодове'!S31,Списък!$A$1:$C$209,3,FALSE)</f>
        <v>география</v>
      </c>
    </row>
    <row r="166" spans="1:7" ht="12.8" customHeight="1">
      <c r="A166" s="442"/>
      <c r="B166" s="43">
        <v>3</v>
      </c>
      <c r="C166" s="21" t="str">
        <f>VLOOKUP('Програма-кодове'!S4,Списък!$A$1:$C$210,3,FALSE)</f>
        <v>биология</v>
      </c>
      <c r="D166" s="21" t="str">
        <f>VLOOKUP('Програма-кодове'!S11,Списък!$A$1:$C$209,3,FALSE)</f>
        <v>английски език</v>
      </c>
      <c r="E166" s="99" t="str">
        <f>VLOOKUP('Програма-кодове'!Q18,Списък!$A$1:$C$209,3,FALSE)</f>
        <v>ІІ - ри чужд език</v>
      </c>
      <c r="F166" s="21" t="str">
        <f>VLOOKUP('Програма-кодове'!S25,Списък!$A$1:$C$209,3,FALSE)</f>
        <v>бълг. език</v>
      </c>
      <c r="G166" s="21" t="str">
        <f>VLOOKUP('Програма-кодове'!S32,Списък!$A$1:$C$209,3,FALSE)</f>
        <v>химия</v>
      </c>
    </row>
    <row r="167" spans="1:7" ht="12.8" customHeight="1">
      <c r="A167" s="442"/>
      <c r="B167" s="43">
        <v>4</v>
      </c>
      <c r="C167" s="21" t="str">
        <f>VLOOKUP('Програма-кодове'!S5,Списък!$A$1:$C$210,3,FALSE)</f>
        <v>история</v>
      </c>
      <c r="D167" s="21" t="str">
        <f>VLOOKUP('Програма-кодове'!S12,Списък!$A$1:$C$209,3,FALSE)</f>
        <v>английски език</v>
      </c>
      <c r="E167" s="99" t="str">
        <f>VLOOKUP('Програма-кодове'!Q19,Списък!$A$1:$C$209,3,FALSE)</f>
        <v>ІІ - ри чужд език</v>
      </c>
      <c r="F167" s="21" t="str">
        <f>VLOOKUP('Програма-кодове'!S26,Списък!$A$1:$C$209,3,FALSE)</f>
        <v>биология</v>
      </c>
      <c r="G167" s="21" t="str">
        <f>VLOOKUP('Програма-кодове'!S33,Списък!$A$1:$C$209,3,FALSE)</f>
        <v>английски език</v>
      </c>
    </row>
    <row r="168" spans="1:7" ht="12.8" customHeight="1">
      <c r="A168" s="442"/>
      <c r="B168" s="43">
        <v>5</v>
      </c>
      <c r="C168" s="21" t="str">
        <f>VLOOKUP('Програма-кодове'!S6,Списък!$A$1:$C$210,3,FALSE)</f>
        <v>математика</v>
      </c>
      <c r="D168" s="21" t="str">
        <f>VLOOKUP('Програма-кодове'!S13,Списък!$A$1:$C$209,3,FALSE)</f>
        <v>физика</v>
      </c>
      <c r="E168" s="21" t="str">
        <f>VLOOKUP('Програма-кодове'!S20,Списък!$A$1:$C$209,3,FALSE)</f>
        <v>бълг. език</v>
      </c>
      <c r="F168" s="21" t="str">
        <f>VLOOKUP('Програма-кодове'!S27,Списък!$A$1:$C$209,3,FALSE)</f>
        <v>ИТ/ИТ</v>
      </c>
      <c r="G168" s="21" t="str">
        <f>VLOOKUP('Програма-кодове'!S34,Списък!$A$1:$C$209,3,FALSE)</f>
        <v>история</v>
      </c>
    </row>
    <row r="169" spans="1:7" ht="12.8" customHeight="1">
      <c r="A169" s="442"/>
      <c r="B169" s="43">
        <v>6</v>
      </c>
      <c r="C169" s="21" t="str">
        <f>VLOOKUP('Програма-кодове'!S7,Списък!$A$1:$C$210,3,FALSE)</f>
        <v>математика</v>
      </c>
      <c r="D169" s="21" t="str">
        <f>VLOOKUP('Програма-кодове'!S14,Списък!$A$1:$C$209,3,FALSE)</f>
        <v>география</v>
      </c>
      <c r="E169" s="21" t="str">
        <f>VLOOKUP('Програма-кодове'!S21,Списък!$A$1:$C$209,3,FALSE)</f>
        <v>бълг. език</v>
      </c>
      <c r="F169" s="21" t="str">
        <f>VLOOKUP('Програма-кодове'!S28,Списък!$A$1:$C$209,3,FALSE)</f>
        <v>математика</v>
      </c>
      <c r="G169" s="21" t="str">
        <f>VLOOKUP('Програма-кодове'!S35,Списък!$A$1:$C$209,3,FALSE)</f>
        <v>бълг. език</v>
      </c>
    </row>
    <row r="170" spans="1:7" ht="12.8" customHeight="1">
      <c r="A170" s="442"/>
      <c r="B170" s="43">
        <v>7</v>
      </c>
      <c r="C170" s="21" t="str">
        <f>VLOOKUP('Програма-кодове'!S8,Списък!$A$1:$C$210,3,FALSE)</f>
        <v>физкултура</v>
      </c>
      <c r="D170" s="21" t="str">
        <f>VLOOKUP('Програма-кодове'!S15,Списък!$A$1:$C$209,3,FALSE)</f>
        <v>музика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8" customHeight="1" thickBot="1">
      <c r="A171" s="124"/>
    </row>
    <row r="172" spans="1:7" ht="12.8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129</v>
      </c>
      <c r="G172" s="116" t="s">
        <v>28</v>
      </c>
    </row>
    <row r="173" spans="1:7" ht="12.8" customHeight="1">
      <c r="A173" s="442" t="s">
        <v>145</v>
      </c>
      <c r="B173" s="43">
        <v>1</v>
      </c>
      <c r="C173" s="21" t="str">
        <f>VLOOKUP('Програма-кодове'!T2,Списък!$A$1:$C$210,3,FALSE)</f>
        <v>английски език</v>
      </c>
      <c r="D173" s="21" t="str">
        <f>VLOOKUP('Програма-кодове'!T9,Списък!$A$1:$C$209,3,FALSE)</f>
        <v>история</v>
      </c>
      <c r="E173" s="21" t="str">
        <f>VLOOKUP('Програма-кодове'!T16,Списък!$A$1:$C$209,3,FALSE)</f>
        <v>биология</v>
      </c>
      <c r="F173" s="21" t="str">
        <f>VLOOKUP('Програма-кодове'!T23,Списък!$A$1:$C$209,3,FALSE)</f>
        <v>история</v>
      </c>
      <c r="G173" s="21" t="str">
        <f>VLOOKUP('Програма-кодове'!T30,Списък!$A$1:$C$209,3,FALSE)</f>
        <v>физкултура</v>
      </c>
    </row>
    <row r="174" spans="1:7" ht="12.8" customHeight="1">
      <c r="A174" s="442"/>
      <c r="B174" s="43">
        <v>2</v>
      </c>
      <c r="C174" s="21" t="str">
        <f>VLOOKUP('Програма-кодове'!T3,Списък!$A$1:$C$210,3,FALSE)</f>
        <v>английски език</v>
      </c>
      <c r="D174" s="21" t="str">
        <f>VLOOKUP('Програма-кодове'!T10,Списък!$A$1:$C$209,3,FALSE)</f>
        <v>физика</v>
      </c>
      <c r="E174" s="21" t="str">
        <f>VLOOKUP('Програма-кодове'!T17,Списък!$A$1:$C$209,3,FALSE)</f>
        <v>биология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физика</v>
      </c>
    </row>
    <row r="175" spans="1:7" ht="12.8" customHeight="1">
      <c r="A175" s="442"/>
      <c r="B175" s="43">
        <v>3</v>
      </c>
      <c r="C175" s="21" t="str">
        <f>VLOOKUP('Програма-кодове'!T4,Списък!$A$1:$C$210,3,FALSE)</f>
        <v>химия</v>
      </c>
      <c r="D175" s="21" t="str">
        <f>VLOOKUP('Програма-кодове'!T11,Списък!$A$1:$C$209,3,FALSE)</f>
        <v>математика</v>
      </c>
      <c r="E175" s="21" t="str">
        <f>VLOOKUP('Програма-кодове'!T18,Списък!$A$1:$C$209,3,FALSE)</f>
        <v>бълг. език</v>
      </c>
      <c r="F175" s="21" t="str">
        <f>VLOOKUP('Програма-кодове'!T25,Списък!$A$1:$C$209,3,FALSE)</f>
        <v>география</v>
      </c>
      <c r="G175" s="21" t="str">
        <f>VLOOKUP('Програма-кодове'!T32,Списък!$A$1:$C$209,3,FALSE)</f>
        <v>бълг. език</v>
      </c>
    </row>
    <row r="176" spans="1:7" ht="12.8" customHeight="1">
      <c r="A176" s="442"/>
      <c r="B176" s="43">
        <v>4</v>
      </c>
      <c r="C176" s="21" t="str">
        <f>VLOOKUP('Програма-кодове'!T5,Списък!$A$1:$C$210,3,FALSE)</f>
        <v>физкултура</v>
      </c>
      <c r="D176" s="21" t="str">
        <f>VLOOKUP('Програма-кодове'!T12,Списък!$A$1:$C$209,3,FALSE)</f>
        <v>химия</v>
      </c>
      <c r="E176" s="21" t="str">
        <f>VLOOKUP('Програма-кодове'!T19,Списък!$A$1:$C$209,3,FALSE)</f>
        <v>математика</v>
      </c>
      <c r="F176" s="21" t="str">
        <f>VLOOKUP('Програма-кодове'!T26,Списък!$A$1:$C$209,3,FALSE)</f>
        <v>философия</v>
      </c>
      <c r="G176" s="21" t="str">
        <f>VLOOKUP('Програма-кодове'!T33,Списък!$A$1:$C$209,3,FALSE)</f>
        <v>бълг. език</v>
      </c>
    </row>
    <row r="177" spans="1:18" s="43" customFormat="1" ht="12.8" customHeight="1">
      <c r="A177" s="442"/>
      <c r="B177" s="43">
        <v>5</v>
      </c>
      <c r="C177" s="21" t="str">
        <f>VLOOKUP('Програма-кодове'!T6,Списък!$A$1:$C$210,3,FALSE)</f>
        <v>философия</v>
      </c>
      <c r="D177" s="21" t="str">
        <f>VLOOKUP('Програма-кодове'!T13,Списък!$A$1:$C$209,3,FALSE)</f>
        <v>география</v>
      </c>
      <c r="E177" s="21" t="str">
        <f>VLOOKUP('Програма-кодове'!T20,Списък!$A$1:$C$209,3,FALSE)</f>
        <v>ІІ - ри чужд език</v>
      </c>
      <c r="F177" s="21" t="str">
        <f>VLOOKUP('Програма-кодове'!T27,Списък!$A$1:$C$209,3,FALSE)</f>
        <v>химия</v>
      </c>
      <c r="G177" s="21" t="str">
        <f>VLOOKUP('Програма-кодове'!T34,Списък!$A$1:$C$209,3,FALSE)</f>
        <v>география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8" customHeight="1">
      <c r="A178" s="442"/>
      <c r="B178" s="43">
        <v>6</v>
      </c>
      <c r="C178" s="21" t="str">
        <f>VLOOKUP('Програма-кодове'!T7,Списък!$A$1:$C$210,3,FALSE)</f>
        <v>история</v>
      </c>
      <c r="D178" s="21" t="str">
        <f>VLOOKUP('Програма-кодове'!T14,Списък!$A$1:$C$209,3,FALSE)</f>
        <v>музика</v>
      </c>
      <c r="E178" s="21" t="str">
        <f>VLOOKUP('Програма-кодове'!T21,Списък!$A$1:$C$209,3,FALSE)</f>
        <v>ІІ - ри чужд език</v>
      </c>
      <c r="F178" s="21" t="str">
        <f>VLOOKUP('Програма-кодове'!T28,Списък!$A$1:$C$209,3,FALSE)</f>
        <v>бълг. език</v>
      </c>
      <c r="G178" s="21" t="str">
        <f>VLOOKUP('Програма-кодове'!T35,Списък!$A$1:$C$209,3,FALSE)</f>
        <v>математика</v>
      </c>
    </row>
    <row r="179" spans="1:18" ht="12.8" customHeight="1">
      <c r="A179" s="442"/>
      <c r="B179" s="43">
        <v>7</v>
      </c>
      <c r="C179" s="21" t="str">
        <f>VLOOKUP('Програма-кодове'!T8,Списък!$A$1:$C$210,3,FALSE)</f>
        <v>ИТ/ИТ</v>
      </c>
      <c r="D179" s="21" t="str">
        <f>VLOOKUP('Програма-кодове'!T15,Списък!$A$1:$C$209,3,FALSE)</f>
        <v>биология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8" customHeight="1" thickBot="1">
      <c r="A180" s="124"/>
    </row>
    <row r="181" spans="1:18" ht="12.8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129</v>
      </c>
      <c r="G181" s="116" t="s">
        <v>28</v>
      </c>
    </row>
    <row r="182" spans="1:18" ht="12.8" customHeight="1">
      <c r="A182" s="442" t="s">
        <v>146</v>
      </c>
      <c r="B182" s="43">
        <v>1</v>
      </c>
      <c r="C182" s="21" t="str">
        <f>VLOOKUP('Програма-кодове'!U2,Списък!$A$1:$C$210,3,FALSE)</f>
        <v>биология</v>
      </c>
      <c r="D182" s="21" t="str">
        <f>VLOOKUP('Програма-кодове'!U9,Списък!$A$1:$C$209,3,FALSE)</f>
        <v>история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информатика</v>
      </c>
      <c r="G182" s="21" t="str">
        <f>VLOOKUP('Програма-кодове'!U30,Списък!$A$1:$C$209,3,FALSE)</f>
        <v>бълг. език</v>
      </c>
    </row>
    <row r="183" spans="1:18" ht="12.8" customHeight="1">
      <c r="A183" s="442"/>
      <c r="B183" s="43">
        <v>2</v>
      </c>
      <c r="C183" s="21" t="str">
        <f>VLOOKUP('Програма-кодове'!U3,Списък!$A$1:$C$210,3,FALSE)</f>
        <v>география</v>
      </c>
      <c r="D183" s="21" t="str">
        <f>VLOOKUP('Програма-кодове'!U10,Списък!$A$1:$C$209,3,FALSE)</f>
        <v>бълг. език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химия</v>
      </c>
      <c r="G183" s="21" t="str">
        <f>VLOOKUP('Програма-кодове'!U31,Списък!$A$1:$C$209,3,FALSE)</f>
        <v>бълг. език</v>
      </c>
    </row>
    <row r="184" spans="1:18" ht="12.8" customHeight="1">
      <c r="A184" s="442"/>
      <c r="B184" s="43">
        <v>3</v>
      </c>
      <c r="C184" s="21" t="str">
        <f>VLOOKUP('Програма-кодове'!U4,Списък!$A$1:$C$210,3,FALSE)</f>
        <v>английски език</v>
      </c>
      <c r="D184" s="21" t="str">
        <f>VLOOKUP('Програма-кодове'!U11,Списък!$A$1:$C$209,3,FALSE)</f>
        <v>химия</v>
      </c>
      <c r="E184" s="21" t="str">
        <f>VLOOKUP('Програма-кодове'!U18,Списък!$A$1:$C$209,3,FALSE)</f>
        <v>физкултура</v>
      </c>
      <c r="F184" s="21" t="str">
        <f>VLOOKUP('Програма-кодове'!U25,Списък!$A$1:$C$209,3,FALSE)</f>
        <v>философия</v>
      </c>
      <c r="G184" s="21" t="str">
        <f>VLOOKUP('Програма-кодове'!U32,Списък!$A$1:$C$209,3,FALSE)</f>
        <v>английски език</v>
      </c>
    </row>
    <row r="185" spans="1:18" ht="12.8" customHeight="1">
      <c r="A185" s="442"/>
      <c r="B185" s="43">
        <v>4</v>
      </c>
      <c r="C185" s="21" t="str">
        <f>VLOOKUP('Програма-кодове'!U5,Списък!$A$1:$C$210,3,FALSE)</f>
        <v>английски език</v>
      </c>
      <c r="D185" s="21" t="str">
        <f>VLOOKUP('Програма-кодове'!U12,Списък!$A$1:$C$209,3,FALSE)</f>
        <v>информатика</v>
      </c>
      <c r="E185" s="21" t="str">
        <f>VLOOKUP('Програма-кодове'!U19,Списък!$A$1:$C$209,3,FALSE)</f>
        <v>биология</v>
      </c>
      <c r="F185" s="21" t="str">
        <f>VLOOKUP('Програма-кодове'!U26,Списък!$A$1:$C$209,3,FALSE)</f>
        <v>математика</v>
      </c>
      <c r="G185" s="21" t="str">
        <f>VLOOKUP('Програма-кодове'!U33,Списък!$A$1:$C$209,3,FALSE)</f>
        <v>математика</v>
      </c>
    </row>
    <row r="186" spans="1:18" ht="12.8" customHeight="1">
      <c r="A186" s="442"/>
      <c r="B186" s="43">
        <v>5</v>
      </c>
      <c r="C186" s="21" t="str">
        <f>VLOOKUP('Програма-кодове'!U6,Списък!$A$1:$C$210,3,FALSE)</f>
        <v>физика</v>
      </c>
      <c r="D186" s="21" t="str">
        <f>VLOOKUP('Програма-кодове'!U13,Списък!$A$1:$C$209,3,FALSE)</f>
        <v>математика</v>
      </c>
      <c r="E186" s="21" t="str">
        <f>VLOOKUP('Програма-кодове'!U20,Списък!$A$1:$C$209,3,FALSE)</f>
        <v>информатика</v>
      </c>
      <c r="F186" s="21" t="str">
        <f>VLOOKUP('Програма-кодове'!U27,Списък!$A$1:$C$209,3,FALSE)</f>
        <v>ІІ - ри чужд език</v>
      </c>
      <c r="G186" s="21" t="str">
        <f>VLOOKUP('Програма-кодове'!U34,Списък!$A$1:$C$209,3,FALSE)</f>
        <v>математика</v>
      </c>
    </row>
    <row r="187" spans="1:18" ht="12.8" customHeight="1">
      <c r="A187" s="442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физкултура</v>
      </c>
      <c r="E187" s="21" t="str">
        <f>VLOOKUP('Програма-кодове'!U21,Списък!$A$1:$C$209,3,FALSE)</f>
        <v>физика</v>
      </c>
      <c r="F187" s="21" t="str">
        <f>VLOOKUP('Програма-кодове'!U28,Списък!$A$1:$C$209,3,FALSE)</f>
        <v>ІІ - ри чужд език</v>
      </c>
      <c r="G187" s="21" t="str">
        <f>VLOOKUP('Програма-кодове'!U35,Списък!$A$1:$C$209,3,FALSE)</f>
        <v>история</v>
      </c>
    </row>
    <row r="188" spans="1:18" s="43" customFormat="1" ht="12.8" customHeight="1">
      <c r="A188" s="442"/>
      <c r="B188" s="43">
        <v>7</v>
      </c>
      <c r="C188" s="21" t="str">
        <f>VLOOKUP('Програма-кодове'!U8,Списък!$A$1:$C$210,3,FALSE)</f>
        <v>математика</v>
      </c>
      <c r="D188" s="21" t="str">
        <f>VLOOKUP('Програма-кодове'!U15,Списък!$A$1:$C$209,3,FALSE)</f>
        <v>философия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8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8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129</v>
      </c>
      <c r="G190" s="116" t="s">
        <v>28</v>
      </c>
    </row>
    <row r="191" spans="1:18" ht="12.8" customHeight="1">
      <c r="A191" s="442" t="s">
        <v>147</v>
      </c>
      <c r="B191" s="43">
        <v>1</v>
      </c>
      <c r="C191" s="21" t="str">
        <f>VLOOKUP('Програма-кодове'!V2,Списък!$A$1:$C$210,3,FALSE)</f>
        <v>информатика</v>
      </c>
      <c r="D191" s="21" t="str">
        <f>VLOOKUP('Програма-кодове'!V9,Списък!$A$1:$C$209,3,FALSE)</f>
        <v>математика</v>
      </c>
      <c r="E191" s="21" t="str">
        <f>VLOOKUP('Програма-кодове'!V16,Списък!$A$1:$C$209,3,FALSE)</f>
        <v>история</v>
      </c>
      <c r="F191" s="21" t="str">
        <f>VLOOKUP('Програма-кодове'!V23,Списък!$A$1:$C$209,3,FALSE)</f>
        <v>ІІ - ри чужд език</v>
      </c>
      <c r="G191" s="21" t="str">
        <f>VLOOKUP('Програма-кодове'!V30,Списък!$A$1:$C$209,3,FALSE)</f>
        <v>английски език</v>
      </c>
    </row>
    <row r="192" spans="1:18" ht="12.8" customHeight="1">
      <c r="A192" s="442"/>
      <c r="B192" s="43">
        <v>2</v>
      </c>
      <c r="C192" s="21" t="str">
        <f>VLOOKUP('Програма-кодове'!V3,Списък!$A$1:$C$210,3,FALSE)</f>
        <v>физкултура</v>
      </c>
      <c r="D192" s="21" t="str">
        <f>VLOOKUP('Програма-кодове'!V10,Списък!$A$1:$C$209,3,FALSE)</f>
        <v>химия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ІІ - ри чужд език</v>
      </c>
      <c r="G192" s="21" t="str">
        <f>VLOOKUP('Програма-кодове'!V31,Списък!$A$1:$C$209,3,FALSE)</f>
        <v>английски език</v>
      </c>
    </row>
    <row r="193" spans="1:17" ht="12.8" customHeight="1">
      <c r="A193" s="442"/>
      <c r="B193" s="43">
        <v>3</v>
      </c>
      <c r="C193" s="21" t="str">
        <f>VLOOKUP('Програма-кодове'!V4,Списък!$A$1:$C$210,3,FALSE)</f>
        <v>математика</v>
      </c>
      <c r="D193" s="21" t="str">
        <f>VLOOKUP('Програма-кодове'!V11,Списък!$A$1:$C$209,3,FALSE)</f>
        <v>информатика</v>
      </c>
      <c r="E193" s="21" t="str">
        <f>VLOOKUP('Програма-кодове'!V18,Списък!$A$1:$C$209,3,FALSE)</f>
        <v>биология</v>
      </c>
      <c r="F193" s="21" t="str">
        <f>VLOOKUP('Програма-кодове'!V25,Списък!$A$1:$C$209,3,FALSE)</f>
        <v>химия</v>
      </c>
      <c r="G193" s="21" t="str">
        <f>VLOOKUP('Програма-кодове'!V32,Списък!$A$1:$C$209,3,FALSE)</f>
        <v>история</v>
      </c>
    </row>
    <row r="194" spans="1:17" ht="12.8" customHeight="1">
      <c r="A194" s="442"/>
      <c r="B194" s="43">
        <v>4</v>
      </c>
      <c r="C194" s="21" t="str">
        <f>VLOOKUP('Програма-кодове'!V5,Списък!$A$1:$C$210,3,FALSE)</f>
        <v>математика</v>
      </c>
      <c r="D194" s="21" t="str">
        <f>VLOOKUP('Програма-кодове'!V12,Списък!$A$1:$C$209,3,FALSE)</f>
        <v>бълг. език</v>
      </c>
      <c r="E194" s="21" t="str">
        <f>VLOOKUP('Програма-кодове'!V19,Списък!$A$1:$C$209,3,FALSE)</f>
        <v>английски език</v>
      </c>
      <c r="F194" s="21" t="str">
        <f>VLOOKUP('Програма-кодове'!V26,Списък!$A$1:$C$209,3,FALSE)</f>
        <v>информатика</v>
      </c>
      <c r="G194" s="21" t="str">
        <f>VLOOKUP('Програма-кодове'!V33,Списък!$A$1:$C$209,3,FALSE)</f>
        <v>математика</v>
      </c>
    </row>
    <row r="195" spans="1:17" ht="12.8" customHeight="1">
      <c r="A195" s="442"/>
      <c r="B195" s="43">
        <v>5</v>
      </c>
      <c r="C195" s="21" t="str">
        <f>VLOOKUP('Програма-кодове'!V6,Списък!$A$1:$C$210,3,FALSE)</f>
        <v>география</v>
      </c>
      <c r="D195" s="21" t="str">
        <f>VLOOKUP('Програма-кодове'!V13,Списък!$A$1:$C$209,3,FALSE)</f>
        <v>философия</v>
      </c>
      <c r="E195" s="21" t="str">
        <f>VLOOKUP('Програма-кодове'!V20,Списък!$A$1:$C$209,3,FALSE)</f>
        <v>физика</v>
      </c>
      <c r="F195" s="21" t="str">
        <f>VLOOKUP('Програма-кодове'!V27,Списък!$A$1:$C$209,3,FALSE)</f>
        <v>бълг. език</v>
      </c>
      <c r="G195" s="21" t="str">
        <f>VLOOKUP('Програма-кодове'!V34,Списък!$A$1:$C$209,3,FALSE)</f>
        <v>математика</v>
      </c>
    </row>
    <row r="196" spans="1:17" ht="12.8" customHeight="1">
      <c r="A196" s="442"/>
      <c r="B196" s="43">
        <v>6</v>
      </c>
      <c r="C196" s="21" t="str">
        <f>VLOOKUP('Програма-кодове'!V7,Списък!$A$1:$C$210,3,FALSE)</f>
        <v>биология</v>
      </c>
      <c r="D196" s="21" t="str">
        <f>VLOOKUP('Програма-кодове'!V14,Списък!$A$1:$C$209,3,FALSE)</f>
        <v>английски език</v>
      </c>
      <c r="E196" s="21" t="str">
        <f>VLOOKUP('Програма-кодове'!V21,Списък!$A$1:$C$209,3,FALSE)</f>
        <v>информатика</v>
      </c>
      <c r="F196" s="21" t="str">
        <f>VLOOKUP('Програма-кодове'!V28,Списък!$A$1:$C$209,3,FALSE)</f>
        <v>бълг. език</v>
      </c>
      <c r="G196" s="21" t="str">
        <f>VLOOKUP('Програма-кодове'!V35,Списък!$A$1:$C$209,3,FALSE)</f>
        <v>философия</v>
      </c>
    </row>
    <row r="197" spans="1:17" ht="12.8" customHeight="1">
      <c r="A197" s="442"/>
      <c r="B197" s="43">
        <v>7</v>
      </c>
      <c r="C197" s="21" t="str">
        <f>VLOOKUP('Програма-кодове'!V8,Списък!$A$1:$C$210,3,FALSE)</f>
        <v>физика</v>
      </c>
      <c r="D197" s="21" t="str">
        <f>VLOOKUP('Програма-кодове'!V15,Списък!$A$1:$C$209,3,FALSE)</f>
        <v>английски език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8" customHeight="1" thickBot="1">
      <c r="A198" s="124"/>
    </row>
    <row r="199" spans="1:17" s="43" customFormat="1" ht="12.8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129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8" customHeight="1">
      <c r="A200" s="442" t="s">
        <v>148</v>
      </c>
      <c r="B200" s="43">
        <v>1</v>
      </c>
      <c r="C200" s="21" t="str">
        <f>VLOOKUP('Програма-кодове'!W2,Списък!$A$1:$C$210,3,FALSE)</f>
        <v>бълг. език</v>
      </c>
      <c r="D200" s="21" t="str">
        <f>VLOOKUP('Програма-кодове'!W9,Списък!$A$1:$C$209,3,FALSE)</f>
        <v>информатика</v>
      </c>
      <c r="E200" s="21" t="str">
        <f>VLOOKUP('Програма-кодове'!W16,Списък!$A$1:$C$209,3,FALSE)</f>
        <v>бълг. език</v>
      </c>
      <c r="F200" s="21" t="str">
        <f>VLOOKUP('Програма-кодове'!W23,Списък!$A$1:$C$209,3,FALSE)</f>
        <v>ІІ - ри чужд език</v>
      </c>
      <c r="G200" s="21" t="str">
        <f>VLOOKUP('Програма-кодове'!W30,Списък!$A$1:$C$209,3,FALSE)</f>
        <v>физкултура</v>
      </c>
    </row>
    <row r="201" spans="1:17" ht="12.8" customHeight="1">
      <c r="A201" s="442"/>
      <c r="B201" s="43">
        <v>2</v>
      </c>
      <c r="C201" s="21" t="str">
        <f>VLOOKUP('Програма-кодове'!W3,Списък!$A$1:$C$210,3,FALSE)</f>
        <v>информатика</v>
      </c>
      <c r="D201" s="21" t="str">
        <f>VLOOKUP('Програма-кодове'!W10,Списък!$A$1:$C$209,3,FALSE)</f>
        <v>математика</v>
      </c>
      <c r="E201" s="21" t="str">
        <f>VLOOKUP('Програма-кодове'!W17,Списък!$A$1:$C$209,3,FALSE)</f>
        <v>бълг. език</v>
      </c>
      <c r="F201" s="21" t="str">
        <f>VLOOKUP('Програма-кодове'!W24,Списък!$A$1:$C$209,3,FALSE)</f>
        <v>ІІ - ри чужд език</v>
      </c>
      <c r="G201" s="21" t="str">
        <f>VLOOKUP('Програма-кодове'!W31,Списък!$A$1:$C$209,3,FALSE)</f>
        <v>история</v>
      </c>
    </row>
    <row r="202" spans="1:17" ht="12.8" customHeight="1">
      <c r="A202" s="442"/>
      <c r="B202" s="43">
        <v>3</v>
      </c>
      <c r="C202" s="21" t="str">
        <f>VLOOKUP('Програма-кодове'!W4,Списък!$A$1:$C$210,3,FALSE)</f>
        <v>физика</v>
      </c>
      <c r="D202" s="21" t="str">
        <f>VLOOKUP('Програма-кодове'!W11,Списък!$A$1:$C$209,3,FALSE)</f>
        <v>химия</v>
      </c>
      <c r="E202" s="21" t="str">
        <f>VLOOKUP('Програма-кодове'!W18,Списък!$A$1:$C$209,3,FALSE)</f>
        <v>информатика</v>
      </c>
      <c r="F202" s="21" t="str">
        <f>VLOOKUP('Програма-кодове'!W25,Списък!$A$1:$C$209,3,FALSE)</f>
        <v>информатика</v>
      </c>
      <c r="G202" s="21" t="str">
        <f>VLOOKUP('Програма-кодове'!W32,Списък!$A$1:$C$209,3,FALSE)</f>
        <v>биология</v>
      </c>
    </row>
    <row r="203" spans="1:17" ht="12.8" customHeight="1">
      <c r="A203" s="442"/>
      <c r="B203" s="43">
        <v>4</v>
      </c>
      <c r="C203" s="21" t="str">
        <f>VLOOKUP('Програма-кодове'!W5,Списък!$A$1:$C$210,3,FALSE)</f>
        <v>география</v>
      </c>
      <c r="D203" s="21" t="str">
        <f>VLOOKUP('Програма-кодове'!W12,Списък!$A$1:$C$209,3,FALSE)</f>
        <v>философия</v>
      </c>
      <c r="E203" s="21" t="str">
        <f>VLOOKUP('Програма-кодове'!W19,Списък!$A$1:$C$209,3,FALSE)</f>
        <v>английски език</v>
      </c>
      <c r="F203" s="21" t="str">
        <f>VLOOKUP('Програма-кодове'!W26,Списък!$A$1:$C$209,3,FALSE)</f>
        <v>химия</v>
      </c>
      <c r="G203" s="21" t="str">
        <f>VLOOKUP('Програма-кодове'!W33,Списък!$A$1:$C$209,3,FALSE)</f>
        <v>философия</v>
      </c>
    </row>
    <row r="204" spans="1:17" ht="12.8" customHeight="1">
      <c r="A204" s="442"/>
      <c r="B204" s="43">
        <v>5</v>
      </c>
      <c r="C204" s="21" t="str">
        <f>VLOOKUP('Програма-кодове'!W6,Списък!$A$1:$C$210,3,FALSE)</f>
        <v>математика</v>
      </c>
      <c r="D204" s="21" t="str">
        <f>VLOOKUP('Програма-кодове'!W13,Списък!$A$1:$C$209,3,FALSE)</f>
        <v>история</v>
      </c>
      <c r="E204" s="21" t="str">
        <f>VLOOKUP('Програма-кодове'!W20,Списък!$A$1:$C$209,3,FALSE)</f>
        <v>математика</v>
      </c>
      <c r="F204" s="21" t="str">
        <f>VLOOKUP('Програма-кодове'!W27,Списък!$A$1:$C$209,3,FALSE)</f>
        <v>биология</v>
      </c>
      <c r="G204" s="21" t="str">
        <f>VLOOKUP('Програма-кодове'!W34,Списък!$A$1:$C$209,3,FALSE)</f>
        <v>английски език</v>
      </c>
    </row>
    <row r="205" spans="1:17" ht="12.8" customHeight="1">
      <c r="A205" s="442"/>
      <c r="B205" s="43">
        <v>6</v>
      </c>
      <c r="C205" s="21" t="str">
        <f>VLOOKUP('Програма-кодове'!W7,Списък!$A$1:$C$210,3,FALSE)</f>
        <v>математика</v>
      </c>
      <c r="D205" s="21" t="str">
        <f>VLOOKUP('Програма-кодове'!W14,Списък!$A$1:$C$209,3,FALSE)</f>
        <v>английски език</v>
      </c>
      <c r="E205" s="21" t="str">
        <f>VLOOKUP('Програма-кодове'!W21,Списък!$A$1:$C$209,3,FALSE)</f>
        <v>физика</v>
      </c>
      <c r="F205" s="21" t="str">
        <f>VLOOKUP('Програма-кодове'!W28,Списък!$A$1:$C$209,3,FALSE)</f>
        <v>математика</v>
      </c>
      <c r="G205" s="21" t="str">
        <f>VLOOKUP('Програма-кодове'!W35,Списък!$A$1:$C$209,3,FALSE)</f>
        <v>английски език</v>
      </c>
    </row>
    <row r="206" spans="1:17" ht="12.8" customHeight="1">
      <c r="A206" s="442"/>
      <c r="B206" s="43">
        <v>7</v>
      </c>
      <c r="C206" s="21" t="str">
        <f>VLOOKUP('Програма-кодове'!W8,Списък!$A$1:$C$210,3,FALSE)</f>
        <v>физкултура</v>
      </c>
      <c r="D206" s="21" t="str">
        <f>VLOOKUP('Програма-кодове'!W15,Списък!$A$1:$C$209,3,FALSE)</f>
        <v>английски език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8" customHeight="1" thickBot="1">
      <c r="A207" s="124"/>
    </row>
    <row r="208" spans="1:17" ht="12.8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129</v>
      </c>
      <c r="G208" s="116" t="s">
        <v>28</v>
      </c>
    </row>
    <row r="209" spans="1:18" ht="12.8" customHeight="1">
      <c r="A209" s="442" t="s">
        <v>149</v>
      </c>
      <c r="B209" s="43">
        <v>1</v>
      </c>
      <c r="C209" s="21" t="str">
        <f>VLOOKUP('Програма-кодове'!X2,Списък!$A$1:$C$210,3,FALSE)</f>
        <v>немски език</v>
      </c>
      <c r="D209" s="21" t="str">
        <f>VLOOKUP('Програма-кодове'!X9,Списък!$A$1:$C$209,3,FALSE)</f>
        <v>бълг. език</v>
      </c>
      <c r="E209" s="21" t="str">
        <f>VLOOKUP('Програма-кодове'!X16,Списък!$A$1:$C$209,3,FALSE)</f>
        <v>физика</v>
      </c>
      <c r="F209" s="21" t="str">
        <f>VLOOKUP('Програма-кодове'!X23,Списък!$A$1:$C$209,3,FALSE)</f>
        <v>физкултура</v>
      </c>
      <c r="G209" s="21" t="str">
        <f>VLOOKUP('Програма-кодове'!X30,Списък!$A$1:$C$209,3,FALSE)</f>
        <v>английски език</v>
      </c>
    </row>
    <row r="210" spans="1:18" s="43" customFormat="1" ht="12.8" customHeight="1">
      <c r="A210" s="442"/>
      <c r="B210" s="43">
        <v>2</v>
      </c>
      <c r="C210" s="21" t="str">
        <f>VLOOKUP('Програма-кодове'!X3,Списък!$A$1:$C$210,3,FALSE)</f>
        <v>немски език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химия</v>
      </c>
      <c r="F210" s="21" t="str">
        <f>VLOOKUP('Програма-кодове'!X24,Списък!$A$1:$C$209,3,FALSE)</f>
        <v>информатика</v>
      </c>
      <c r="G210" s="21" t="str">
        <f>VLOOKUP('Програма-кодове'!X31,Списък!$A$1:$C$209,3,FALSE)</f>
        <v>философия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8" customHeight="1">
      <c r="A211" s="442"/>
      <c r="B211" s="43">
        <v>3</v>
      </c>
      <c r="C211" s="21" t="str">
        <f>VLOOKUP('Програма-кодове'!X4,Списък!$A$1:$C$210,3,FALSE)</f>
        <v>биология</v>
      </c>
      <c r="D211" s="21" t="str">
        <f>VLOOKUP('Програма-кодове'!X11,Списък!$A$1:$C$209,3,FALSE)</f>
        <v>немски език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бълг. език</v>
      </c>
      <c r="G211" s="21" t="str">
        <f>VLOOKUP('Програма-кодове'!X32,Списък!$A$1:$C$209,3,FALSE)</f>
        <v>химия</v>
      </c>
    </row>
    <row r="212" spans="1:18" ht="12.8" customHeight="1">
      <c r="A212" s="442"/>
      <c r="B212" s="43">
        <v>4</v>
      </c>
      <c r="C212" s="21" t="str">
        <f>VLOOKUP('Програма-кодове'!X5,Списък!$A$1:$C$210,3,FALSE)</f>
        <v>математика</v>
      </c>
      <c r="D212" s="21" t="str">
        <f>VLOOKUP('Програма-кодове'!X12,Списък!$A$1:$C$209,3,FALSE)</f>
        <v>английски език</v>
      </c>
      <c r="E212" s="21" t="str">
        <f>VLOOKUP('Програма-кодове'!X19,Списък!$A$1:$C$209,3,FALSE)</f>
        <v>информатика</v>
      </c>
      <c r="F212" s="21" t="str">
        <f>VLOOKUP('Програма-кодове'!X26,Списък!$A$1:$C$209,3,FALSE)</f>
        <v>бълг. език</v>
      </c>
      <c r="G212" s="21" t="str">
        <f>VLOOKUP('Програма-кодове'!X33,Списък!$A$1:$C$209,3,FALSE)</f>
        <v>немски език</v>
      </c>
    </row>
    <row r="213" spans="1:18" ht="12.8" customHeight="1">
      <c r="A213" s="442"/>
      <c r="B213" s="43">
        <v>5</v>
      </c>
      <c r="C213" s="21" t="str">
        <f>VLOOKUP('Програма-кодове'!X6,Списък!$A$1:$C$210,3,FALSE)</f>
        <v>математика</v>
      </c>
      <c r="D213" s="21" t="str">
        <f>VLOOKUP('Програма-кодове'!X13,Списък!$A$1:$C$209,3,FALSE)</f>
        <v>английски език</v>
      </c>
      <c r="E213" s="21" t="str">
        <f>VLOOKUP('Програма-кодове'!X20,Списък!$A$1:$C$209,3,FALSE)</f>
        <v>математика</v>
      </c>
      <c r="F213" s="21" t="str">
        <f>VLOOKUP('Програма-кодове'!X27,Списък!$A$1:$C$209,3,FALSE)</f>
        <v>английски език</v>
      </c>
      <c r="G213" s="21" t="str">
        <f>VLOOKUP('Програма-кодове'!X34,Списък!$A$1:$C$209,3,FALSE)</f>
        <v>история</v>
      </c>
    </row>
    <row r="214" spans="1:18" ht="12.8" customHeight="1">
      <c r="A214" s="442"/>
      <c r="B214" s="43">
        <v>6</v>
      </c>
      <c r="C214" s="21" t="str">
        <f>VLOOKUP('Програма-кодове'!X7,Списък!$A$1:$C$210,3,FALSE)</f>
        <v>география</v>
      </c>
      <c r="D214" s="21" t="str">
        <f>VLOOKUP('Програма-кодове'!X14,Списък!$A$1:$C$209,3,FALSE)</f>
        <v>философия</v>
      </c>
      <c r="E214" s="21" t="str">
        <f>VLOOKUP('Програма-кодове'!X21,Списък!$A$1:$C$209,3,FALSE)</f>
        <v>английски език</v>
      </c>
      <c r="F214" s="21" t="str">
        <f>VLOOKUP('Програма-кодове'!X28,Списък!$A$1:$C$209,3,FALSE)</f>
        <v>биология</v>
      </c>
      <c r="G214" s="21" t="str">
        <f>VLOOKUP('Програма-кодове'!X35,Списък!$A$1:$C$209,3,FALSE)</f>
        <v>математика</v>
      </c>
    </row>
    <row r="215" spans="1:18" ht="12.8" customHeight="1">
      <c r="A215" s="442"/>
      <c r="B215" s="43">
        <v>7</v>
      </c>
      <c r="C215" s="21" t="str">
        <f>VLOOKUP('Програма-кодове'!X8,Списък!$A$1:$C$210,3,FALSE)</f>
        <v>физика</v>
      </c>
      <c r="D215" s="21" t="str">
        <f>VLOOKUP('Програма-кодове'!X15,Списък!$A$1:$C$209,3,FALSE)</f>
        <v>история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8" customHeight="1" thickBot="1">
      <c r="A216" s="124"/>
    </row>
    <row r="217" spans="1:18" ht="12.8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129</v>
      </c>
      <c r="G217" s="116" t="s">
        <v>28</v>
      </c>
    </row>
    <row r="218" spans="1:18" ht="12.8" customHeight="1">
      <c r="A218" s="442" t="s">
        <v>150</v>
      </c>
      <c r="B218" s="43">
        <v>1</v>
      </c>
      <c r="C218" s="21" t="str">
        <f>VLOOKUP('Програма-кодове'!Y2,Списък!$A$1:$C$210,3,FALSE)</f>
        <v>химия</v>
      </c>
      <c r="D218" s="21" t="str">
        <f>VLOOKUP('Програма-кодове'!Y9,Списък!$A$1:$C$209,3,FALSE)</f>
        <v>физкултура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химия</v>
      </c>
      <c r="G218" s="21" t="str">
        <f>VLOOKUP('Програма-кодове'!Y30,Списък!$A$1:$C$209,3,FALSE)</f>
        <v>история</v>
      </c>
    </row>
    <row r="219" spans="1:18" ht="12.8" customHeight="1">
      <c r="A219" s="442"/>
      <c r="B219" s="43">
        <v>2</v>
      </c>
      <c r="C219" s="21" t="str">
        <f>VLOOKUP('Програма-кодове'!Y3,Списък!$A$1:$C$210,3,FALSE)</f>
        <v>бълг. език</v>
      </c>
      <c r="D219" s="21" t="str">
        <f>VLOOKUP('Програма-кодове'!Y10,Списък!$A$1:$C$209,3,FALSE)</f>
        <v>история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химия</v>
      </c>
      <c r="G219" s="21" t="str">
        <f>VLOOKUP('Програма-кодове'!Y31,Списък!$A$1:$C$209,3,FALSE)</f>
        <v>биология</v>
      </c>
    </row>
    <row r="220" spans="1:18" s="43" customFormat="1" ht="12.8" customHeight="1">
      <c r="A220" s="442"/>
      <c r="B220" s="43">
        <v>3</v>
      </c>
      <c r="C220" s="21" t="str">
        <f>VLOOKUP('Програма-кодове'!Y4,Списък!$A$1:$C$210,3,FALSE)</f>
        <v>география</v>
      </c>
      <c r="D220" s="21" t="str">
        <f>VLOOKUP('Програма-кодове'!Y11,Списък!$A$1:$C$209,3,FALSE)</f>
        <v>философия</v>
      </c>
      <c r="E220" s="21" t="str">
        <f>VLOOKUP('Програма-кодове'!Y18,Списък!$A$1:$C$209,3,FALSE)</f>
        <v>английски език</v>
      </c>
      <c r="F220" s="21" t="str">
        <f>VLOOKUP('Програма-кодове'!Y25,Списък!$A$1:$C$209,3,FALSE)</f>
        <v>ІІ - ри чужд език</v>
      </c>
      <c r="G220" s="21" t="str">
        <f>VLOOKUP('Програма-кодове'!Y32,Списък!$A$1:$C$209,3,FALSE)</f>
        <v>математика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8" customHeight="1">
      <c r="A221" s="442"/>
      <c r="B221" s="43">
        <v>4</v>
      </c>
      <c r="C221" s="21" t="str">
        <f>VLOOKUP('Програма-кодове'!Y5,Списък!$A$1:$C$210,3,FALSE)</f>
        <v>физика</v>
      </c>
      <c r="D221" s="21" t="str">
        <f>VLOOKUP('Програма-кодове'!Y12,Списък!$A$1:$C$209,3,FALSE)</f>
        <v>биология</v>
      </c>
      <c r="E221" s="21" t="str">
        <f>VLOOKUP('Програма-кодове'!Y19,Списък!$A$1:$C$209,3,FALSE)</f>
        <v>физика</v>
      </c>
      <c r="F221" s="21" t="str">
        <f>VLOOKUP('Програма-кодове'!Y26,Списък!$A$1:$C$209,3,FALSE)</f>
        <v>ІІ - ри чужд език</v>
      </c>
      <c r="G221" s="21" t="str">
        <f>VLOOKUP('Програма-кодове'!Y33,Списък!$A$1:$C$209,3,FALSE)</f>
        <v>английски език</v>
      </c>
    </row>
    <row r="222" spans="1:18" ht="12.8" customHeight="1">
      <c r="A222" s="442"/>
      <c r="B222" s="43">
        <v>5</v>
      </c>
      <c r="C222" s="21" t="str">
        <f>VLOOKUP('Програма-кодове'!Y6,Списък!$A$1:$C$210,3,FALSE)</f>
        <v>биология</v>
      </c>
      <c r="D222" s="21" t="str">
        <f>VLOOKUP('Програма-кодове'!Y13,Списък!$A$1:$C$209,3,FALSE)</f>
        <v>биология</v>
      </c>
      <c r="E222" s="21" t="str">
        <f>VLOOKUP('Програма-кодове'!Y20,Списък!$A$1:$C$209,3,FALSE)</f>
        <v>бълг. език</v>
      </c>
      <c r="F222" s="21" t="str">
        <f>VLOOKUP('Програма-кодове'!Y27,Списък!$A$1:$C$209,3,FALSE)</f>
        <v>физкултура</v>
      </c>
      <c r="G222" s="21" t="str">
        <f>VLOOKUP('Програма-кодове'!Y34,Списък!$A$1:$C$209,3,FALSE)</f>
        <v>философия</v>
      </c>
    </row>
    <row r="223" spans="1:18" ht="12.8" customHeight="1">
      <c r="A223" s="442"/>
      <c r="B223" s="43">
        <v>6</v>
      </c>
      <c r="C223" s="21" t="str">
        <f>VLOOKUP('Програма-кодове'!Y7,Списък!$A$1:$C$210,3,FALSE)</f>
        <v>английски език</v>
      </c>
      <c r="D223" s="21" t="str">
        <f>VLOOKUP('Програма-кодове'!Y14,Списък!$A$1:$C$209,3,FALSE)</f>
        <v>химия</v>
      </c>
      <c r="E223" s="21" t="str">
        <f>VLOOKUP('Програма-кодове'!Y21,Списък!$A$1:$C$209,3,FALSE)</f>
        <v>бълг. език</v>
      </c>
      <c r="F223" s="21" t="str">
        <f>VLOOKUP('Програма-кодове'!Y28,Списък!$A$1:$C$209,3,FALSE)</f>
        <v>английски език</v>
      </c>
      <c r="G223" s="21" t="str">
        <f>VLOOKUP('Програма-кодове'!Y35,Списък!$A$1:$C$209,3,FALSE)</f>
        <v>химия</v>
      </c>
    </row>
    <row r="224" spans="1:18" ht="12.8" customHeight="1">
      <c r="A224" s="442"/>
      <c r="B224" s="43">
        <v>7</v>
      </c>
      <c r="C224" s="21" t="str">
        <f>VLOOKUP('Програма-кодове'!Y8,Списък!$A$1:$C$210,3,FALSE)</f>
        <v>английски език</v>
      </c>
      <c r="D224" s="21" t="str">
        <f>VLOOKUP('Програма-кодове'!Y15,Списък!$A$1:$C$209,3,FALSE)</f>
        <v>математика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8" customHeight="1" thickBot="1">
      <c r="A225" s="124"/>
    </row>
    <row r="226" spans="1:7" ht="11.3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129</v>
      </c>
      <c r="G226" s="116" t="s">
        <v>28</v>
      </c>
    </row>
    <row r="227" spans="1:7" ht="11.3" customHeight="1">
      <c r="A227" s="442" t="s">
        <v>151</v>
      </c>
      <c r="B227" s="43">
        <v>1</v>
      </c>
      <c r="C227" s="21" t="str">
        <f>VLOOKUP('Програма-кодове'!Z2,Списък!$A$1:$C$210,3,FALSE)</f>
        <v>бълг. език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математика</v>
      </c>
      <c r="F227" s="21" t="str">
        <f>VLOOKUP('Програма-кодове'!Z23,Списък!$A$1:$C$209,3,FALSE)</f>
        <v>бълг. език</v>
      </c>
      <c r="G227" s="21" t="str">
        <f>VLOOKUP('Програма-кодове'!Z30,Списък!$A$1:$C$209,3,FALSE)</f>
        <v>математика</v>
      </c>
    </row>
    <row r="228" spans="1:7" ht="11.3" customHeight="1">
      <c r="A228" s="442"/>
      <c r="B228" s="43">
        <v>2</v>
      </c>
      <c r="C228" s="21" t="str">
        <f>VLOOKUP('Програма-кодове'!Z3,Списък!$A$1:$C$210,3,FALSE)</f>
        <v>бълг. език</v>
      </c>
      <c r="D228" s="21" t="str">
        <f>VLOOKUP('Програма-кодове'!Z10,Списък!$A$1:$C$209,3,FALSE)</f>
        <v>математика</v>
      </c>
      <c r="E228" s="21" t="str">
        <f>VLOOKUP('Програма-кодове'!Z17,Списък!$A$1:$C$209,3,FALSE)</f>
        <v>математика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физкултура</v>
      </c>
    </row>
    <row r="229" spans="1:7">
      <c r="A229" s="442"/>
      <c r="B229" s="43">
        <v>3</v>
      </c>
      <c r="C229" s="21" t="str">
        <f>VLOOKUP('Програма-кодове'!Z4,Списък!$A$1:$C$210,3,FALSE)</f>
        <v>английски език</v>
      </c>
      <c r="D229" s="21" t="str">
        <f>VLOOKUP('Програма-кодове'!Z11,Списък!$A$1:$C$209,3,FALSE)</f>
        <v>математика</v>
      </c>
      <c r="E229" s="21" t="str">
        <f>VLOOKUP('Програма-кодове'!Z18,Списък!$A$1:$C$209,3,FALSE)</f>
        <v>философия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ІІ - ри чужд език</v>
      </c>
    </row>
    <row r="230" spans="1:7">
      <c r="A230" s="442"/>
      <c r="B230" s="43">
        <v>4</v>
      </c>
      <c r="C230" s="21" t="str">
        <f>VLOOKUP('Програма-кодове'!Z5,Списък!$A$1:$C$210,3,FALSE)</f>
        <v>информатика</v>
      </c>
      <c r="D230" s="21" t="str">
        <f>VLOOKUP('Програма-кодове'!Z12,Списък!$A$1:$C$209,3,FALSE)</f>
        <v>физика</v>
      </c>
      <c r="E230" s="21" t="str">
        <f>VLOOKUP('Програма-кодове'!Z19,Списък!$A$1:$C$209,3,FALSE)</f>
        <v>бълг. език</v>
      </c>
      <c r="F230" s="21" t="str">
        <f>VLOOKUP('Програма-кодове'!Z26,Списък!$A$1:$C$209,3,FALSE)</f>
        <v>математика</v>
      </c>
      <c r="G230" s="21" t="str">
        <f>VLOOKUP('Програма-кодове'!Z33,Списък!$A$1:$C$209,3,FALSE)</f>
        <v>ІІ - ри чужд език</v>
      </c>
    </row>
    <row r="231" spans="1:7">
      <c r="A231" s="442"/>
      <c r="B231" s="43">
        <v>5</v>
      </c>
      <c r="C231" s="21" t="str">
        <f>VLOOKUP('Програма-кодове'!Z6,Списък!$A$1:$C$210,3,FALSE)</f>
        <v>история</v>
      </c>
      <c r="D231" s="21" t="str">
        <f>VLOOKUP('Програма-кодове'!Z13,Списък!$A$1:$C$209,3,FALSE)</f>
        <v>физкултура</v>
      </c>
      <c r="E231" s="21" t="str">
        <f>VLOOKUP('Програма-кодове'!Z20,Списък!$A$1:$C$209,3,FALSE)</f>
        <v>история</v>
      </c>
      <c r="F231" s="21" t="str">
        <f>VLOOKUP('Програма-кодове'!Z27,Списък!$A$1:$C$209,3,FALSE)</f>
        <v>английски език</v>
      </c>
      <c r="G231" s="21" t="str">
        <f>VLOOKUP('Програма-кодове'!Z34,Списък!$A$1:$C$209,3,FALSE)</f>
        <v>английски език</v>
      </c>
    </row>
    <row r="232" spans="1:7">
      <c r="A232" s="442"/>
      <c r="B232" s="43">
        <v>6</v>
      </c>
      <c r="C232" s="21" t="str">
        <f>VLOOKUP('Програма-кодове'!Z7,Списък!$A$1:$C$210,3,FALSE)</f>
        <v>философия</v>
      </c>
      <c r="D232" s="21" t="str">
        <f>VLOOKUP('Програма-кодове'!Z14,Списък!$A$1:$C$209,3,FALSE)</f>
        <v>английски език</v>
      </c>
      <c r="E232" s="21" t="str">
        <f>VLOOKUP('Програма-кодове'!Z21,Списък!$A$1:$C$209,3,FALSE)</f>
        <v>информатика</v>
      </c>
      <c r="F232" s="21" t="str">
        <f>VLOOKUP('Програма-кодове'!Z28,Списък!$A$1:$C$209,3,FALSE)</f>
        <v>английски език</v>
      </c>
      <c r="G232" s="21" t="str">
        <f>VLOOKUP('Програма-кодове'!Z35,Списък!$A$1:$C$209,3,FALSE)</f>
        <v>информатика</v>
      </c>
    </row>
    <row r="233" spans="1:7">
      <c r="A233" s="442"/>
      <c r="B233" s="43">
        <v>7</v>
      </c>
      <c r="C233" s="21" t="str">
        <f>VLOOKUP('Програма-кодове'!Z8,Списък!$A$1:$C$210,3,FALSE)</f>
        <v>математика</v>
      </c>
      <c r="D233" s="21" t="str">
        <f>VLOOKUP('Програма-кодове'!Z15,Списък!$A$1:$C$209,3,FALSE)</f>
        <v>география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75" thickBot="1">
      <c r="A234" s="124"/>
    </row>
    <row r="235" spans="1:7" ht="13.7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129</v>
      </c>
      <c r="G235" s="116" t="s">
        <v>28</v>
      </c>
    </row>
    <row r="236" spans="1:7">
      <c r="A236" s="442" t="s">
        <v>152</v>
      </c>
      <c r="B236" s="43">
        <v>1</v>
      </c>
      <c r="C236" s="21" t="str">
        <f>VLOOKUP('Програма-кодове'!AA2,Списък!$A$1:$C$210,3,FALSE)</f>
        <v>математика</v>
      </c>
      <c r="D236" s="21" t="str">
        <f>VLOOKUP('Програма-кодове'!AA9,Списък!$A$1:$C$209,3,FALSE)</f>
        <v>физкултура</v>
      </c>
      <c r="E236" s="21" t="str">
        <f>VLOOKUP('Програма-кодове'!AA16,Списък!$A$1:$C$209,3,FALSE)</f>
        <v>бълг. език</v>
      </c>
      <c r="F236" s="21" t="str">
        <f>VLOOKUP('Програма-кодове'!AA23,Списък!$A$1:$C$209,3,FALSE)</f>
        <v>информатика</v>
      </c>
      <c r="G236" s="21" t="str">
        <f>VLOOKUP('Програма-кодове'!AA30,Списък!$A$1:$C$209,3,FALSE)</f>
        <v>математика</v>
      </c>
    </row>
    <row r="237" spans="1:7">
      <c r="A237" s="442"/>
      <c r="B237" s="43">
        <v>2</v>
      </c>
      <c r="C237" s="21" t="str">
        <f>VLOOKUP('Програма-кодове'!AA3,Списък!$A$1:$C$210,3,FALSE)</f>
        <v>философия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история</v>
      </c>
      <c r="F237" s="21" t="str">
        <f>VLOOKUP('Програма-кодове'!AA24,Списък!$A$1:$C$209,3,FALSE)</f>
        <v>английски език</v>
      </c>
      <c r="G237" s="21" t="str">
        <f>VLOOKUP('Програма-кодове'!AA31,Списък!$A$1:$C$209,3,FALSE)</f>
        <v>математика</v>
      </c>
    </row>
    <row r="238" spans="1:7">
      <c r="A238" s="442"/>
      <c r="B238" s="43">
        <v>3</v>
      </c>
      <c r="C238" s="21" t="str">
        <f>VLOOKUP('Програма-кодове'!AA4,Списък!$A$1:$C$210,3,FALSE)</f>
        <v>бълг. език</v>
      </c>
      <c r="D238" s="21" t="str">
        <f>VLOOKUP('Програма-кодове'!AA11,Списък!$A$1:$C$209,3,FALSE)</f>
        <v>география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английски език</v>
      </c>
      <c r="G238" s="21" t="str">
        <f>VLOOKUP('Програма-кодове'!AA32,Списък!$A$1:$C$209,3,FALSE)</f>
        <v>информатика</v>
      </c>
    </row>
    <row r="239" spans="1:7">
      <c r="A239" s="442"/>
      <c r="B239" s="43">
        <v>4</v>
      </c>
      <c r="C239" s="21" t="str">
        <f>VLOOKUP('Програма-кодове'!AA5,Списък!$A$1:$C$210,3,FALSE)</f>
        <v>бълг. език</v>
      </c>
      <c r="D239" s="21" t="str">
        <f>VLOOKUP('Програма-кодове'!AA12,Списък!$A$1:$C$209,3,FALSE)</f>
        <v>математика</v>
      </c>
      <c r="E239" s="21" t="str">
        <f>VLOOKUP('Програма-кодове'!AA19,Списък!$A$1:$C$209,3,FALSE)</f>
        <v>философия</v>
      </c>
      <c r="F239" s="21" t="str">
        <f>VLOOKUP('Програма-кодове'!AA26,Списък!$A$1:$C$209,3,FALSE)</f>
        <v>математика</v>
      </c>
      <c r="G239" s="21" t="str">
        <f>VLOOKUP('Програма-кодове'!AA33,Списък!$A$1:$C$209,3,FALSE)</f>
        <v>английски език</v>
      </c>
    </row>
    <row r="240" spans="1:7">
      <c r="A240" s="442"/>
      <c r="B240" s="43">
        <v>5</v>
      </c>
      <c r="C240" s="21" t="str">
        <f>VLOOKUP('Програма-кодове'!AA6,Списък!$A$1:$C$210,3,FALSE)</f>
        <v>английски език</v>
      </c>
      <c r="D240" s="21" t="str">
        <f>VLOOKUP('Програма-кодове'!AA13,Списък!$A$1:$C$209,3,FALSE)</f>
        <v>математика</v>
      </c>
      <c r="E240" s="21" t="str">
        <f>VLOOKUP('Програма-кодове'!AA20,Списък!$A$1:$C$209,3,FALSE)</f>
        <v>математика</v>
      </c>
      <c r="F240" s="21" t="str">
        <f>VLOOKUP('Програма-кодове'!AA27,Списък!$A$1:$C$209,3,FALSE)</f>
        <v>физкултура</v>
      </c>
      <c r="G240" s="21" t="str">
        <f>VLOOKUP('Програма-кодове'!AA34,Списък!$A$1:$C$209,3,FALSE)</f>
        <v>ІІ - ри чужд език</v>
      </c>
    </row>
    <row r="241" spans="1:7">
      <c r="A241" s="442"/>
      <c r="B241" s="43">
        <v>6</v>
      </c>
      <c r="C241" s="21" t="str">
        <f>VLOOKUP('Програма-кодове'!AA7,Списък!$A$1:$C$210,3,FALSE)</f>
        <v>информатика</v>
      </c>
      <c r="D241" s="21" t="str">
        <f>VLOOKUP('Програма-кодове'!AA14,Списък!$A$1:$C$209,3,FALSE)</f>
        <v>физика</v>
      </c>
      <c r="E241" s="21" t="str">
        <f>VLOOKUP('Програма-кодове'!AA21,Списък!$A$1:$C$209,3,FALSE)</f>
        <v>математика</v>
      </c>
      <c r="F241" s="21" t="str">
        <f>VLOOKUP('Програма-кодове'!AA28,Списък!$A$1:$C$209,3,FALSE)</f>
        <v>бълг. език</v>
      </c>
      <c r="G241" s="21" t="str">
        <f>VLOOKUP('Програма-кодове'!AA35,Списък!$A$1:$C$209,3,FALSE)</f>
        <v>ІІ - ри чужд език</v>
      </c>
    </row>
    <row r="242" spans="1:7">
      <c r="A242" s="442"/>
      <c r="B242" s="43">
        <v>7</v>
      </c>
      <c r="C242" s="21" t="str">
        <f>VLOOKUP('Програма-кодове'!AA8,Списък!$A$1:$C$210,3,FALSE)</f>
        <v>история</v>
      </c>
      <c r="D242" s="21" t="str">
        <f>VLOOKUP('Програма-кодове'!AA15,Списък!$A$1:$C$209,3,FALSE)</f>
        <v>английски език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75" thickBot="1">
      <c r="A243" s="124"/>
    </row>
    <row r="244" spans="1:7" ht="13.7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129</v>
      </c>
      <c r="G244" s="116" t="s">
        <v>28</v>
      </c>
    </row>
    <row r="245" spans="1:7">
      <c r="A245" s="442" t="s">
        <v>153</v>
      </c>
      <c r="B245" s="43">
        <v>1</v>
      </c>
      <c r="C245" s="21" t="str">
        <f>VLOOKUP('Програма-кодове'!AB2,Списък!$A$1:$C$210,3,FALSE)</f>
        <v>история</v>
      </c>
      <c r="D245" s="21" t="str">
        <f>VLOOKUP('Програма-кодове'!AB9,Списък!$A$1:$C$209,3,FALSE)</f>
        <v>физика</v>
      </c>
      <c r="E245" s="21" t="str">
        <f>VLOOKUP('Програма-кодове'!AB16,Списък!$A$1:$C$209,3,FALSE)</f>
        <v>английски език</v>
      </c>
      <c r="F245" s="21" t="str">
        <f>VLOOKUP('Програма-кодове'!AB23,Списък!$A$1:$C$209,3,FALSE)</f>
        <v>математика</v>
      </c>
      <c r="G245" s="21" t="str">
        <f>VLOOKUP('Програма-кодове'!AB30,Списък!$A$1:$C$209,3,FALSE)</f>
        <v>бълг. език</v>
      </c>
    </row>
    <row r="246" spans="1:7">
      <c r="A246" s="442"/>
      <c r="B246" s="43">
        <v>2</v>
      </c>
      <c r="C246" s="21" t="str">
        <f>VLOOKUP('Програма-кодове'!AB3,Списък!$A$1:$C$210,3,FALSE)</f>
        <v>математика</v>
      </c>
      <c r="D246" s="21" t="str">
        <f>VLOOKUP('Програма-кодове'!AB10,Списък!$A$1:$C$209,3,FALSE)</f>
        <v>география</v>
      </c>
      <c r="E246" s="21" t="str">
        <f>VLOOKUP('Програма-кодове'!AB17,Списък!$A$1:$C$209,3,FALSE)</f>
        <v>английски език</v>
      </c>
      <c r="F246" s="21" t="str">
        <f>VLOOKUP('Програма-кодове'!AB24,Списък!$A$1:$C$209,3,FALSE)</f>
        <v>математика</v>
      </c>
      <c r="G246" s="21" t="str">
        <f>VLOOKUP('Програма-кодове'!AB31,Списък!$A$1:$C$209,3,FALSE)</f>
        <v>английски език</v>
      </c>
    </row>
    <row r="247" spans="1:7">
      <c r="A247" s="442"/>
      <c r="B247" s="43">
        <v>3</v>
      </c>
      <c r="C247" s="21" t="str">
        <f>VLOOKUP('Програма-кодове'!AB4,Списък!$A$1:$C$210,3,FALSE)</f>
        <v>философия</v>
      </c>
      <c r="D247" s="21" t="str">
        <f>VLOOKUP('Програма-кодове'!AB11,Списък!$A$1:$C$209,3,FALSE)</f>
        <v>физкултура</v>
      </c>
      <c r="E247" s="21" t="str">
        <f>VLOOKUP('Програма-кодове'!AB18,Списък!$A$1:$C$209,3,FALSE)</f>
        <v>математика</v>
      </c>
      <c r="F247" s="21" t="str">
        <f>VLOOKUP('Програма-кодове'!AB25,Списък!$A$1:$C$209,3,FALSE)</f>
        <v>информатика</v>
      </c>
      <c r="G247" s="21" t="str">
        <f>VLOOKUP('Програма-кодове'!AB32,Списък!$A$1:$C$209,3,FALSE)</f>
        <v>ІІ - ри чужд език</v>
      </c>
    </row>
    <row r="248" spans="1:7">
      <c r="A248" s="442"/>
      <c r="B248" s="43">
        <v>4</v>
      </c>
      <c r="C248" s="21" t="str">
        <f>VLOOKUP('Програма-кодове'!AB5,Списък!$A$1:$C$210,3,FALSE)</f>
        <v>английски език</v>
      </c>
      <c r="D248" s="21" t="str">
        <f>VLOOKUP('Програма-кодове'!AB12,Списък!$A$1:$C$209,3,FALSE)</f>
        <v>информатика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физкултура</v>
      </c>
      <c r="G248" s="21" t="str">
        <f>VLOOKUP('Програма-кодове'!AB33,Списък!$A$1:$C$209,3,FALSE)</f>
        <v>ІІ - ри чужд език</v>
      </c>
    </row>
    <row r="249" spans="1:7">
      <c r="A249" s="442"/>
      <c r="B249" s="43">
        <v>5</v>
      </c>
      <c r="C249" s="21" t="str">
        <f>VLOOKUP('Програма-кодове'!AB6,Списък!$A$1:$C$210,3,FALSE)</f>
        <v>информатика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информатика</v>
      </c>
      <c r="F249" s="21" t="str">
        <f>VLOOKUP('Програма-кодове'!AB27,Списък!$A$1:$C$209,3,FALSE)</f>
        <v>бълг. език</v>
      </c>
      <c r="G249" s="21" t="str">
        <f>VLOOKUP('Програма-кодове'!AB34,Списък!$A$1:$C$209,3,FALSE)</f>
        <v>математика</v>
      </c>
    </row>
    <row r="250" spans="1:7">
      <c r="A250" s="442"/>
      <c r="B250" s="43">
        <v>6</v>
      </c>
      <c r="C250" s="21" t="str">
        <f>VLOOKUP('Програма-кодове'!AB7,Списък!$A$1:$C$210,3,FALSE)</f>
        <v>бълг. език</v>
      </c>
      <c r="D250" s="21" t="str">
        <f>VLOOKUP('Програма-кодове'!AB14,Списък!$A$1:$C$209,3,FALSE)</f>
        <v>математика</v>
      </c>
      <c r="E250" s="21" t="str">
        <f>VLOOKUP('Програма-кодове'!AB21,Списък!$A$1:$C$209,3,FALSE)</f>
        <v>философия</v>
      </c>
      <c r="F250" s="21" t="str">
        <f>VLOOKUP('Програма-кодове'!AB28,Списък!$A$1:$C$209,3,FALSE)</f>
        <v>история</v>
      </c>
      <c r="G250" s="21" t="str">
        <f>VLOOKUP('Програма-кодове'!AB35,Списък!$A$1:$C$209,3,FALSE)</f>
        <v>математика</v>
      </c>
    </row>
    <row r="251" spans="1:7">
      <c r="A251" s="442"/>
      <c r="B251" s="43">
        <v>7</v>
      </c>
      <c r="C251" s="21" t="str">
        <f>VLOOKUP('Програма-кодове'!AB8,Списък!$A$1:$C$210,3,FALSE)</f>
        <v>бълг. език</v>
      </c>
      <c r="D251" s="21" t="str">
        <f>VLOOKUP('Програма-кодове'!AB15,Списък!$A$1:$C$209,3,FALSE)</f>
        <v>математика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75" thickBot="1">
      <c r="A252" s="124"/>
    </row>
    <row r="253" spans="1:7" ht="13.7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129</v>
      </c>
      <c r="G253" s="116" t="s">
        <v>28</v>
      </c>
    </row>
    <row r="254" spans="1:7">
      <c r="A254" s="442" t="s">
        <v>154</v>
      </c>
      <c r="B254" s="43">
        <v>1</v>
      </c>
      <c r="C254" s="21" t="str">
        <f>VLOOKUP('Програма-кодове'!AC2,Списък!$A$1:$C$210,3,FALSE)</f>
        <v>философия</v>
      </c>
      <c r="D254" s="21" t="str">
        <f>VLOOKUP('Програма-кодове'!AC9,Списък!$A$1:$C$209,3,FALSE)</f>
        <v>математика</v>
      </c>
      <c r="E254" s="21" t="str">
        <f>VLOOKUP('Програма-кодове'!AC16,Списък!$A$1:$C$209,3,FALSE)</f>
        <v>информатика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немски език</v>
      </c>
    </row>
    <row r="255" spans="1:7">
      <c r="A255" s="442"/>
      <c r="B255" s="43">
        <v>2</v>
      </c>
      <c r="C255" s="21" t="str">
        <f>VLOOKUP('Програма-кодове'!AC3,Списък!$A$1:$C$210,3,FALSE)</f>
        <v>английски език</v>
      </c>
      <c r="D255" s="21" t="str">
        <f>VLOOKUP('Програма-кодове'!AC10,Списък!$A$1:$C$209,3,FALSE)</f>
        <v>физкултура</v>
      </c>
      <c r="E255" s="21" t="str">
        <f>VLOOKUP('Програма-кодове'!AC17,Списък!$A$1:$C$209,3,FALSE)</f>
        <v>философия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немски език</v>
      </c>
    </row>
    <row r="256" spans="1:7">
      <c r="A256" s="442"/>
      <c r="B256" s="43">
        <v>3</v>
      </c>
      <c r="C256" s="21" t="str">
        <f>VLOOKUP('Програма-кодове'!AC4,Списък!$A$1:$C$210,3,FALSE)</f>
        <v>математика</v>
      </c>
      <c r="D256" s="21" t="str">
        <f>VLOOKUP('Програма-кодове'!AC11,Списък!$A$1:$C$209,3,FALSE)</f>
        <v>информатика</v>
      </c>
      <c r="E256" s="21" t="str">
        <f>VLOOKUP('Програма-кодове'!AC18,Списък!$A$1:$C$209,3,FALSE)</f>
        <v>английски език</v>
      </c>
      <c r="F256" s="21" t="str">
        <f>VLOOKUP('Програма-кодове'!AC25,Списък!$A$1:$C$209,3,FALSE)</f>
        <v>география</v>
      </c>
      <c r="G256" s="21" t="str">
        <f>VLOOKUP('Програма-кодове'!AC32,Списък!$A$1:$C$209,3,FALSE)</f>
        <v>бълг. език</v>
      </c>
    </row>
    <row r="257" spans="1:7">
      <c r="A257" s="442"/>
      <c r="B257" s="43">
        <v>4</v>
      </c>
      <c r="C257" s="21" t="str">
        <f>VLOOKUP('Програма-кодове'!AC5,Списък!$A$1:$C$210,3,FALSE)</f>
        <v>математика</v>
      </c>
      <c r="D257" s="21" t="str">
        <f>VLOOKUP('Програма-кодове'!AC12,Списък!$A$1:$C$209,3,FALSE)</f>
        <v>английски език</v>
      </c>
      <c r="E257" s="21" t="str">
        <f>VLOOKUP('Програма-кодове'!AC19,Списък!$A$1:$C$209,3,FALSE)</f>
        <v>английски език</v>
      </c>
      <c r="F257" s="21" t="str">
        <f>VLOOKUP('Програма-кодове'!AC26,Списък!$A$1:$C$209,3,FALSE)</f>
        <v>бълг. език</v>
      </c>
      <c r="G257" s="21" t="str">
        <f>VLOOKUP('Програма-кодове'!AC33,Списък!$A$1:$C$209,3,FALSE)</f>
        <v>математика</v>
      </c>
    </row>
    <row r="258" spans="1:7">
      <c r="A258" s="442"/>
      <c r="B258" s="43">
        <v>5</v>
      </c>
      <c r="C258" s="21" t="str">
        <f>VLOOKUP('Програма-кодове'!AC6,Списък!$A$1:$C$210,3,FALSE)</f>
        <v>немски език</v>
      </c>
      <c r="D258" s="21" t="str">
        <f>VLOOKUP('Програма-кодове'!AC13,Списък!$A$1:$C$209,3,FALSE)</f>
        <v>физика</v>
      </c>
      <c r="E258" s="21" t="str">
        <f>VLOOKUP('Програма-кодове'!AC20,Списък!$A$1:$C$209,3,FALSE)</f>
        <v>немски език</v>
      </c>
      <c r="F258" s="21" t="str">
        <f>VLOOKUP('Програма-кодове'!AC27,Списък!$A$1:$C$209,3,FALSE)</f>
        <v>история</v>
      </c>
      <c r="G258" s="21" t="str">
        <f>VLOOKUP('Програма-кодове'!AC34,Списък!$A$1:$C$209,3,FALSE)</f>
        <v>информатика</v>
      </c>
    </row>
    <row r="259" spans="1:7">
      <c r="A259" s="442"/>
      <c r="B259" s="43">
        <v>6</v>
      </c>
      <c r="C259" s="21" t="str">
        <f>VLOOKUP('Програма-кодове'!AC7,Списък!$A$1:$C$210,3,FALSE)</f>
        <v>история</v>
      </c>
      <c r="D259" s="21" t="str">
        <f>VLOOKUP('Програма-кодове'!AC14,Списък!$A$1:$C$209,3,FALSE)</f>
        <v>бълг. език</v>
      </c>
      <c r="E259" s="21" t="str">
        <f>VLOOKUP('Програма-кодове'!AC21,Списък!$A$1:$C$209,3,FALSE)</f>
        <v>немски език</v>
      </c>
      <c r="F259" s="21" t="str">
        <f>VLOOKUP('Програма-кодове'!AC28,Списък!$A$1:$C$209,3,FALSE)</f>
        <v>физкултура</v>
      </c>
      <c r="G259" s="21" t="str">
        <f>VLOOKUP('Програма-кодове'!AC35,Списък!$A$1:$C$209,3,FALSE)</f>
        <v>английски език</v>
      </c>
    </row>
    <row r="260" spans="1:7">
      <c r="A260" s="442"/>
      <c r="B260" s="43">
        <v>7</v>
      </c>
      <c r="C260" s="21" t="str">
        <f>VLOOKUP('Програма-кодове'!AC8,Списък!$A$1:$C$210,3,FALSE)</f>
        <v>информатика</v>
      </c>
      <c r="D260" s="21" t="str">
        <f>VLOOKUP('Програма-кодове'!AC15,Списък!$A$1:$C$209,3,FALSE)</f>
        <v>бълг. език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75" thickBot="1">
      <c r="A261" s="124"/>
    </row>
    <row r="262" spans="1:7" ht="13.7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129</v>
      </c>
      <c r="G262" s="116" t="s">
        <v>28</v>
      </c>
    </row>
    <row r="263" spans="1:7">
      <c r="A263" s="442" t="s">
        <v>155</v>
      </c>
      <c r="B263" s="43">
        <v>1</v>
      </c>
      <c r="C263" s="21" t="str">
        <f>VLOOKUP('Програма-кодове'!AD2,Списък!$A$1:$C$210,3,FALSE)</f>
        <v>английски език</v>
      </c>
      <c r="D263" s="21" t="str">
        <f>VLOOKUP('Програма-кодове'!AD9,Списък!$A$1:$C$209,3,FALSE)</f>
        <v>английски език</v>
      </c>
      <c r="E263" s="21" t="str">
        <f>VLOOKUP('Програма-кодове'!AD16,Списък!$A$1:$C$209,3,FALSE)</f>
        <v>философия</v>
      </c>
      <c r="F263" s="21" t="str">
        <f>VLOOKUP('Програма-кодове'!AD23,Списък!$A$1:$C$209,3,FALSE)</f>
        <v>биология</v>
      </c>
      <c r="G263" s="21" t="str">
        <f>VLOOKUP('Програма-кодове'!AD30,Списък!$A$1:$C$209,3,FALSE)</f>
        <v>биология</v>
      </c>
    </row>
    <row r="264" spans="1:7">
      <c r="A264" s="442"/>
      <c r="B264" s="43">
        <v>2</v>
      </c>
      <c r="C264" s="21" t="str">
        <f>VLOOKUP('Програма-кодове'!AD3,Списък!$A$1:$C$210,3,FALSE)</f>
        <v>философия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биология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бълг. език</v>
      </c>
    </row>
    <row r="265" spans="1:7">
      <c r="A265" s="442"/>
      <c r="B265" s="43">
        <v>3</v>
      </c>
      <c r="C265" s="21" t="str">
        <f>VLOOKUP('Програма-кодове'!AD4,Списък!$A$1:$C$210,3,FALSE)</f>
        <v>химия</v>
      </c>
      <c r="D265" s="21" t="str">
        <f>VLOOKUP('Програма-кодове'!AD11,Списък!$A$1:$C$209,3,FALSE)</f>
        <v>математика</v>
      </c>
      <c r="E265" s="21" t="str">
        <f>VLOOKUP('Програма-кодове'!AD18,Списък!$A$1:$C$209,3,FALSE)</f>
        <v>химия</v>
      </c>
      <c r="F265" s="21" t="str">
        <f>VLOOKUP('Програма-кодове'!AD25,Списък!$A$1:$C$209,3,FALSE)</f>
        <v>бълг. език</v>
      </c>
      <c r="G265" s="21" t="str">
        <f>VLOOKUP('Програма-кодове'!AD32,Списък!$A$1:$C$209,3,FALSE)</f>
        <v>английски език</v>
      </c>
    </row>
    <row r="266" spans="1:7">
      <c r="A266" s="442"/>
      <c r="B266" s="43">
        <v>4</v>
      </c>
      <c r="C266" s="21" t="str">
        <f>VLOOKUP('Програма-кодове'!AD5,Списък!$A$1:$C$210,3,FALSE)</f>
        <v>история</v>
      </c>
      <c r="D266" s="21" t="str">
        <f>VLOOKUP('Програма-кодове'!AD12,Списък!$A$1:$C$209,3,FALSE)</f>
        <v>бълг. език</v>
      </c>
      <c r="E266" s="21" t="str">
        <f>VLOOKUP('Програма-кодове'!AD19,Списък!$A$1:$C$209,3,FALSE)</f>
        <v>химия</v>
      </c>
      <c r="F266" s="21" t="str">
        <f>VLOOKUP('Програма-кодове'!AD26,Списък!$A$1:$C$209,3,FALSE)</f>
        <v>история</v>
      </c>
      <c r="G266" s="21" t="str">
        <f>VLOOKUP('Програма-кодове'!AD33,Списък!$A$1:$C$209,3,FALSE)</f>
        <v>математика</v>
      </c>
    </row>
    <row r="267" spans="1:7">
      <c r="A267" s="442"/>
      <c r="B267" s="43">
        <v>5</v>
      </c>
      <c r="C267" s="21" t="str">
        <f>VLOOKUP('Програма-кодове'!AD6,Списък!$A$1:$C$210,3,FALSE)</f>
        <v>физкултура</v>
      </c>
      <c r="D267" s="21" t="str">
        <f>VLOOKUP('Програма-кодове'!AD13,Списък!$A$1:$C$209,3,FALSE)</f>
        <v>бълг. език</v>
      </c>
      <c r="E267" s="21" t="str">
        <f>VLOOKUP('Програма-кодове'!AD20,Списък!$A$1:$C$209,3,FALSE)</f>
        <v>география</v>
      </c>
      <c r="F267" s="21" t="str">
        <f>VLOOKUP('Програма-кодове'!AD27,Списък!$A$1:$C$209,3,FALSE)</f>
        <v>химия</v>
      </c>
      <c r="G267" s="21" t="str">
        <f>VLOOKUP('Програма-кодове'!AD34,Списък!$A$1:$C$209,3,FALSE)</f>
        <v>ІІ - ри чужд език</v>
      </c>
    </row>
    <row r="268" spans="1:7">
      <c r="A268" s="442"/>
      <c r="B268" s="43">
        <v>6</v>
      </c>
      <c r="C268" s="21" t="str">
        <f>VLOOKUP('Програма-кодове'!AD7,Списък!$A$1:$C$210,3,FALSE)</f>
        <v>биология</v>
      </c>
      <c r="D268" s="21" t="str">
        <f>VLOOKUP('Програма-кодове'!AD14,Списък!$A$1:$C$209,3,FALSE)</f>
        <v>физкултура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химия</v>
      </c>
      <c r="G268" s="21" t="str">
        <f>VLOOKUP('Програма-кодове'!AD35,Списък!$A$1:$C$209,3,FALSE)</f>
        <v>ІІ - ри чужд език</v>
      </c>
    </row>
    <row r="269" spans="1:7">
      <c r="A269" s="442"/>
      <c r="B269" s="43">
        <v>7</v>
      </c>
      <c r="C269" s="21" t="str">
        <f>VLOOKUP('Програма-кодове'!AD8,Списък!$A$1:$C$210,3,FALSE)</f>
        <v>биология</v>
      </c>
      <c r="D269" s="21" t="str">
        <f>VLOOKUP('Програма-кодове'!AD15,Списък!$A$1:$C$209,3,FALSE)</f>
        <v>физика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85" customHeight="1"/>
    <row r="273" spans="1:7">
      <c r="A273" s="320" t="s">
        <v>159</v>
      </c>
      <c r="B273" s="21"/>
    </row>
    <row r="274" spans="1:7">
      <c r="A274" s="21" t="s">
        <v>253</v>
      </c>
      <c r="B274" s="21"/>
    </row>
    <row r="275" spans="1:7">
      <c r="A275" s="21" t="s">
        <v>330</v>
      </c>
      <c r="B275" s="21"/>
    </row>
    <row r="276" spans="1:7">
      <c r="A276" s="21" t="s">
        <v>254</v>
      </c>
      <c r="B276" s="21"/>
    </row>
    <row r="277" spans="1:7" ht="36" customHeight="1">
      <c r="B277" s="21"/>
    </row>
    <row r="278" spans="1:7">
      <c r="A278" s="450" t="s">
        <v>202</v>
      </c>
      <c r="B278" s="450"/>
      <c r="C278" s="450"/>
      <c r="D278" s="450"/>
      <c r="E278" s="450"/>
      <c r="F278" s="450"/>
      <c r="G278" s="450"/>
    </row>
    <row r="279" spans="1:7">
      <c r="A279" s="21" t="s">
        <v>231</v>
      </c>
      <c r="B279" s="21"/>
    </row>
    <row r="280" spans="1:7">
      <c r="A280" s="21" t="s">
        <v>220</v>
      </c>
      <c r="B280" s="21"/>
    </row>
    <row r="281" spans="1:7" ht="37.5" customHeight="1">
      <c r="B281" s="21"/>
    </row>
    <row r="282" spans="1:7" ht="35.200000000000003" customHeight="1">
      <c r="B282" s="21"/>
    </row>
    <row r="283" spans="1:7" ht="15.05">
      <c r="A283" s="117"/>
      <c r="B283" s="117"/>
      <c r="C283" s="451" t="s">
        <v>331</v>
      </c>
      <c r="D283" s="451"/>
      <c r="E283" s="451"/>
      <c r="F283" s="451"/>
      <c r="G283" s="451"/>
    </row>
    <row r="284" spans="1:7" ht="15.75" customHeight="1">
      <c r="A284" s="117"/>
      <c r="B284" s="117"/>
      <c r="C284" s="302"/>
      <c r="D284" s="302"/>
      <c r="E284" s="302"/>
      <c r="F284" s="302"/>
      <c r="G284" s="302"/>
    </row>
    <row r="285" spans="1:7" ht="15.05">
      <c r="A285" s="449"/>
      <c r="B285" s="449"/>
      <c r="C285" s="318" t="s">
        <v>24</v>
      </c>
      <c r="D285" s="318" t="s">
        <v>25</v>
      </c>
      <c r="E285" s="318" t="s">
        <v>26</v>
      </c>
      <c r="F285" s="318" t="s">
        <v>27</v>
      </c>
      <c r="G285" s="318" t="s">
        <v>28</v>
      </c>
    </row>
    <row r="286" spans="1:7" ht="45" customHeight="1">
      <c r="A286" s="448" t="s">
        <v>332</v>
      </c>
      <c r="B286" s="448"/>
      <c r="C286" s="319" t="s">
        <v>387</v>
      </c>
      <c r="D286" s="319" t="s">
        <v>390</v>
      </c>
      <c r="E286" s="319" t="s">
        <v>391</v>
      </c>
      <c r="F286" s="319" t="s">
        <v>392</v>
      </c>
      <c r="G286" s="319" t="s">
        <v>394</v>
      </c>
    </row>
    <row r="287" spans="1:7" ht="45" customHeight="1">
      <c r="A287" s="448" t="s">
        <v>333</v>
      </c>
      <c r="B287" s="448"/>
      <c r="C287" s="319" t="s">
        <v>388</v>
      </c>
      <c r="D287" s="319" t="s">
        <v>389</v>
      </c>
      <c r="E287" s="319" t="s">
        <v>396</v>
      </c>
      <c r="F287" s="319" t="s">
        <v>393</v>
      </c>
      <c r="G287" s="319" t="s">
        <v>395</v>
      </c>
    </row>
    <row r="288" spans="1:7">
      <c r="C288" s="317"/>
      <c r="D288" s="317"/>
    </row>
    <row r="289" spans="3:4" ht="15.05" customHeight="1">
      <c r="C289" s="303"/>
      <c r="D289" s="303"/>
    </row>
    <row r="290" spans="3:4" ht="15.05" customHeight="1"/>
    <row r="291" spans="3:4" ht="15.05" customHeight="1"/>
    <row r="293" spans="3:4" ht="15.05" customHeight="1"/>
  </sheetData>
  <mergeCells count="38">
    <mergeCell ref="A2:G2"/>
    <mergeCell ref="A74:A80"/>
    <mergeCell ref="A20:A27"/>
    <mergeCell ref="A29:A35"/>
    <mergeCell ref="A47:A53"/>
    <mergeCell ref="A56:A62"/>
    <mergeCell ref="A65:A71"/>
    <mergeCell ref="A38:A44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86:B286"/>
    <mergeCell ref="A287:B287"/>
    <mergeCell ref="A285:B285"/>
    <mergeCell ref="A254:A260"/>
    <mergeCell ref="A278:G278"/>
    <mergeCell ref="C283:G283"/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Q39"/>
  <sheetViews>
    <sheetView zoomScale="87" zoomScaleNormal="87" workbookViewId="0">
      <selection activeCell="P5" sqref="P5"/>
    </sheetView>
  </sheetViews>
  <sheetFormatPr defaultRowHeight="12.45"/>
  <cols>
    <col min="1" max="1" width="5.375" customWidth="1"/>
    <col min="2" max="2" width="12.375" customWidth="1"/>
    <col min="3" max="3" width="13.875" customWidth="1"/>
    <col min="4" max="4" width="5.625" customWidth="1"/>
    <col min="5" max="5" width="13" customWidth="1"/>
    <col min="6" max="6" width="9.125" customWidth="1"/>
    <col min="7" max="7" width="8.75" customWidth="1"/>
    <col min="8" max="8" width="5.125" customWidth="1"/>
    <col min="9" max="9" width="5.75" customWidth="1"/>
    <col min="10" max="10" width="10.25" customWidth="1"/>
    <col min="11" max="11" width="6.125" customWidth="1"/>
    <col min="12" max="12" width="10.875" customWidth="1"/>
    <col min="13" max="13" width="15.75" customWidth="1"/>
    <col min="14" max="14" width="5" customWidth="1"/>
    <col min="15" max="15" width="3.875" customWidth="1"/>
    <col min="16" max="16" width="5.75" customWidth="1"/>
    <col min="17" max="17" width="10" customWidth="1"/>
  </cols>
  <sheetData>
    <row r="1" spans="1:17" ht="30.8" customHeight="1">
      <c r="A1" s="453" t="s">
        <v>70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7" ht="19.5" customHeight="1"/>
    <row r="3" spans="1:17" ht="13.1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113</v>
      </c>
      <c r="P3" s="8" t="s">
        <v>84</v>
      </c>
      <c r="Q3" s="8" t="s">
        <v>85</v>
      </c>
    </row>
    <row r="4" spans="1:17" ht="49.6" customHeight="1">
      <c r="A4" s="8">
        <v>5</v>
      </c>
      <c r="B4" s="65">
        <v>5</v>
      </c>
      <c r="C4" s="201" t="s">
        <v>228</v>
      </c>
      <c r="D4" s="67" t="s">
        <v>54</v>
      </c>
      <c r="E4" s="82" t="s">
        <v>276</v>
      </c>
      <c r="F4" s="67" t="s">
        <v>54</v>
      </c>
      <c r="G4" s="81" t="s">
        <v>277</v>
      </c>
      <c r="H4" s="66" t="s">
        <v>93</v>
      </c>
      <c r="I4" s="65">
        <v>2</v>
      </c>
      <c r="J4" s="215" t="s">
        <v>284</v>
      </c>
      <c r="K4" s="81" t="s">
        <v>121</v>
      </c>
      <c r="L4" s="204"/>
      <c r="M4" s="65"/>
      <c r="N4" s="67">
        <v>2</v>
      </c>
      <c r="O4" s="69">
        <v>2</v>
      </c>
      <c r="P4" s="216" t="s">
        <v>232</v>
      </c>
      <c r="Q4" s="82" t="s">
        <v>279</v>
      </c>
    </row>
    <row r="5" spans="1:17" ht="33.75" customHeight="1">
      <c r="A5" s="8">
        <v>6</v>
      </c>
      <c r="B5" s="65">
        <v>5</v>
      </c>
      <c r="C5" s="201" t="s">
        <v>228</v>
      </c>
      <c r="D5" s="67" t="s">
        <v>54</v>
      </c>
      <c r="E5" s="82" t="s">
        <v>276</v>
      </c>
      <c r="F5" s="67" t="s">
        <v>54</v>
      </c>
      <c r="G5" s="81" t="s">
        <v>277</v>
      </c>
      <c r="H5" s="66" t="s">
        <v>92</v>
      </c>
      <c r="I5" s="65">
        <v>2</v>
      </c>
      <c r="J5" s="205" t="s">
        <v>236</v>
      </c>
      <c r="K5" s="81" t="s">
        <v>122</v>
      </c>
      <c r="L5" s="204"/>
      <c r="M5" s="65"/>
      <c r="N5" s="67">
        <v>2</v>
      </c>
      <c r="O5" s="85" t="s">
        <v>235</v>
      </c>
      <c r="P5" s="216" t="s">
        <v>232</v>
      </c>
      <c r="Q5" s="82" t="s">
        <v>279</v>
      </c>
    </row>
    <row r="6" spans="1:17" ht="43.55" customHeight="1">
      <c r="A6" s="8">
        <v>7</v>
      </c>
      <c r="B6" s="82" t="s">
        <v>344</v>
      </c>
      <c r="C6" s="214">
        <v>3</v>
      </c>
      <c r="D6" s="83" t="s">
        <v>54</v>
      </c>
      <c r="E6" s="82" t="s">
        <v>311</v>
      </c>
      <c r="F6" s="83" t="s">
        <v>54</v>
      </c>
      <c r="G6" s="65">
        <v>1</v>
      </c>
      <c r="H6" s="84" t="s">
        <v>235</v>
      </c>
      <c r="I6" s="84" t="s">
        <v>235</v>
      </c>
      <c r="J6" s="157" t="s">
        <v>270</v>
      </c>
      <c r="K6" s="85" t="s">
        <v>93</v>
      </c>
      <c r="L6" s="85" t="s">
        <v>92</v>
      </c>
      <c r="M6" s="65">
        <v>2</v>
      </c>
      <c r="N6" s="85" t="s">
        <v>92</v>
      </c>
      <c r="O6" s="85" t="s">
        <v>93</v>
      </c>
      <c r="P6" s="67">
        <v>2</v>
      </c>
      <c r="Q6" s="82" t="s">
        <v>280</v>
      </c>
    </row>
    <row r="7" spans="1:17" ht="37.35">
      <c r="A7" s="8">
        <v>8</v>
      </c>
      <c r="B7" s="9">
        <v>4</v>
      </c>
      <c r="C7" s="9">
        <v>18</v>
      </c>
      <c r="D7" s="9" t="s">
        <v>54</v>
      </c>
      <c r="E7" s="82" t="s">
        <v>278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238</v>
      </c>
      <c r="O7" s="70" t="s">
        <v>237</v>
      </c>
      <c r="P7" s="68">
        <v>2</v>
      </c>
      <c r="Q7" s="82" t="s">
        <v>281</v>
      </c>
    </row>
    <row r="8" spans="1:17" ht="37.35">
      <c r="A8" s="76">
        <v>9</v>
      </c>
      <c r="B8" s="218" t="s">
        <v>341</v>
      </c>
      <c r="C8" s="219" t="s">
        <v>271</v>
      </c>
      <c r="D8" s="220">
        <v>2</v>
      </c>
      <c r="E8" s="219" t="s">
        <v>364</v>
      </c>
      <c r="F8" s="218" t="s">
        <v>362</v>
      </c>
      <c r="G8" s="218">
        <v>1</v>
      </c>
      <c r="H8" s="219" t="s">
        <v>235</v>
      </c>
      <c r="I8" s="219" t="s">
        <v>271</v>
      </c>
      <c r="J8" s="219" t="s">
        <v>272</v>
      </c>
      <c r="K8" s="221" t="s">
        <v>232</v>
      </c>
      <c r="L8" s="222" t="s">
        <v>273</v>
      </c>
      <c r="M8" s="222" t="s">
        <v>363</v>
      </c>
      <c r="N8" s="71" t="s">
        <v>237</v>
      </c>
      <c r="O8" s="71" t="s">
        <v>238</v>
      </c>
      <c r="P8" s="9">
        <v>2</v>
      </c>
      <c r="Q8" s="82" t="s">
        <v>370</v>
      </c>
    </row>
    <row r="9" spans="1:17" ht="63" customHeight="1">
      <c r="A9" s="8">
        <v>10</v>
      </c>
      <c r="B9" s="71" t="s">
        <v>337</v>
      </c>
      <c r="C9" s="71" t="s">
        <v>343</v>
      </c>
      <c r="D9" s="71">
        <v>2</v>
      </c>
      <c r="E9" s="71" t="s">
        <v>367</v>
      </c>
      <c r="F9" s="71" t="s">
        <v>366</v>
      </c>
      <c r="G9" s="72" t="s">
        <v>365</v>
      </c>
      <c r="H9" s="70" t="s">
        <v>273</v>
      </c>
      <c r="I9" s="333" t="s">
        <v>228</v>
      </c>
      <c r="J9" s="70" t="s">
        <v>235</v>
      </c>
      <c r="K9" s="71">
        <v>2</v>
      </c>
      <c r="L9" s="71" t="s">
        <v>368</v>
      </c>
      <c r="M9" s="71" t="s">
        <v>369</v>
      </c>
      <c r="N9" s="71" t="s">
        <v>237</v>
      </c>
      <c r="O9" s="71" t="s">
        <v>238</v>
      </c>
      <c r="P9" s="71">
        <v>2</v>
      </c>
      <c r="Q9" s="82" t="s">
        <v>371</v>
      </c>
    </row>
    <row r="10" spans="1:17" ht="52.55" customHeight="1">
      <c r="A10" s="8">
        <v>11</v>
      </c>
      <c r="B10" s="9">
        <v>3</v>
      </c>
      <c r="C10" s="9">
        <v>5</v>
      </c>
      <c r="D10" s="71" t="s">
        <v>199</v>
      </c>
      <c r="E10" s="71" t="s">
        <v>242</v>
      </c>
      <c r="F10" s="71" t="s">
        <v>244</v>
      </c>
      <c r="G10" s="71" t="s">
        <v>243</v>
      </c>
      <c r="H10" s="70" t="s">
        <v>93</v>
      </c>
      <c r="I10" s="71">
        <v>2</v>
      </c>
      <c r="J10" s="70" t="s">
        <v>92</v>
      </c>
      <c r="K10" s="71">
        <v>2</v>
      </c>
      <c r="L10" s="71" t="s">
        <v>86</v>
      </c>
      <c r="M10" s="71" t="s">
        <v>87</v>
      </c>
      <c r="N10" s="71" t="s">
        <v>54</v>
      </c>
      <c r="O10" s="9" t="s">
        <v>54</v>
      </c>
      <c r="P10" s="9">
        <v>2</v>
      </c>
      <c r="Q10" s="82" t="s">
        <v>282</v>
      </c>
    </row>
    <row r="11" spans="1:17" ht="54.85" customHeight="1">
      <c r="A11" s="8">
        <v>12</v>
      </c>
      <c r="B11" s="9">
        <v>4</v>
      </c>
      <c r="C11" s="9">
        <v>5</v>
      </c>
      <c r="D11" s="192" t="s">
        <v>246</v>
      </c>
      <c r="E11" s="71" t="s">
        <v>245</v>
      </c>
      <c r="F11" s="71" t="s">
        <v>275</v>
      </c>
      <c r="G11" s="71" t="s">
        <v>274</v>
      </c>
      <c r="H11" s="9">
        <v>1</v>
      </c>
      <c r="I11" s="9">
        <v>2</v>
      </c>
      <c r="J11" s="9" t="s">
        <v>198</v>
      </c>
      <c r="K11" s="9">
        <v>1</v>
      </c>
      <c r="L11" s="71" t="s">
        <v>108</v>
      </c>
      <c r="M11" s="9" t="s">
        <v>109</v>
      </c>
      <c r="N11" s="9" t="s">
        <v>54</v>
      </c>
      <c r="O11" s="9" t="s">
        <v>54</v>
      </c>
      <c r="P11" s="9">
        <v>2</v>
      </c>
      <c r="Q11" s="82" t="s">
        <v>283</v>
      </c>
    </row>
    <row r="13" spans="1:17">
      <c r="A13" s="95" t="s">
        <v>162</v>
      </c>
    </row>
    <row r="14" spans="1:17">
      <c r="A14" t="s">
        <v>234</v>
      </c>
      <c r="F14" s="80"/>
    </row>
    <row r="15" spans="1:17">
      <c r="A15" s="95" t="s">
        <v>296</v>
      </c>
    </row>
    <row r="17" spans="1:13">
      <c r="A17" s="95" t="s">
        <v>163</v>
      </c>
    </row>
    <row r="18" spans="1:13">
      <c r="A18" s="95" t="s">
        <v>239</v>
      </c>
    </row>
    <row r="19" spans="1:13">
      <c r="A19" s="95" t="s">
        <v>297</v>
      </c>
    </row>
    <row r="20" spans="1:13">
      <c r="F20" s="334"/>
      <c r="G20" s="334"/>
      <c r="H20" s="334"/>
    </row>
    <row r="21" spans="1:13" ht="15.05">
      <c r="B21" s="454" t="s">
        <v>285</v>
      </c>
      <c r="C21" s="454"/>
      <c r="D21" s="95"/>
      <c r="F21" s="335"/>
      <c r="G21" s="335"/>
      <c r="H21" s="335"/>
      <c r="L21" s="455" t="s">
        <v>301</v>
      </c>
      <c r="M21" s="455"/>
    </row>
    <row r="22" spans="1:13">
      <c r="B22" s="217" t="s">
        <v>286</v>
      </c>
      <c r="C22" s="217" t="s">
        <v>287</v>
      </c>
      <c r="D22" s="95"/>
      <c r="F22" s="334"/>
      <c r="G22" s="334"/>
      <c r="H22" s="334"/>
      <c r="L22" s="224" t="s">
        <v>302</v>
      </c>
      <c r="M22" s="224" t="s">
        <v>303</v>
      </c>
    </row>
    <row r="23" spans="1:13">
      <c r="A23" s="95" t="s">
        <v>5</v>
      </c>
      <c r="B23" s="217" t="s">
        <v>74</v>
      </c>
      <c r="C23" s="217" t="s">
        <v>71</v>
      </c>
      <c r="F23" s="334"/>
      <c r="G23" s="334"/>
      <c r="H23" s="334"/>
      <c r="K23" s="224">
        <v>1</v>
      </c>
      <c r="L23" t="s">
        <v>304</v>
      </c>
      <c r="M23" t="s">
        <v>305</v>
      </c>
    </row>
    <row r="24" spans="1:13">
      <c r="A24" s="95" t="s">
        <v>6</v>
      </c>
      <c r="B24" s="217" t="s">
        <v>75</v>
      </c>
      <c r="C24" s="331" t="s">
        <v>71</v>
      </c>
      <c r="D24" s="95"/>
      <c r="F24" s="334"/>
      <c r="G24" s="334"/>
      <c r="H24" s="334"/>
      <c r="K24" s="224">
        <v>2</v>
      </c>
      <c r="L24" t="s">
        <v>306</v>
      </c>
      <c r="M24" t="s">
        <v>307</v>
      </c>
    </row>
    <row r="25" spans="1:13">
      <c r="A25" s="95" t="s">
        <v>7</v>
      </c>
      <c r="B25" s="217" t="s">
        <v>74</v>
      </c>
      <c r="C25" s="331" t="s">
        <v>71</v>
      </c>
      <c r="F25" s="334"/>
      <c r="G25" s="334"/>
      <c r="H25" s="334"/>
      <c r="K25" s="224">
        <v>3</v>
      </c>
      <c r="L25" t="s">
        <v>308</v>
      </c>
      <c r="M25" t="s">
        <v>309</v>
      </c>
    </row>
    <row r="26" spans="1:13">
      <c r="A26" s="95" t="s">
        <v>8</v>
      </c>
      <c r="B26" s="217" t="s">
        <v>75</v>
      </c>
      <c r="C26" s="331" t="s">
        <v>71</v>
      </c>
      <c r="F26" s="334"/>
      <c r="G26" s="334"/>
      <c r="H26" s="334"/>
    </row>
    <row r="27" spans="1:13">
      <c r="A27" s="95" t="s">
        <v>9</v>
      </c>
      <c r="B27" s="331" t="s">
        <v>257</v>
      </c>
      <c r="C27" s="331" t="s">
        <v>71</v>
      </c>
      <c r="F27" s="334"/>
      <c r="G27" s="334"/>
      <c r="H27" s="334"/>
    </row>
    <row r="28" spans="1:13" ht="15.05">
      <c r="F28" s="334"/>
      <c r="G28" s="334"/>
      <c r="H28" s="334"/>
      <c r="L28" s="455"/>
      <c r="M28" s="455"/>
    </row>
    <row r="29" spans="1:13">
      <c r="A29">
        <v>5</v>
      </c>
      <c r="B29" s="331" t="s">
        <v>352</v>
      </c>
      <c r="C29" s="331" t="s">
        <v>353</v>
      </c>
      <c r="F29" s="334"/>
      <c r="G29" s="334"/>
      <c r="H29" s="334"/>
      <c r="K29" s="224"/>
      <c r="M29" s="456"/>
    </row>
    <row r="30" spans="1:13">
      <c r="A30">
        <v>6</v>
      </c>
      <c r="B30" s="331" t="s">
        <v>352</v>
      </c>
      <c r="C30" s="331" t="s">
        <v>353</v>
      </c>
      <c r="K30" s="224"/>
      <c r="M30" s="456"/>
    </row>
    <row r="31" spans="1:13">
      <c r="A31">
        <v>7</v>
      </c>
      <c r="B31" s="331" t="s">
        <v>352</v>
      </c>
      <c r="C31" s="331" t="s">
        <v>354</v>
      </c>
      <c r="K31" s="224"/>
      <c r="M31" s="224"/>
    </row>
    <row r="32" spans="1:13">
      <c r="K32" s="224"/>
      <c r="M32" s="224"/>
    </row>
    <row r="33" spans="1:13">
      <c r="A33" s="95" t="s">
        <v>10</v>
      </c>
      <c r="B33" s="331" t="s">
        <v>355</v>
      </c>
      <c r="C33" s="331" t="s">
        <v>356</v>
      </c>
      <c r="D33" s="95" t="s">
        <v>358</v>
      </c>
      <c r="E33" s="95" t="s">
        <v>359</v>
      </c>
      <c r="F33" s="95" t="s">
        <v>361</v>
      </c>
    </row>
    <row r="34" spans="1:13">
      <c r="A34" s="95" t="s">
        <v>11</v>
      </c>
      <c r="B34" s="331" t="s">
        <v>355</v>
      </c>
      <c r="C34" s="331" t="s">
        <v>356</v>
      </c>
      <c r="D34" s="95" t="s">
        <v>358</v>
      </c>
      <c r="E34" s="95" t="s">
        <v>359</v>
      </c>
      <c r="F34" s="95" t="s">
        <v>361</v>
      </c>
    </row>
    <row r="35" spans="1:13">
      <c r="A35" s="95" t="s">
        <v>12</v>
      </c>
      <c r="B35" s="331" t="s">
        <v>355</v>
      </c>
      <c r="C35" s="331" t="s">
        <v>356</v>
      </c>
      <c r="D35" s="95" t="s">
        <v>358</v>
      </c>
      <c r="E35" s="95" t="s">
        <v>359</v>
      </c>
      <c r="F35" s="95" t="s">
        <v>361</v>
      </c>
      <c r="K35" s="224"/>
      <c r="M35" s="452"/>
    </row>
    <row r="36" spans="1:13">
      <c r="A36" s="95" t="s">
        <v>13</v>
      </c>
      <c r="B36" s="331" t="s">
        <v>355</v>
      </c>
      <c r="C36" s="331" t="s">
        <v>356</v>
      </c>
      <c r="D36" s="95" t="s">
        <v>358</v>
      </c>
      <c r="E36" s="95" t="s">
        <v>359</v>
      </c>
      <c r="F36" s="95" t="s">
        <v>361</v>
      </c>
      <c r="K36" s="224"/>
      <c r="M36" s="452"/>
    </row>
    <row r="37" spans="1:13">
      <c r="A37" s="95" t="s">
        <v>14</v>
      </c>
      <c r="B37" s="331" t="s">
        <v>355</v>
      </c>
      <c r="C37" s="331" t="s">
        <v>357</v>
      </c>
      <c r="D37" s="95" t="s">
        <v>358</v>
      </c>
      <c r="E37" s="95" t="s">
        <v>360</v>
      </c>
      <c r="F37" s="95" t="s">
        <v>361</v>
      </c>
      <c r="K37" s="224"/>
    </row>
    <row r="38" spans="1:13">
      <c r="B38" s="331"/>
      <c r="K38" s="224"/>
    </row>
    <row r="39" spans="1:13">
      <c r="B39" s="331"/>
    </row>
  </sheetData>
  <mergeCells count="6">
    <mergeCell ref="M35:M36"/>
    <mergeCell ref="A1:Q1"/>
    <mergeCell ref="B21:C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39370078740157483" bottom="0.39370078740157483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12</vt:i4>
      </vt:variant>
      <vt:variant>
        <vt:lpstr>Наименувани диапазони</vt:lpstr>
      </vt:variant>
      <vt:variant>
        <vt:i4>4</vt:i4>
      </vt:variant>
    </vt:vector>
  </HeadingPairs>
  <TitlesOfParts>
    <vt:vector size="16" baseType="lpstr">
      <vt:lpstr>Списък</vt:lpstr>
      <vt:lpstr>Програма-предмети</vt:lpstr>
      <vt:lpstr>Програма-кодове</vt:lpstr>
      <vt:lpstr>Седмична заетост</vt:lpstr>
      <vt:lpstr>По класове - предмети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'Програма-кодове'!Област_печат</vt:lpstr>
      <vt:lpstr>'Програма-предмети'!Област_печат</vt:lpstr>
      <vt:lpstr>'Седмична заетост'!Област_печат</vt:lpstr>
      <vt:lpstr>'Седмична заетост-обр'!Област_печат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Stoyan</cp:lastModifiedBy>
  <cp:lastPrinted>2019-09-20T06:54:12Z</cp:lastPrinted>
  <dcterms:created xsi:type="dcterms:W3CDTF">1999-09-10T11:45:05Z</dcterms:created>
  <dcterms:modified xsi:type="dcterms:W3CDTF">2021-03-31T17:40:15Z</dcterms:modified>
</cp:coreProperties>
</file>