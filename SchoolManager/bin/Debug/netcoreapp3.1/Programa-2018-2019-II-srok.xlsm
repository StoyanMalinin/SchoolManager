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acher - KK1\Desktop\"/>
    </mc:Choice>
  </mc:AlternateContent>
  <bookViews>
    <workbookView xWindow="0" yWindow="0" windowWidth="28800" windowHeight="12330" tabRatio="915" activeTab="9"/>
  </bookViews>
  <sheets>
    <sheet name="Списък" sheetId="2" r:id="rId1"/>
    <sheet name="Програма-предмети" sheetId="5" state="hidden" r:id="rId2"/>
    <sheet name="Програма-кодове" sheetId="1" r:id="rId3"/>
    <sheet name="Седмична заетост" sheetId="13" r:id="rId4"/>
    <sheet name="Кабинети" sheetId="21" r:id="rId5"/>
    <sheet name="Програма-имена+кабинети" sheetId="3" r:id="rId6"/>
    <sheet name="По класове" sheetId="20" r:id="rId7"/>
    <sheet name="Седмична заетост-обр" sheetId="14" r:id="rId8"/>
    <sheet name="коеф" sheetId="15" state="hidden" r:id="rId9"/>
    <sheet name="ХЕИ" sheetId="19" r:id="rId10"/>
    <sheet name="Общо" sheetId="12" r:id="rId11"/>
  </sheets>
  <definedNames>
    <definedName name="_xlnm.Print_Area" localSheetId="2">'Програма-кодове'!$A$1:$AD$36</definedName>
    <definedName name="_xlnm.Print_Area" localSheetId="1">'Програма-предмети'!$A$1:$F$277</definedName>
    <definedName name="_xlnm.Print_Area" localSheetId="3">'Седмична заетост'!$A$1:$AZ$37</definedName>
    <definedName name="_xlnm.Print_Area" localSheetId="7">'Седмична заетост-обр'!$A$1:$AK$52</definedName>
  </definedNames>
  <calcPr calcId="162913"/>
  <customWorkbookViews>
    <customWorkbookView name="Kolia Petrova - Personal View" guid="{CA5C1580-67CF-11D3-927D-444553540000}" mergeInterval="0" personalView="1" maximized="1" windowWidth="987" windowHeight="582" activeSheetId="3" showComments="commIndAndComment"/>
  </customWorkbookViews>
</workbook>
</file>

<file path=xl/calcChain.xml><?xml version="1.0" encoding="utf-8"?>
<calcChain xmlns="http://schemas.openxmlformats.org/spreadsheetml/2006/main">
  <c r="C40" i="19" l="1"/>
  <c r="CE1" i="13" l="1"/>
  <c r="CE2" i="13"/>
  <c r="M1" i="13" l="1"/>
  <c r="L38" i="1" l="1"/>
  <c r="M38" i="1"/>
  <c r="N38" i="1"/>
  <c r="O38" i="1"/>
  <c r="K38" i="1"/>
  <c r="D38" i="1" l="1"/>
  <c r="E38" i="1"/>
  <c r="F38" i="1"/>
  <c r="G38" i="1"/>
  <c r="H38" i="1"/>
  <c r="I38" i="1"/>
  <c r="J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C38" i="1"/>
  <c r="H27" i="3" l="1"/>
  <c r="H26" i="3"/>
  <c r="F27" i="3"/>
  <c r="F26" i="3"/>
  <c r="G98" i="19"/>
  <c r="F98" i="19"/>
  <c r="B52" i="14" l="1"/>
  <c r="B51" i="14"/>
  <c r="B3" i="14"/>
  <c r="C1" i="13"/>
  <c r="C2" i="13"/>
  <c r="C125" i="19" l="1"/>
  <c r="C124" i="19"/>
  <c r="C116" i="19"/>
  <c r="C115" i="19"/>
  <c r="C49" i="19"/>
  <c r="B22" i="14" l="1"/>
  <c r="B23" i="14"/>
  <c r="AC50" i="13" l="1"/>
  <c r="AC49" i="13"/>
  <c r="AC48" i="13"/>
  <c r="AC47" i="13"/>
  <c r="AC46" i="13"/>
  <c r="AA50" i="13"/>
  <c r="AA49" i="13"/>
  <c r="AA48" i="13"/>
  <c r="AA47" i="13"/>
  <c r="AA46" i="13"/>
  <c r="AB50" i="13"/>
  <c r="AB49" i="13"/>
  <c r="AB48" i="13"/>
  <c r="AB47" i="13"/>
  <c r="AB46" i="13"/>
  <c r="Z50" i="13"/>
  <c r="Z49" i="13"/>
  <c r="Z48" i="13"/>
  <c r="Z47" i="13"/>
  <c r="Z46" i="13"/>
  <c r="Y50" i="13"/>
  <c r="Y49" i="13"/>
  <c r="Y48" i="13"/>
  <c r="Y46" i="13"/>
  <c r="Y47" i="13"/>
  <c r="AG48" i="13" l="1"/>
  <c r="E71" i="2" l="1"/>
  <c r="E72" i="2"/>
  <c r="BS1" i="13" l="1"/>
  <c r="BS2" i="13"/>
  <c r="BS6" i="13" s="1"/>
  <c r="BS29" i="13" l="1"/>
  <c r="BS13" i="13"/>
  <c r="BS36" i="13"/>
  <c r="BS20" i="13"/>
  <c r="BS4" i="13"/>
  <c r="BS35" i="13"/>
  <c r="BS27" i="13"/>
  <c r="BS11" i="13"/>
  <c r="BS34" i="13"/>
  <c r="BS26" i="13"/>
  <c r="BS18" i="13"/>
  <c r="BS10" i="13"/>
  <c r="BS37" i="13"/>
  <c r="BS21" i="13"/>
  <c r="BS5" i="13"/>
  <c r="BS28" i="13"/>
  <c r="BS12" i="13"/>
  <c r="BS19" i="13"/>
  <c r="BS33" i="13"/>
  <c r="BS25" i="13"/>
  <c r="BS17" i="13"/>
  <c r="BS9" i="13"/>
  <c r="BS31" i="13"/>
  <c r="BS23" i="13"/>
  <c r="BS15" i="13"/>
  <c r="BS7" i="13"/>
  <c r="BS32" i="13"/>
  <c r="BS24" i="13"/>
  <c r="BS16" i="13"/>
  <c r="BS8" i="13"/>
  <c r="BS3" i="13"/>
  <c r="BS30" i="13"/>
  <c r="BS22" i="13"/>
  <c r="BS14" i="13"/>
  <c r="AS41" i="13"/>
  <c r="BG48" i="13" l="1"/>
  <c r="BF48" i="13"/>
  <c r="BE48" i="13"/>
  <c r="BD48" i="13"/>
  <c r="BC48" i="13"/>
  <c r="BB48" i="13"/>
  <c r="BA48" i="13"/>
  <c r="AZ48" i="13"/>
  <c r="AY48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F48" i="13"/>
  <c r="AF50" i="13"/>
  <c r="AF49" i="13"/>
  <c r="AF47" i="13"/>
  <c r="AF46" i="13"/>
  <c r="O50" i="13"/>
  <c r="O49" i="13"/>
  <c r="O48" i="13"/>
  <c r="O47" i="13"/>
  <c r="O46" i="13"/>
  <c r="N50" i="13"/>
  <c r="N49" i="13"/>
  <c r="N48" i="13"/>
  <c r="N47" i="13"/>
  <c r="N46" i="13"/>
  <c r="M50" i="13"/>
  <c r="M49" i="13"/>
  <c r="M48" i="13"/>
  <c r="M47" i="13"/>
  <c r="M46" i="13"/>
  <c r="L50" i="13"/>
  <c r="L49" i="13"/>
  <c r="L48" i="13"/>
  <c r="L47" i="13"/>
  <c r="L46" i="13"/>
  <c r="K50" i="13"/>
  <c r="K49" i="13"/>
  <c r="K48" i="13"/>
  <c r="K47" i="13"/>
  <c r="K46" i="13"/>
  <c r="J50" i="13"/>
  <c r="J49" i="13"/>
  <c r="J48" i="13"/>
  <c r="J47" i="13"/>
  <c r="J46" i="13"/>
  <c r="I47" i="13"/>
  <c r="E46" i="13"/>
  <c r="AH50" i="13"/>
  <c r="AH49" i="13"/>
  <c r="AH47" i="13"/>
  <c r="AH46" i="13"/>
  <c r="AQ46" i="13"/>
  <c r="AG50" i="13"/>
  <c r="AG49" i="13"/>
  <c r="AG47" i="13"/>
  <c r="AG46" i="13"/>
  <c r="AW50" i="13"/>
  <c r="AW49" i="13"/>
  <c r="AW47" i="13"/>
  <c r="AW46" i="13"/>
  <c r="AV50" i="13"/>
  <c r="AV49" i="13"/>
  <c r="AV47" i="13"/>
  <c r="AV46" i="13"/>
  <c r="AU49" i="13"/>
  <c r="AU50" i="13"/>
  <c r="AU47" i="13"/>
  <c r="AU46" i="13"/>
  <c r="AP46" i="13"/>
  <c r="AP47" i="13"/>
  <c r="AP49" i="13"/>
  <c r="AP50" i="13"/>
  <c r="E68" i="2"/>
  <c r="F68" i="2" s="1"/>
  <c r="G68" i="2" s="1"/>
  <c r="E69" i="2"/>
  <c r="F69" i="2" s="1"/>
  <c r="BP1" i="13"/>
  <c r="BP2" i="13"/>
  <c r="F72" i="2"/>
  <c r="G72" i="2" s="1"/>
  <c r="F71" i="2"/>
  <c r="G71" i="2" s="1"/>
  <c r="AX49" i="13"/>
  <c r="AZ49" i="13"/>
  <c r="E79" i="2"/>
  <c r="F79" i="2" s="1"/>
  <c r="CC2" i="13"/>
  <c r="CC1" i="13"/>
  <c r="CD2" i="13"/>
  <c r="CD1" i="13"/>
  <c r="E77" i="2"/>
  <c r="F77" i="2" s="1"/>
  <c r="G77" i="2" s="1"/>
  <c r="E78" i="2"/>
  <c r="F78" i="2" s="1"/>
  <c r="G78" i="2" s="1"/>
  <c r="H28" i="12"/>
  <c r="G28" i="12"/>
  <c r="E16" i="2"/>
  <c r="F16" i="2" s="1"/>
  <c r="G16" i="2" s="1"/>
  <c r="BU1" i="13"/>
  <c r="BU2" i="13"/>
  <c r="BU26" i="13" s="1"/>
  <c r="BR1" i="13"/>
  <c r="BR2" i="13"/>
  <c r="BR36" i="13" s="1"/>
  <c r="E60" i="2"/>
  <c r="F60" i="2" s="1"/>
  <c r="G60" i="2" s="1"/>
  <c r="E56" i="2"/>
  <c r="F56" i="2" s="1"/>
  <c r="G56" i="2" s="1"/>
  <c r="AZ1" i="13"/>
  <c r="V1" i="13"/>
  <c r="V2" i="13"/>
  <c r="E21" i="2"/>
  <c r="F21" i="2" s="1"/>
  <c r="G21" i="2" s="1"/>
  <c r="CE4" i="13"/>
  <c r="CE5" i="13"/>
  <c r="CE6" i="13"/>
  <c r="CE7" i="13"/>
  <c r="CE8" i="13"/>
  <c r="CE9" i="13"/>
  <c r="CE10" i="13"/>
  <c r="CE11" i="13"/>
  <c r="CE12" i="13"/>
  <c r="CE13" i="13"/>
  <c r="CE14" i="13"/>
  <c r="CE15" i="13"/>
  <c r="CE16" i="13"/>
  <c r="CE17" i="13"/>
  <c r="CE18" i="13"/>
  <c r="CE19" i="13"/>
  <c r="CE20" i="13"/>
  <c r="CE21" i="13"/>
  <c r="CE22" i="13"/>
  <c r="CE23" i="13"/>
  <c r="CE24" i="13"/>
  <c r="CE25" i="13"/>
  <c r="CE26" i="13"/>
  <c r="CE27" i="13"/>
  <c r="CE28" i="13"/>
  <c r="CE29" i="13"/>
  <c r="CE30" i="13"/>
  <c r="CE31" i="13"/>
  <c r="CE32" i="13"/>
  <c r="CE33" i="13"/>
  <c r="CE34" i="13"/>
  <c r="CE35" i="13"/>
  <c r="CE36" i="13"/>
  <c r="CE37" i="13"/>
  <c r="CE3" i="13"/>
  <c r="AR50" i="13"/>
  <c r="AR49" i="13"/>
  <c r="AR47" i="13"/>
  <c r="AR46" i="13"/>
  <c r="AQ50" i="13"/>
  <c r="AQ49" i="13"/>
  <c r="AQ47" i="13"/>
  <c r="AI46" i="13"/>
  <c r="E67" i="2"/>
  <c r="F67" i="2" s="1"/>
  <c r="G215" i="19"/>
  <c r="E66" i="2"/>
  <c r="F66" i="2" s="1"/>
  <c r="G66" i="2" s="1"/>
  <c r="E65" i="2"/>
  <c r="F65" i="2" s="1"/>
  <c r="G65" i="2" s="1"/>
  <c r="C41" i="19"/>
  <c r="V46" i="13"/>
  <c r="AE38" i="1"/>
  <c r="AF38" i="1"/>
  <c r="AG38" i="1"/>
  <c r="BG1" i="13"/>
  <c r="BG2" i="13"/>
  <c r="BG46" i="13"/>
  <c r="BG47" i="13"/>
  <c r="BG49" i="13"/>
  <c r="BG50" i="13"/>
  <c r="BG51" i="13" s="1"/>
  <c r="F269" i="19"/>
  <c r="D260" i="19"/>
  <c r="F260" i="19"/>
  <c r="F251" i="19"/>
  <c r="F242" i="19"/>
  <c r="G242" i="19"/>
  <c r="F233" i="19"/>
  <c r="E224" i="19"/>
  <c r="F224" i="19"/>
  <c r="G224" i="19"/>
  <c r="F215" i="19"/>
  <c r="D197" i="19"/>
  <c r="C188" i="19"/>
  <c r="D188" i="19"/>
  <c r="F179" i="19"/>
  <c r="F170" i="19"/>
  <c r="F152" i="19"/>
  <c r="G152" i="19"/>
  <c r="C143" i="19"/>
  <c r="D143" i="19"/>
  <c r="F134" i="19"/>
  <c r="F125" i="19"/>
  <c r="G125" i="19"/>
  <c r="D89" i="19"/>
  <c r="D80" i="19"/>
  <c r="C71" i="19"/>
  <c r="D71" i="19"/>
  <c r="C62" i="19"/>
  <c r="D62" i="19"/>
  <c r="D53" i="19"/>
  <c r="G269" i="19"/>
  <c r="G251" i="19"/>
  <c r="F197" i="19"/>
  <c r="G179" i="19"/>
  <c r="C53" i="19"/>
  <c r="C44" i="19"/>
  <c r="E74" i="2"/>
  <c r="F74" i="2" s="1"/>
  <c r="G74" i="2" s="1"/>
  <c r="Q47" i="13"/>
  <c r="AX47" i="13"/>
  <c r="AZ50" i="13"/>
  <c r="AY50" i="13"/>
  <c r="AX50" i="13"/>
  <c r="AY49" i="13"/>
  <c r="BD50" i="13"/>
  <c r="BD49" i="13"/>
  <c r="BD47" i="13"/>
  <c r="BD46" i="13"/>
  <c r="BC50" i="13"/>
  <c r="BC49" i="13"/>
  <c r="BC47" i="13"/>
  <c r="BC46" i="13"/>
  <c r="AZ47" i="13"/>
  <c r="AY47" i="13"/>
  <c r="C20" i="19"/>
  <c r="D20" i="19"/>
  <c r="E20" i="19"/>
  <c r="F20" i="19"/>
  <c r="G20" i="19"/>
  <c r="C21" i="19"/>
  <c r="D21" i="19"/>
  <c r="E21" i="19"/>
  <c r="F21" i="19"/>
  <c r="G21" i="19"/>
  <c r="C22" i="19"/>
  <c r="D22" i="19"/>
  <c r="E22" i="19"/>
  <c r="F22" i="19"/>
  <c r="G22" i="19"/>
  <c r="C23" i="19"/>
  <c r="D23" i="19"/>
  <c r="E23" i="19"/>
  <c r="F23" i="19"/>
  <c r="G23" i="19"/>
  <c r="C24" i="19"/>
  <c r="D24" i="19"/>
  <c r="E24" i="19"/>
  <c r="F24" i="19"/>
  <c r="G24" i="19"/>
  <c r="C25" i="19"/>
  <c r="D25" i="19"/>
  <c r="E25" i="19"/>
  <c r="F25" i="19"/>
  <c r="G25" i="19"/>
  <c r="C29" i="19"/>
  <c r="D29" i="19"/>
  <c r="E29" i="19"/>
  <c r="F29" i="19"/>
  <c r="G29" i="19"/>
  <c r="C30" i="19"/>
  <c r="D30" i="19"/>
  <c r="E30" i="19"/>
  <c r="F30" i="19"/>
  <c r="G30" i="19"/>
  <c r="C31" i="19"/>
  <c r="D31" i="19"/>
  <c r="E31" i="19"/>
  <c r="F31" i="19"/>
  <c r="G31" i="19"/>
  <c r="C32" i="19"/>
  <c r="D32" i="19"/>
  <c r="E32" i="19"/>
  <c r="F32" i="19"/>
  <c r="G32" i="19"/>
  <c r="C33" i="19"/>
  <c r="D33" i="19"/>
  <c r="E33" i="19"/>
  <c r="F33" i="19"/>
  <c r="G33" i="19"/>
  <c r="C34" i="19"/>
  <c r="D34" i="19"/>
  <c r="E34" i="19"/>
  <c r="F34" i="19"/>
  <c r="G34" i="19"/>
  <c r="C38" i="19"/>
  <c r="D38" i="19"/>
  <c r="E38" i="19"/>
  <c r="F38" i="19"/>
  <c r="G38" i="19"/>
  <c r="C39" i="19"/>
  <c r="D39" i="19"/>
  <c r="E39" i="19"/>
  <c r="F39" i="19"/>
  <c r="G39" i="19"/>
  <c r="D40" i="19"/>
  <c r="E40" i="19"/>
  <c r="F40" i="19"/>
  <c r="G40" i="19"/>
  <c r="D41" i="19"/>
  <c r="E41" i="19"/>
  <c r="F41" i="19"/>
  <c r="G41" i="19"/>
  <c r="C42" i="19"/>
  <c r="D42" i="19"/>
  <c r="E42" i="19"/>
  <c r="F42" i="19"/>
  <c r="G42" i="19"/>
  <c r="C43" i="19"/>
  <c r="D43" i="19"/>
  <c r="E43" i="19"/>
  <c r="F43" i="19"/>
  <c r="G43" i="19"/>
  <c r="C47" i="19"/>
  <c r="D47" i="19"/>
  <c r="E47" i="19"/>
  <c r="F47" i="19"/>
  <c r="G47" i="19"/>
  <c r="C48" i="19"/>
  <c r="D48" i="19"/>
  <c r="E48" i="19"/>
  <c r="F48" i="19"/>
  <c r="G48" i="19"/>
  <c r="D49" i="19"/>
  <c r="E49" i="19"/>
  <c r="F49" i="19"/>
  <c r="G49" i="19"/>
  <c r="C50" i="19"/>
  <c r="D50" i="19"/>
  <c r="E50" i="19"/>
  <c r="F50" i="19"/>
  <c r="G50" i="19"/>
  <c r="C51" i="19"/>
  <c r="D51" i="19"/>
  <c r="E51" i="19"/>
  <c r="F51" i="19"/>
  <c r="G51" i="19"/>
  <c r="C52" i="19"/>
  <c r="D52" i="19"/>
  <c r="E52" i="19"/>
  <c r="F52" i="19"/>
  <c r="G52" i="19"/>
  <c r="C56" i="19"/>
  <c r="D56" i="19"/>
  <c r="E56" i="19"/>
  <c r="F56" i="19"/>
  <c r="G56" i="19"/>
  <c r="C57" i="19"/>
  <c r="D57" i="19"/>
  <c r="E57" i="19"/>
  <c r="F57" i="19"/>
  <c r="G57" i="19"/>
  <c r="C58" i="19"/>
  <c r="D58" i="19"/>
  <c r="E58" i="19"/>
  <c r="F58" i="19"/>
  <c r="G58" i="19"/>
  <c r="C59" i="19"/>
  <c r="D59" i="19"/>
  <c r="E59" i="19"/>
  <c r="F59" i="19"/>
  <c r="G59" i="19"/>
  <c r="C60" i="19"/>
  <c r="D60" i="19"/>
  <c r="E60" i="19"/>
  <c r="F60" i="19"/>
  <c r="G60" i="19"/>
  <c r="C61" i="19"/>
  <c r="D61" i="19"/>
  <c r="E61" i="19"/>
  <c r="F61" i="19"/>
  <c r="G61" i="19"/>
  <c r="C65" i="19"/>
  <c r="D65" i="19"/>
  <c r="E65" i="19"/>
  <c r="F65" i="19"/>
  <c r="G65" i="19"/>
  <c r="C66" i="19"/>
  <c r="D66" i="19"/>
  <c r="E66" i="19"/>
  <c r="F66" i="19"/>
  <c r="G66" i="19"/>
  <c r="C67" i="19"/>
  <c r="D67" i="19"/>
  <c r="E67" i="19"/>
  <c r="F67" i="19"/>
  <c r="G67" i="19"/>
  <c r="C68" i="19"/>
  <c r="D68" i="19"/>
  <c r="E68" i="19"/>
  <c r="F68" i="19"/>
  <c r="G68" i="19"/>
  <c r="C69" i="19"/>
  <c r="D69" i="19"/>
  <c r="E69" i="19"/>
  <c r="F69" i="19"/>
  <c r="G69" i="19"/>
  <c r="C70" i="19"/>
  <c r="D70" i="19"/>
  <c r="E70" i="19"/>
  <c r="F70" i="19"/>
  <c r="G70" i="19"/>
  <c r="C74" i="19"/>
  <c r="D74" i="19"/>
  <c r="E74" i="19"/>
  <c r="F74" i="19"/>
  <c r="G74" i="19"/>
  <c r="C75" i="19"/>
  <c r="D75" i="19"/>
  <c r="E75" i="19"/>
  <c r="F75" i="19"/>
  <c r="G75" i="19"/>
  <c r="C76" i="19"/>
  <c r="D76" i="19"/>
  <c r="E76" i="19"/>
  <c r="F76" i="19"/>
  <c r="G76" i="19"/>
  <c r="C77" i="19"/>
  <c r="D77" i="19"/>
  <c r="E77" i="19"/>
  <c r="F77" i="19"/>
  <c r="G77" i="19"/>
  <c r="C78" i="19"/>
  <c r="D78" i="19"/>
  <c r="E78" i="19"/>
  <c r="F78" i="19"/>
  <c r="G78" i="19"/>
  <c r="C79" i="19"/>
  <c r="D79" i="19"/>
  <c r="E79" i="19"/>
  <c r="F79" i="19"/>
  <c r="G79" i="19"/>
  <c r="C80" i="19"/>
  <c r="C83" i="19"/>
  <c r="D83" i="19"/>
  <c r="E83" i="19"/>
  <c r="F83" i="19"/>
  <c r="G83" i="19"/>
  <c r="C84" i="19"/>
  <c r="D84" i="19"/>
  <c r="E84" i="19"/>
  <c r="F84" i="19"/>
  <c r="G84" i="19"/>
  <c r="C85" i="19"/>
  <c r="D85" i="19"/>
  <c r="E85" i="19"/>
  <c r="F85" i="19"/>
  <c r="G85" i="19"/>
  <c r="C86" i="19"/>
  <c r="D86" i="19"/>
  <c r="E86" i="19"/>
  <c r="F86" i="19"/>
  <c r="G86" i="19"/>
  <c r="C87" i="19"/>
  <c r="D87" i="19"/>
  <c r="E87" i="19"/>
  <c r="F87" i="19"/>
  <c r="G87" i="19"/>
  <c r="C88" i="19"/>
  <c r="D88" i="19"/>
  <c r="E88" i="19"/>
  <c r="F88" i="19"/>
  <c r="G88" i="19"/>
  <c r="C89" i="19"/>
  <c r="C92" i="19"/>
  <c r="D92" i="19"/>
  <c r="E92" i="19"/>
  <c r="F92" i="19"/>
  <c r="G92" i="19"/>
  <c r="C93" i="19"/>
  <c r="D93" i="19"/>
  <c r="E93" i="19"/>
  <c r="F93" i="19"/>
  <c r="G93" i="19"/>
  <c r="C94" i="19"/>
  <c r="D94" i="19"/>
  <c r="E94" i="19"/>
  <c r="F94" i="19"/>
  <c r="G94" i="19"/>
  <c r="C95" i="19"/>
  <c r="D95" i="19"/>
  <c r="E95" i="19"/>
  <c r="F95" i="19"/>
  <c r="G95" i="19"/>
  <c r="C96" i="19"/>
  <c r="D96" i="19"/>
  <c r="E96" i="19"/>
  <c r="F96" i="19"/>
  <c r="G96" i="19"/>
  <c r="C97" i="19"/>
  <c r="D97" i="19"/>
  <c r="E97" i="19"/>
  <c r="F97" i="19"/>
  <c r="G97" i="19"/>
  <c r="C98" i="19"/>
  <c r="D98" i="19"/>
  <c r="C101" i="19"/>
  <c r="D101" i="19"/>
  <c r="E101" i="19"/>
  <c r="F101" i="19"/>
  <c r="G101" i="19"/>
  <c r="C102" i="19"/>
  <c r="D102" i="19"/>
  <c r="E102" i="19"/>
  <c r="F102" i="19"/>
  <c r="G102" i="19"/>
  <c r="C103" i="19"/>
  <c r="D103" i="19"/>
  <c r="E103" i="19"/>
  <c r="F103" i="19"/>
  <c r="G103" i="19"/>
  <c r="C104" i="19"/>
  <c r="D104" i="19"/>
  <c r="E104" i="19"/>
  <c r="F104" i="19"/>
  <c r="G104" i="19"/>
  <c r="C105" i="19"/>
  <c r="D105" i="19"/>
  <c r="E105" i="19"/>
  <c r="F105" i="19"/>
  <c r="G105" i="19"/>
  <c r="C106" i="19"/>
  <c r="D106" i="19"/>
  <c r="E106" i="19"/>
  <c r="F106" i="19"/>
  <c r="G106" i="19"/>
  <c r="C107" i="19"/>
  <c r="D107" i="19"/>
  <c r="C110" i="19"/>
  <c r="D110" i="19"/>
  <c r="E110" i="19"/>
  <c r="F110" i="19"/>
  <c r="G110" i="19"/>
  <c r="C111" i="19"/>
  <c r="D111" i="19"/>
  <c r="E111" i="19"/>
  <c r="F111" i="19"/>
  <c r="G111" i="19"/>
  <c r="C112" i="19"/>
  <c r="D112" i="19"/>
  <c r="E112" i="19"/>
  <c r="F112" i="19"/>
  <c r="G112" i="19"/>
  <c r="C113" i="19"/>
  <c r="D113" i="19"/>
  <c r="E113" i="19"/>
  <c r="F113" i="19"/>
  <c r="G113" i="19"/>
  <c r="C114" i="19"/>
  <c r="D114" i="19"/>
  <c r="E114" i="19"/>
  <c r="F114" i="19"/>
  <c r="G114" i="19"/>
  <c r="D115" i="19"/>
  <c r="E115" i="19"/>
  <c r="F115" i="19"/>
  <c r="G115" i="19"/>
  <c r="D116" i="19"/>
  <c r="C119" i="19"/>
  <c r="D119" i="19"/>
  <c r="E119" i="19"/>
  <c r="F119" i="19"/>
  <c r="G119" i="19"/>
  <c r="C120" i="19"/>
  <c r="D120" i="19"/>
  <c r="E120" i="19"/>
  <c r="F120" i="19"/>
  <c r="G120" i="19"/>
  <c r="C121" i="19"/>
  <c r="D121" i="19"/>
  <c r="E121" i="19"/>
  <c r="F121" i="19"/>
  <c r="G121" i="19"/>
  <c r="C122" i="19"/>
  <c r="D122" i="19"/>
  <c r="E122" i="19"/>
  <c r="F122" i="19"/>
  <c r="G122" i="19"/>
  <c r="C123" i="19"/>
  <c r="D123" i="19"/>
  <c r="E123" i="19"/>
  <c r="F123" i="19"/>
  <c r="G123" i="19"/>
  <c r="D124" i="19"/>
  <c r="E124" i="19"/>
  <c r="F124" i="19"/>
  <c r="G124" i="19"/>
  <c r="D125" i="19"/>
  <c r="C128" i="19"/>
  <c r="D128" i="19"/>
  <c r="E128" i="19"/>
  <c r="F128" i="19"/>
  <c r="G128" i="19"/>
  <c r="C129" i="19"/>
  <c r="D129" i="19"/>
  <c r="E129" i="19"/>
  <c r="F129" i="19"/>
  <c r="G129" i="19"/>
  <c r="C130" i="19"/>
  <c r="D130" i="19"/>
  <c r="E130" i="19"/>
  <c r="F130" i="19"/>
  <c r="G130" i="19"/>
  <c r="C131" i="19"/>
  <c r="D131" i="19"/>
  <c r="E131" i="19"/>
  <c r="F131" i="19"/>
  <c r="G131" i="19"/>
  <c r="C132" i="19"/>
  <c r="D132" i="19"/>
  <c r="E132" i="19"/>
  <c r="F132" i="19"/>
  <c r="G132" i="19"/>
  <c r="C133" i="19"/>
  <c r="D133" i="19"/>
  <c r="E133" i="19"/>
  <c r="F133" i="19"/>
  <c r="G133" i="19"/>
  <c r="C134" i="19"/>
  <c r="D134" i="19"/>
  <c r="G134" i="19"/>
  <c r="C137" i="19"/>
  <c r="D137" i="19"/>
  <c r="E137" i="19"/>
  <c r="F137" i="19"/>
  <c r="G137" i="19"/>
  <c r="C138" i="19"/>
  <c r="D138" i="19"/>
  <c r="E138" i="19"/>
  <c r="F138" i="19"/>
  <c r="G138" i="19"/>
  <c r="C139" i="19"/>
  <c r="D139" i="19"/>
  <c r="E139" i="19"/>
  <c r="F139" i="19"/>
  <c r="G139" i="19"/>
  <c r="C140" i="19"/>
  <c r="D140" i="19"/>
  <c r="E140" i="19"/>
  <c r="F140" i="19"/>
  <c r="G140" i="19"/>
  <c r="C141" i="19"/>
  <c r="D141" i="19"/>
  <c r="E141" i="19"/>
  <c r="F141" i="19"/>
  <c r="G141" i="19"/>
  <c r="C142" i="19"/>
  <c r="D142" i="19"/>
  <c r="E142" i="19"/>
  <c r="F142" i="19"/>
  <c r="G142" i="19"/>
  <c r="F143" i="19"/>
  <c r="G143" i="19"/>
  <c r="C146" i="19"/>
  <c r="D146" i="19"/>
  <c r="E146" i="19"/>
  <c r="F146" i="19"/>
  <c r="G146" i="19"/>
  <c r="C147" i="19"/>
  <c r="D147" i="19"/>
  <c r="E147" i="19"/>
  <c r="F147" i="19"/>
  <c r="G147" i="19"/>
  <c r="C148" i="19"/>
  <c r="D148" i="19"/>
  <c r="E148" i="19"/>
  <c r="F148" i="19"/>
  <c r="G148" i="19"/>
  <c r="C149" i="19"/>
  <c r="D149" i="19"/>
  <c r="E149" i="19"/>
  <c r="F149" i="19"/>
  <c r="G149" i="19"/>
  <c r="C150" i="19"/>
  <c r="D150" i="19"/>
  <c r="E150" i="19"/>
  <c r="F150" i="19"/>
  <c r="G150" i="19"/>
  <c r="C151" i="19"/>
  <c r="D151" i="19"/>
  <c r="E151" i="19"/>
  <c r="F151" i="19"/>
  <c r="G151" i="19"/>
  <c r="C152" i="19"/>
  <c r="D152" i="19"/>
  <c r="C155" i="19"/>
  <c r="D155" i="19"/>
  <c r="E155" i="19"/>
  <c r="F155" i="19"/>
  <c r="G155" i="19"/>
  <c r="C156" i="19"/>
  <c r="D156" i="19"/>
  <c r="E156" i="19"/>
  <c r="F156" i="19"/>
  <c r="G156" i="19"/>
  <c r="C157" i="19"/>
  <c r="D157" i="19"/>
  <c r="E157" i="19"/>
  <c r="F157" i="19"/>
  <c r="G157" i="19"/>
  <c r="C158" i="19"/>
  <c r="D158" i="19"/>
  <c r="E158" i="19"/>
  <c r="F158" i="19"/>
  <c r="G158" i="19"/>
  <c r="C159" i="19"/>
  <c r="D159" i="19"/>
  <c r="E159" i="19"/>
  <c r="F159" i="19"/>
  <c r="G159" i="19"/>
  <c r="C160" i="19"/>
  <c r="D160" i="19"/>
  <c r="E160" i="19"/>
  <c r="F160" i="19"/>
  <c r="G160" i="19"/>
  <c r="C161" i="19"/>
  <c r="D161" i="19"/>
  <c r="F161" i="19"/>
  <c r="G161" i="19"/>
  <c r="C164" i="19"/>
  <c r="D164" i="19"/>
  <c r="E164" i="19"/>
  <c r="F164" i="19"/>
  <c r="G164" i="19"/>
  <c r="C165" i="19"/>
  <c r="D165" i="19"/>
  <c r="E165" i="19"/>
  <c r="F165" i="19"/>
  <c r="G165" i="19"/>
  <c r="C166" i="19"/>
  <c r="D166" i="19"/>
  <c r="E166" i="19"/>
  <c r="F166" i="19"/>
  <c r="G166" i="19"/>
  <c r="C167" i="19"/>
  <c r="D167" i="19"/>
  <c r="E167" i="19"/>
  <c r="F167" i="19"/>
  <c r="G167" i="19"/>
  <c r="C168" i="19"/>
  <c r="D168" i="19"/>
  <c r="E168" i="19"/>
  <c r="F168" i="19"/>
  <c r="G168" i="19"/>
  <c r="C169" i="19"/>
  <c r="D169" i="19"/>
  <c r="E169" i="19"/>
  <c r="F169" i="19"/>
  <c r="G169" i="19"/>
  <c r="C170" i="19"/>
  <c r="D170" i="19"/>
  <c r="G170" i="19"/>
  <c r="C173" i="19"/>
  <c r="D173" i="19"/>
  <c r="E173" i="19"/>
  <c r="F173" i="19"/>
  <c r="G173" i="19"/>
  <c r="C174" i="19"/>
  <c r="D174" i="19"/>
  <c r="E174" i="19"/>
  <c r="F174" i="19"/>
  <c r="G174" i="19"/>
  <c r="C175" i="19"/>
  <c r="D175" i="19"/>
  <c r="E175" i="19"/>
  <c r="F175" i="19"/>
  <c r="G175" i="19"/>
  <c r="C176" i="19"/>
  <c r="D176" i="19"/>
  <c r="E176" i="19"/>
  <c r="F176" i="19"/>
  <c r="G176" i="19"/>
  <c r="C177" i="19"/>
  <c r="D177" i="19"/>
  <c r="E177" i="19"/>
  <c r="F177" i="19"/>
  <c r="G177" i="19"/>
  <c r="C178" i="19"/>
  <c r="D178" i="19"/>
  <c r="E178" i="19"/>
  <c r="F178" i="19"/>
  <c r="G178" i="19"/>
  <c r="C179" i="19"/>
  <c r="D179" i="19"/>
  <c r="C182" i="19"/>
  <c r="D182" i="19"/>
  <c r="E182" i="19"/>
  <c r="F182" i="19"/>
  <c r="G182" i="19"/>
  <c r="C183" i="19"/>
  <c r="D183" i="19"/>
  <c r="E183" i="19"/>
  <c r="F183" i="19"/>
  <c r="G183" i="19"/>
  <c r="C184" i="19"/>
  <c r="D184" i="19"/>
  <c r="E184" i="19"/>
  <c r="F184" i="19"/>
  <c r="G184" i="19"/>
  <c r="C185" i="19"/>
  <c r="D185" i="19"/>
  <c r="E185" i="19"/>
  <c r="F185" i="19"/>
  <c r="G185" i="19"/>
  <c r="C186" i="19"/>
  <c r="D186" i="19"/>
  <c r="E186" i="19"/>
  <c r="F186" i="19"/>
  <c r="G186" i="19"/>
  <c r="C187" i="19"/>
  <c r="D187" i="19"/>
  <c r="E187" i="19"/>
  <c r="F187" i="19"/>
  <c r="G187" i="19"/>
  <c r="F188" i="19"/>
  <c r="G188" i="19"/>
  <c r="C191" i="19"/>
  <c r="D191" i="19"/>
  <c r="E191" i="19"/>
  <c r="F191" i="19"/>
  <c r="G191" i="19"/>
  <c r="C192" i="19"/>
  <c r="D192" i="19"/>
  <c r="E192" i="19"/>
  <c r="F192" i="19"/>
  <c r="G192" i="19"/>
  <c r="C193" i="19"/>
  <c r="D193" i="19"/>
  <c r="E193" i="19"/>
  <c r="F193" i="19"/>
  <c r="G193" i="19"/>
  <c r="C194" i="19"/>
  <c r="D194" i="19"/>
  <c r="E194" i="19"/>
  <c r="F194" i="19"/>
  <c r="G194" i="19"/>
  <c r="C195" i="19"/>
  <c r="D195" i="19"/>
  <c r="E195" i="19"/>
  <c r="F195" i="19"/>
  <c r="G195" i="19"/>
  <c r="C196" i="19"/>
  <c r="D196" i="19"/>
  <c r="E196" i="19"/>
  <c r="F196" i="19"/>
  <c r="G196" i="19"/>
  <c r="C197" i="19"/>
  <c r="G197" i="19"/>
  <c r="C200" i="19"/>
  <c r="D200" i="19"/>
  <c r="E200" i="19"/>
  <c r="F200" i="19"/>
  <c r="G200" i="19"/>
  <c r="C201" i="19"/>
  <c r="D201" i="19"/>
  <c r="E201" i="19"/>
  <c r="F201" i="19"/>
  <c r="G201" i="19"/>
  <c r="C202" i="19"/>
  <c r="D202" i="19"/>
  <c r="E202" i="19"/>
  <c r="F202" i="19"/>
  <c r="G202" i="19"/>
  <c r="C203" i="19"/>
  <c r="D203" i="19"/>
  <c r="E203" i="19"/>
  <c r="F203" i="19"/>
  <c r="G203" i="19"/>
  <c r="C204" i="19"/>
  <c r="D204" i="19"/>
  <c r="E204" i="19"/>
  <c r="F204" i="19"/>
  <c r="G204" i="19"/>
  <c r="C205" i="19"/>
  <c r="D205" i="19"/>
  <c r="E205" i="19"/>
  <c r="F205" i="19"/>
  <c r="G205" i="19"/>
  <c r="C206" i="19"/>
  <c r="D206" i="19"/>
  <c r="F206" i="19"/>
  <c r="G206" i="19"/>
  <c r="C209" i="19"/>
  <c r="D209" i="19"/>
  <c r="E209" i="19"/>
  <c r="F209" i="19"/>
  <c r="G209" i="19"/>
  <c r="C210" i="19"/>
  <c r="D210" i="19"/>
  <c r="E210" i="19"/>
  <c r="F210" i="19"/>
  <c r="G210" i="19"/>
  <c r="C211" i="19"/>
  <c r="D211" i="19"/>
  <c r="E211" i="19"/>
  <c r="F211" i="19"/>
  <c r="G211" i="19"/>
  <c r="C212" i="19"/>
  <c r="D212" i="19"/>
  <c r="E212" i="19"/>
  <c r="F212" i="19"/>
  <c r="G212" i="19"/>
  <c r="C213" i="19"/>
  <c r="D213" i="19"/>
  <c r="E213" i="19"/>
  <c r="F213" i="19"/>
  <c r="G213" i="19"/>
  <c r="C214" i="19"/>
  <c r="D214" i="19"/>
  <c r="E214" i="19"/>
  <c r="F214" i="19"/>
  <c r="G214" i="19"/>
  <c r="C215" i="19"/>
  <c r="D215" i="19"/>
  <c r="C218" i="19"/>
  <c r="D218" i="19"/>
  <c r="E218" i="19"/>
  <c r="F218" i="19"/>
  <c r="G218" i="19"/>
  <c r="C219" i="19"/>
  <c r="D219" i="19"/>
  <c r="E219" i="19"/>
  <c r="F219" i="19"/>
  <c r="G219" i="19"/>
  <c r="C220" i="19"/>
  <c r="D220" i="19"/>
  <c r="E220" i="19"/>
  <c r="F220" i="19"/>
  <c r="G220" i="19"/>
  <c r="C221" i="19"/>
  <c r="D221" i="19"/>
  <c r="E221" i="19"/>
  <c r="F221" i="19"/>
  <c r="G221" i="19"/>
  <c r="C222" i="19"/>
  <c r="D222" i="19"/>
  <c r="E222" i="19"/>
  <c r="F222" i="19"/>
  <c r="G222" i="19"/>
  <c r="C223" i="19"/>
  <c r="D223" i="19"/>
  <c r="E223" i="19"/>
  <c r="F223" i="19"/>
  <c r="G223" i="19"/>
  <c r="C224" i="19"/>
  <c r="D224" i="19"/>
  <c r="C227" i="19"/>
  <c r="D227" i="19"/>
  <c r="E227" i="19"/>
  <c r="F227" i="19"/>
  <c r="G227" i="19"/>
  <c r="C228" i="19"/>
  <c r="D228" i="19"/>
  <c r="E228" i="19"/>
  <c r="F228" i="19"/>
  <c r="G228" i="19"/>
  <c r="C229" i="19"/>
  <c r="D229" i="19"/>
  <c r="E229" i="19"/>
  <c r="F229" i="19"/>
  <c r="G229" i="19"/>
  <c r="C230" i="19"/>
  <c r="D230" i="19"/>
  <c r="E230" i="19"/>
  <c r="F230" i="19"/>
  <c r="G230" i="19"/>
  <c r="C231" i="19"/>
  <c r="D231" i="19"/>
  <c r="E231" i="19"/>
  <c r="F231" i="19"/>
  <c r="G231" i="19"/>
  <c r="C232" i="19"/>
  <c r="D232" i="19"/>
  <c r="E232" i="19"/>
  <c r="F232" i="19"/>
  <c r="G232" i="19"/>
  <c r="C233" i="19"/>
  <c r="D233" i="19"/>
  <c r="G233" i="19"/>
  <c r="C236" i="19"/>
  <c r="D236" i="19"/>
  <c r="E236" i="19"/>
  <c r="F236" i="19"/>
  <c r="G236" i="19"/>
  <c r="C237" i="19"/>
  <c r="D237" i="19"/>
  <c r="E237" i="19"/>
  <c r="F237" i="19"/>
  <c r="G237" i="19"/>
  <c r="C238" i="19"/>
  <c r="D238" i="19"/>
  <c r="E238" i="19"/>
  <c r="F238" i="19"/>
  <c r="G238" i="19"/>
  <c r="C239" i="19"/>
  <c r="D239" i="19"/>
  <c r="E239" i="19"/>
  <c r="F239" i="19"/>
  <c r="G239" i="19"/>
  <c r="C240" i="19"/>
  <c r="D240" i="19"/>
  <c r="E240" i="19"/>
  <c r="F240" i="19"/>
  <c r="G240" i="19"/>
  <c r="C241" i="19"/>
  <c r="D241" i="19"/>
  <c r="E241" i="19"/>
  <c r="F241" i="19"/>
  <c r="G241" i="19"/>
  <c r="C242" i="19"/>
  <c r="D242" i="19"/>
  <c r="C245" i="19"/>
  <c r="D245" i="19"/>
  <c r="E245" i="19"/>
  <c r="F245" i="19"/>
  <c r="G245" i="19"/>
  <c r="C246" i="19"/>
  <c r="D246" i="19"/>
  <c r="E246" i="19"/>
  <c r="F246" i="19"/>
  <c r="G246" i="19"/>
  <c r="C247" i="19"/>
  <c r="D247" i="19"/>
  <c r="E247" i="19"/>
  <c r="F247" i="19"/>
  <c r="G247" i="19"/>
  <c r="C248" i="19"/>
  <c r="D248" i="19"/>
  <c r="E248" i="19"/>
  <c r="F248" i="19"/>
  <c r="G248" i="19"/>
  <c r="C249" i="19"/>
  <c r="D249" i="19"/>
  <c r="E249" i="19"/>
  <c r="F249" i="19"/>
  <c r="G249" i="19"/>
  <c r="C250" i="19"/>
  <c r="D250" i="19"/>
  <c r="E250" i="19"/>
  <c r="F250" i="19"/>
  <c r="G250" i="19"/>
  <c r="C251" i="19"/>
  <c r="D251" i="19"/>
  <c r="C254" i="19"/>
  <c r="D254" i="19"/>
  <c r="E254" i="19"/>
  <c r="F254" i="19"/>
  <c r="G254" i="19"/>
  <c r="C255" i="19"/>
  <c r="D255" i="19"/>
  <c r="E255" i="19"/>
  <c r="F255" i="19"/>
  <c r="G255" i="19"/>
  <c r="C256" i="19"/>
  <c r="D256" i="19"/>
  <c r="E256" i="19"/>
  <c r="F256" i="19"/>
  <c r="G256" i="19"/>
  <c r="C257" i="19"/>
  <c r="D257" i="19"/>
  <c r="E257" i="19"/>
  <c r="F257" i="19"/>
  <c r="G257" i="19"/>
  <c r="C258" i="19"/>
  <c r="D258" i="19"/>
  <c r="E258" i="19"/>
  <c r="F258" i="19"/>
  <c r="G258" i="19"/>
  <c r="C259" i="19"/>
  <c r="D259" i="19"/>
  <c r="E259" i="19"/>
  <c r="F259" i="19"/>
  <c r="G259" i="19"/>
  <c r="C260" i="19"/>
  <c r="G260" i="19"/>
  <c r="C263" i="19"/>
  <c r="D263" i="19"/>
  <c r="E263" i="19"/>
  <c r="F263" i="19"/>
  <c r="G263" i="19"/>
  <c r="C264" i="19"/>
  <c r="D264" i="19"/>
  <c r="E264" i="19"/>
  <c r="F264" i="19"/>
  <c r="G264" i="19"/>
  <c r="C265" i="19"/>
  <c r="D265" i="19"/>
  <c r="E265" i="19"/>
  <c r="F265" i="19"/>
  <c r="G265" i="19"/>
  <c r="C266" i="19"/>
  <c r="D266" i="19"/>
  <c r="E266" i="19"/>
  <c r="F266" i="19"/>
  <c r="G266" i="19"/>
  <c r="C267" i="19"/>
  <c r="D267" i="19"/>
  <c r="E267" i="19"/>
  <c r="F267" i="19"/>
  <c r="G267" i="19"/>
  <c r="C268" i="19"/>
  <c r="D268" i="19"/>
  <c r="E268" i="19"/>
  <c r="F268" i="19"/>
  <c r="G268" i="19"/>
  <c r="C269" i="19"/>
  <c r="D269" i="19"/>
  <c r="B3" i="15"/>
  <c r="C3" i="15" s="1"/>
  <c r="D3" i="15"/>
  <c r="E3" i="15" s="1"/>
  <c r="F3" i="15"/>
  <c r="G3" i="15" s="1"/>
  <c r="B4" i="15"/>
  <c r="C4" i="15" s="1"/>
  <c r="D4" i="15"/>
  <c r="E4" i="15" s="1"/>
  <c r="F4" i="15"/>
  <c r="G4" i="15" s="1"/>
  <c r="B5" i="15"/>
  <c r="C5" i="15" s="1"/>
  <c r="D5" i="15"/>
  <c r="E5" i="15" s="1"/>
  <c r="F5" i="15"/>
  <c r="G5" i="15" s="1"/>
  <c r="B6" i="15"/>
  <c r="C6" i="15" s="1"/>
  <c r="D6" i="15"/>
  <c r="E6" i="15" s="1"/>
  <c r="F6" i="15"/>
  <c r="G6" i="15" s="1"/>
  <c r="B7" i="15"/>
  <c r="C7" i="15" s="1"/>
  <c r="D7" i="15"/>
  <c r="E7" i="15" s="1"/>
  <c r="F7" i="15"/>
  <c r="G7" i="15" s="1"/>
  <c r="B8" i="15"/>
  <c r="C8" i="15" s="1"/>
  <c r="D8" i="15"/>
  <c r="E8" i="15" s="1"/>
  <c r="F8" i="15"/>
  <c r="G8" i="15" s="1"/>
  <c r="B9" i="15"/>
  <c r="B13" i="15"/>
  <c r="C13" i="15" s="1"/>
  <c r="D13" i="15"/>
  <c r="E13" i="15" s="1"/>
  <c r="F13" i="15"/>
  <c r="G13" i="15" s="1"/>
  <c r="H13" i="15"/>
  <c r="I13" i="15" s="1"/>
  <c r="J13" i="15"/>
  <c r="K13" i="15" s="1"/>
  <c r="B14" i="15"/>
  <c r="C14" i="15" s="1"/>
  <c r="D14" i="15"/>
  <c r="E14" i="15" s="1"/>
  <c r="F14" i="15"/>
  <c r="G14" i="15" s="1"/>
  <c r="H14" i="15"/>
  <c r="I14" i="15" s="1"/>
  <c r="J14" i="15"/>
  <c r="K14" i="15" s="1"/>
  <c r="B15" i="15"/>
  <c r="C15" i="15" s="1"/>
  <c r="D15" i="15"/>
  <c r="E15" i="15" s="1"/>
  <c r="F15" i="15"/>
  <c r="G15" i="15" s="1"/>
  <c r="H15" i="15"/>
  <c r="I15" i="15" s="1"/>
  <c r="J15" i="15"/>
  <c r="K15" i="15" s="1"/>
  <c r="B16" i="15"/>
  <c r="C16" i="15" s="1"/>
  <c r="D16" i="15"/>
  <c r="E16" i="15" s="1"/>
  <c r="F16" i="15"/>
  <c r="G16" i="15" s="1"/>
  <c r="H16" i="15"/>
  <c r="I16" i="15" s="1"/>
  <c r="J16" i="15"/>
  <c r="K16" i="15" s="1"/>
  <c r="B17" i="15"/>
  <c r="C17" i="15" s="1"/>
  <c r="D17" i="15"/>
  <c r="E17" i="15" s="1"/>
  <c r="F17" i="15"/>
  <c r="G17" i="15" s="1"/>
  <c r="H17" i="15"/>
  <c r="I17" i="15" s="1"/>
  <c r="J17" i="15"/>
  <c r="K17" i="15" s="1"/>
  <c r="B18" i="15"/>
  <c r="C18" i="15" s="1"/>
  <c r="D18" i="15"/>
  <c r="E18" i="15" s="1"/>
  <c r="F18" i="15"/>
  <c r="G18" i="15" s="1"/>
  <c r="H18" i="15"/>
  <c r="I18" i="15" s="1"/>
  <c r="J18" i="15"/>
  <c r="K18" i="15" s="1"/>
  <c r="B19" i="15"/>
  <c r="D19" i="15"/>
  <c r="F19" i="15"/>
  <c r="G19" i="15" s="1"/>
  <c r="H19" i="15"/>
  <c r="I19" i="15" s="1"/>
  <c r="J19" i="15"/>
  <c r="B23" i="15"/>
  <c r="C23" i="15" s="1"/>
  <c r="D23" i="15"/>
  <c r="E23" i="15" s="1"/>
  <c r="F23" i="15"/>
  <c r="G23" i="15" s="1"/>
  <c r="H23" i="15"/>
  <c r="I23" i="15" s="1"/>
  <c r="J23" i="15"/>
  <c r="K23" i="15" s="1"/>
  <c r="B24" i="15"/>
  <c r="C24" i="15" s="1"/>
  <c r="D24" i="15"/>
  <c r="E24" i="15" s="1"/>
  <c r="F24" i="15"/>
  <c r="G24" i="15" s="1"/>
  <c r="H24" i="15"/>
  <c r="I24" i="15" s="1"/>
  <c r="J24" i="15"/>
  <c r="K24" i="15" s="1"/>
  <c r="B25" i="15"/>
  <c r="C25" i="15" s="1"/>
  <c r="D25" i="15"/>
  <c r="E25" i="15" s="1"/>
  <c r="F25" i="15"/>
  <c r="G25" i="15" s="1"/>
  <c r="H25" i="15"/>
  <c r="I25" i="15" s="1"/>
  <c r="J25" i="15"/>
  <c r="K25" i="15" s="1"/>
  <c r="B26" i="15"/>
  <c r="C26" i="15" s="1"/>
  <c r="D26" i="15"/>
  <c r="E26" i="15" s="1"/>
  <c r="F26" i="15"/>
  <c r="G26" i="15" s="1"/>
  <c r="H26" i="15"/>
  <c r="I26" i="15" s="1"/>
  <c r="J26" i="15"/>
  <c r="K26" i="15" s="1"/>
  <c r="B27" i="15"/>
  <c r="C27" i="15" s="1"/>
  <c r="D27" i="15"/>
  <c r="E27" i="15" s="1"/>
  <c r="F27" i="15"/>
  <c r="G27" i="15" s="1"/>
  <c r="H27" i="15"/>
  <c r="I27" i="15" s="1"/>
  <c r="J27" i="15"/>
  <c r="K27" i="15" s="1"/>
  <c r="B28" i="15"/>
  <c r="C28" i="15" s="1"/>
  <c r="D28" i="15"/>
  <c r="E28" i="15" s="1"/>
  <c r="F28" i="15"/>
  <c r="G28" i="15" s="1"/>
  <c r="H28" i="15"/>
  <c r="I28" i="15" s="1"/>
  <c r="J28" i="15"/>
  <c r="K28" i="15" s="1"/>
  <c r="B29" i="15"/>
  <c r="C29" i="15" s="1"/>
  <c r="D29" i="15"/>
  <c r="E29" i="15" s="1"/>
  <c r="F29" i="15"/>
  <c r="G29" i="15" s="1"/>
  <c r="H29" i="15"/>
  <c r="I29" i="15" s="1"/>
  <c r="J29" i="15"/>
  <c r="K29" i="15" s="1"/>
  <c r="F30" i="15"/>
  <c r="B33" i="15"/>
  <c r="C33" i="15" s="1"/>
  <c r="D33" i="15"/>
  <c r="E33" i="15" s="1"/>
  <c r="F33" i="15"/>
  <c r="G33" i="15" s="1"/>
  <c r="H33" i="15"/>
  <c r="I33" i="15" s="1"/>
  <c r="J33" i="15"/>
  <c r="K33" i="15" s="1"/>
  <c r="B34" i="15"/>
  <c r="C34" i="15" s="1"/>
  <c r="D34" i="15"/>
  <c r="E34" i="15" s="1"/>
  <c r="F34" i="15"/>
  <c r="G34" i="15" s="1"/>
  <c r="H34" i="15"/>
  <c r="I34" i="15" s="1"/>
  <c r="J34" i="15"/>
  <c r="K34" i="15" s="1"/>
  <c r="B35" i="15"/>
  <c r="C35" i="15" s="1"/>
  <c r="D35" i="15"/>
  <c r="E35" i="15" s="1"/>
  <c r="F35" i="15"/>
  <c r="G35" i="15" s="1"/>
  <c r="H35" i="15"/>
  <c r="I35" i="15" s="1"/>
  <c r="J35" i="15"/>
  <c r="K35" i="15" s="1"/>
  <c r="B36" i="15"/>
  <c r="C36" i="15" s="1"/>
  <c r="D36" i="15"/>
  <c r="E36" i="15" s="1"/>
  <c r="F36" i="15"/>
  <c r="G36" i="15" s="1"/>
  <c r="H36" i="15"/>
  <c r="I36" i="15" s="1"/>
  <c r="J36" i="15"/>
  <c r="K36" i="15" s="1"/>
  <c r="B37" i="15"/>
  <c r="C37" i="15" s="1"/>
  <c r="D37" i="15"/>
  <c r="E37" i="15" s="1"/>
  <c r="F37" i="15"/>
  <c r="G37" i="15" s="1"/>
  <c r="H37" i="15"/>
  <c r="I37" i="15" s="1"/>
  <c r="J37" i="15"/>
  <c r="K37" i="15" s="1"/>
  <c r="B38" i="15"/>
  <c r="C38" i="15" s="1"/>
  <c r="D38" i="15"/>
  <c r="E38" i="15" s="1"/>
  <c r="F38" i="15"/>
  <c r="G38" i="15" s="1"/>
  <c r="H38" i="15"/>
  <c r="I38" i="15" s="1"/>
  <c r="J38" i="15"/>
  <c r="K38" i="15" s="1"/>
  <c r="B39" i="15"/>
  <c r="C39" i="15" s="1"/>
  <c r="D39" i="15"/>
  <c r="E39" i="15" s="1"/>
  <c r="F39" i="15"/>
  <c r="G39" i="15" s="1"/>
  <c r="H39" i="15"/>
  <c r="I39" i="15" s="1"/>
  <c r="J39" i="15"/>
  <c r="K39" i="15" s="1"/>
  <c r="B43" i="15"/>
  <c r="C43" i="15" s="1"/>
  <c r="D43" i="15"/>
  <c r="E43" i="15" s="1"/>
  <c r="F43" i="15"/>
  <c r="G43" i="15" s="1"/>
  <c r="H43" i="15"/>
  <c r="I43" i="15" s="1"/>
  <c r="J43" i="15"/>
  <c r="K43" i="15" s="1"/>
  <c r="B44" i="15"/>
  <c r="C44" i="15" s="1"/>
  <c r="D44" i="15"/>
  <c r="E44" i="15" s="1"/>
  <c r="F44" i="15"/>
  <c r="G44" i="15" s="1"/>
  <c r="H44" i="15"/>
  <c r="I44" i="15" s="1"/>
  <c r="J44" i="15"/>
  <c r="K44" i="15" s="1"/>
  <c r="B45" i="15"/>
  <c r="C45" i="15" s="1"/>
  <c r="D45" i="15"/>
  <c r="E45" i="15" s="1"/>
  <c r="F45" i="15"/>
  <c r="G45" i="15" s="1"/>
  <c r="H45" i="15"/>
  <c r="I45" i="15" s="1"/>
  <c r="J45" i="15"/>
  <c r="K45" i="15" s="1"/>
  <c r="B46" i="15"/>
  <c r="C46" i="15" s="1"/>
  <c r="D46" i="15"/>
  <c r="E46" i="15" s="1"/>
  <c r="F46" i="15"/>
  <c r="G46" i="15" s="1"/>
  <c r="H46" i="15"/>
  <c r="I46" i="15" s="1"/>
  <c r="J46" i="15"/>
  <c r="K46" i="15" s="1"/>
  <c r="B47" i="15"/>
  <c r="C47" i="15" s="1"/>
  <c r="D47" i="15"/>
  <c r="E47" i="15" s="1"/>
  <c r="F47" i="15"/>
  <c r="G47" i="15" s="1"/>
  <c r="H47" i="15"/>
  <c r="I47" i="15" s="1"/>
  <c r="J47" i="15"/>
  <c r="K47" i="15" s="1"/>
  <c r="B48" i="15"/>
  <c r="C48" i="15" s="1"/>
  <c r="D48" i="15"/>
  <c r="E48" i="15" s="1"/>
  <c r="F48" i="15"/>
  <c r="G48" i="15" s="1"/>
  <c r="H48" i="15"/>
  <c r="I48" i="15" s="1"/>
  <c r="J48" i="15"/>
  <c r="K48" i="15" s="1"/>
  <c r="B49" i="15"/>
  <c r="C49" i="15" s="1"/>
  <c r="D49" i="15"/>
  <c r="E49" i="15" s="1"/>
  <c r="F49" i="15"/>
  <c r="G49" i="15" s="1"/>
  <c r="H49" i="15"/>
  <c r="I49" i="15" s="1"/>
  <c r="J49" i="15"/>
  <c r="K49" i="15" s="1"/>
  <c r="B53" i="15"/>
  <c r="C53" i="15" s="1"/>
  <c r="D53" i="15"/>
  <c r="E53" i="15" s="1"/>
  <c r="F53" i="15"/>
  <c r="G53" i="15" s="1"/>
  <c r="H53" i="15"/>
  <c r="I53" i="15" s="1"/>
  <c r="J53" i="15"/>
  <c r="K53" i="15" s="1"/>
  <c r="B54" i="15"/>
  <c r="C54" i="15" s="1"/>
  <c r="D54" i="15"/>
  <c r="E54" i="15" s="1"/>
  <c r="F54" i="15"/>
  <c r="G54" i="15" s="1"/>
  <c r="H54" i="15"/>
  <c r="I54" i="15" s="1"/>
  <c r="J54" i="15"/>
  <c r="K54" i="15" s="1"/>
  <c r="B55" i="15"/>
  <c r="C55" i="15" s="1"/>
  <c r="D55" i="15"/>
  <c r="E55" i="15" s="1"/>
  <c r="F55" i="15"/>
  <c r="G55" i="15" s="1"/>
  <c r="H55" i="15"/>
  <c r="I55" i="15" s="1"/>
  <c r="J55" i="15"/>
  <c r="K55" i="15" s="1"/>
  <c r="B56" i="15"/>
  <c r="C56" i="15" s="1"/>
  <c r="D56" i="15"/>
  <c r="E56" i="15" s="1"/>
  <c r="F56" i="15"/>
  <c r="G56" i="15" s="1"/>
  <c r="H56" i="15"/>
  <c r="I56" i="15" s="1"/>
  <c r="J56" i="15"/>
  <c r="K56" i="15" s="1"/>
  <c r="B57" i="15"/>
  <c r="C57" i="15" s="1"/>
  <c r="D57" i="15"/>
  <c r="E57" i="15" s="1"/>
  <c r="F57" i="15"/>
  <c r="G57" i="15" s="1"/>
  <c r="H57" i="15"/>
  <c r="I57" i="15" s="1"/>
  <c r="J57" i="15"/>
  <c r="K57" i="15" s="1"/>
  <c r="B58" i="15"/>
  <c r="C58" i="15" s="1"/>
  <c r="D58" i="15"/>
  <c r="E58" i="15" s="1"/>
  <c r="F58" i="15"/>
  <c r="G58" i="15" s="1"/>
  <c r="H58" i="15"/>
  <c r="I58" i="15" s="1"/>
  <c r="J58" i="15"/>
  <c r="K58" i="15" s="1"/>
  <c r="B59" i="15"/>
  <c r="C59" i="15" s="1"/>
  <c r="D59" i="15"/>
  <c r="E59" i="15" s="1"/>
  <c r="F59" i="15"/>
  <c r="G59" i="15" s="1"/>
  <c r="H59" i="15"/>
  <c r="I59" i="15" s="1"/>
  <c r="J59" i="15"/>
  <c r="K59" i="15" s="1"/>
  <c r="B64" i="15"/>
  <c r="C64" i="15" s="1"/>
  <c r="D64" i="15"/>
  <c r="E64" i="15" s="1"/>
  <c r="F64" i="15"/>
  <c r="G64" i="15" s="1"/>
  <c r="B65" i="15"/>
  <c r="C65" i="15" s="1"/>
  <c r="D65" i="15"/>
  <c r="E65" i="15" s="1"/>
  <c r="F65" i="15"/>
  <c r="G65" i="15" s="1"/>
  <c r="B66" i="15"/>
  <c r="C66" i="15" s="1"/>
  <c r="D66" i="15"/>
  <c r="E66" i="15" s="1"/>
  <c r="F66" i="15"/>
  <c r="G66" i="15" s="1"/>
  <c r="B67" i="15"/>
  <c r="C67" i="15" s="1"/>
  <c r="D67" i="15"/>
  <c r="E67" i="15" s="1"/>
  <c r="F67" i="15"/>
  <c r="G67" i="15" s="1"/>
  <c r="B68" i="15"/>
  <c r="C68" i="15" s="1"/>
  <c r="D68" i="15"/>
  <c r="E68" i="15" s="1"/>
  <c r="F68" i="15"/>
  <c r="G68" i="15" s="1"/>
  <c r="B69" i="15"/>
  <c r="C69" i="15" s="1"/>
  <c r="D69" i="15"/>
  <c r="E69" i="15" s="1"/>
  <c r="F69" i="15"/>
  <c r="G69" i="15" s="1"/>
  <c r="B70" i="15"/>
  <c r="D70" i="15"/>
  <c r="F70" i="15"/>
  <c r="D71" i="15"/>
  <c r="F71" i="15"/>
  <c r="B74" i="15"/>
  <c r="C74" i="15" s="1"/>
  <c r="D74" i="15"/>
  <c r="E74" i="15" s="1"/>
  <c r="F74" i="15"/>
  <c r="G74" i="15" s="1"/>
  <c r="H74" i="15"/>
  <c r="I74" i="15" s="1"/>
  <c r="J74" i="15"/>
  <c r="K74" i="15" s="1"/>
  <c r="B75" i="15"/>
  <c r="C75" i="15" s="1"/>
  <c r="D75" i="15"/>
  <c r="E75" i="15" s="1"/>
  <c r="F75" i="15"/>
  <c r="G75" i="15" s="1"/>
  <c r="H75" i="15"/>
  <c r="I75" i="15" s="1"/>
  <c r="J75" i="15"/>
  <c r="K75" i="15" s="1"/>
  <c r="B76" i="15"/>
  <c r="C76" i="15" s="1"/>
  <c r="D76" i="15"/>
  <c r="E76" i="15" s="1"/>
  <c r="F76" i="15"/>
  <c r="G76" i="15" s="1"/>
  <c r="H76" i="15"/>
  <c r="I76" i="15" s="1"/>
  <c r="J76" i="15"/>
  <c r="K76" i="15" s="1"/>
  <c r="B77" i="15"/>
  <c r="C77" i="15" s="1"/>
  <c r="D77" i="15"/>
  <c r="E77" i="15" s="1"/>
  <c r="F77" i="15"/>
  <c r="G77" i="15" s="1"/>
  <c r="H77" i="15"/>
  <c r="I77" i="15" s="1"/>
  <c r="J77" i="15"/>
  <c r="K77" i="15" s="1"/>
  <c r="B78" i="15"/>
  <c r="C78" i="15" s="1"/>
  <c r="D78" i="15"/>
  <c r="E78" i="15" s="1"/>
  <c r="F78" i="15"/>
  <c r="G78" i="15" s="1"/>
  <c r="H78" i="15"/>
  <c r="I78" i="15" s="1"/>
  <c r="J78" i="15"/>
  <c r="K78" i="15" s="1"/>
  <c r="B79" i="15"/>
  <c r="C79" i="15" s="1"/>
  <c r="D79" i="15"/>
  <c r="E79" i="15" s="1"/>
  <c r="F79" i="15"/>
  <c r="G79" i="15" s="1"/>
  <c r="H79" i="15"/>
  <c r="I79" i="15" s="1"/>
  <c r="J79" i="15"/>
  <c r="K79" i="15" s="1"/>
  <c r="B80" i="15"/>
  <c r="C80" i="15" s="1"/>
  <c r="D80" i="15"/>
  <c r="E80" i="15" s="1"/>
  <c r="F80" i="15"/>
  <c r="G80" i="15" s="1"/>
  <c r="H80" i="15"/>
  <c r="J80" i="15"/>
  <c r="B84" i="15"/>
  <c r="C84" i="15" s="1"/>
  <c r="D84" i="15"/>
  <c r="E84" i="15" s="1"/>
  <c r="F84" i="15"/>
  <c r="G84" i="15" s="1"/>
  <c r="H84" i="15"/>
  <c r="I84" i="15" s="1"/>
  <c r="J84" i="15"/>
  <c r="K84" i="15" s="1"/>
  <c r="B85" i="15"/>
  <c r="C85" i="15" s="1"/>
  <c r="D85" i="15"/>
  <c r="E85" i="15" s="1"/>
  <c r="F85" i="15"/>
  <c r="G85" i="15" s="1"/>
  <c r="H85" i="15"/>
  <c r="I85" i="15" s="1"/>
  <c r="J85" i="15"/>
  <c r="K85" i="15" s="1"/>
  <c r="B86" i="15"/>
  <c r="C86" i="15" s="1"/>
  <c r="D86" i="15"/>
  <c r="E86" i="15" s="1"/>
  <c r="F86" i="15"/>
  <c r="G86" i="15" s="1"/>
  <c r="H86" i="15"/>
  <c r="I86" i="15" s="1"/>
  <c r="J86" i="15"/>
  <c r="K86" i="15" s="1"/>
  <c r="B87" i="15"/>
  <c r="C87" i="15" s="1"/>
  <c r="D87" i="15"/>
  <c r="E87" i="15" s="1"/>
  <c r="F87" i="15"/>
  <c r="G87" i="15" s="1"/>
  <c r="H87" i="15"/>
  <c r="I87" i="15" s="1"/>
  <c r="J87" i="15"/>
  <c r="K87" i="15" s="1"/>
  <c r="B88" i="15"/>
  <c r="C88" i="15" s="1"/>
  <c r="D88" i="15"/>
  <c r="E88" i="15" s="1"/>
  <c r="F88" i="15"/>
  <c r="G88" i="15" s="1"/>
  <c r="H88" i="15"/>
  <c r="I88" i="15" s="1"/>
  <c r="J88" i="15"/>
  <c r="K88" i="15" s="1"/>
  <c r="B89" i="15"/>
  <c r="C89" i="15" s="1"/>
  <c r="D89" i="15"/>
  <c r="E89" i="15" s="1"/>
  <c r="F89" i="15"/>
  <c r="G89" i="15" s="1"/>
  <c r="H89" i="15"/>
  <c r="I89" i="15" s="1"/>
  <c r="J89" i="15"/>
  <c r="K89" i="15" s="1"/>
  <c r="B90" i="15"/>
  <c r="C90" i="15" s="1"/>
  <c r="D90" i="15"/>
  <c r="E90" i="15" s="1"/>
  <c r="F90" i="15"/>
  <c r="G90" i="15" s="1"/>
  <c r="H90" i="15"/>
  <c r="I90" i="15" s="1"/>
  <c r="J90" i="15"/>
  <c r="K90" i="15" s="1"/>
  <c r="D91" i="15"/>
  <c r="F91" i="15"/>
  <c r="F92" i="15"/>
  <c r="F93" i="15"/>
  <c r="B94" i="15"/>
  <c r="C94" i="15" s="1"/>
  <c r="D94" i="15"/>
  <c r="E94" i="15" s="1"/>
  <c r="F94" i="15"/>
  <c r="G94" i="15" s="1"/>
  <c r="H94" i="15"/>
  <c r="I94" i="15" s="1"/>
  <c r="J94" i="15"/>
  <c r="K94" i="15" s="1"/>
  <c r="B95" i="15"/>
  <c r="C95" i="15" s="1"/>
  <c r="D95" i="15"/>
  <c r="E95" i="15" s="1"/>
  <c r="F95" i="15"/>
  <c r="G95" i="15" s="1"/>
  <c r="H95" i="15"/>
  <c r="I95" i="15" s="1"/>
  <c r="J95" i="15"/>
  <c r="K95" i="15" s="1"/>
  <c r="B96" i="15"/>
  <c r="C96" i="15" s="1"/>
  <c r="D96" i="15"/>
  <c r="E96" i="15" s="1"/>
  <c r="F96" i="15"/>
  <c r="G96" i="15" s="1"/>
  <c r="H96" i="15"/>
  <c r="I96" i="15" s="1"/>
  <c r="J96" i="15"/>
  <c r="K96" i="15" s="1"/>
  <c r="B97" i="15"/>
  <c r="C97" i="15" s="1"/>
  <c r="D97" i="15"/>
  <c r="E97" i="15" s="1"/>
  <c r="F97" i="15"/>
  <c r="G97" i="15" s="1"/>
  <c r="H97" i="15"/>
  <c r="I97" i="15" s="1"/>
  <c r="J97" i="15"/>
  <c r="K97" i="15" s="1"/>
  <c r="B98" i="15"/>
  <c r="C98" i="15" s="1"/>
  <c r="D98" i="15"/>
  <c r="E98" i="15" s="1"/>
  <c r="F98" i="15"/>
  <c r="G98" i="15" s="1"/>
  <c r="H98" i="15"/>
  <c r="I98" i="15" s="1"/>
  <c r="J98" i="15"/>
  <c r="K98" i="15" s="1"/>
  <c r="B99" i="15"/>
  <c r="C99" i="15" s="1"/>
  <c r="D99" i="15"/>
  <c r="E99" i="15" s="1"/>
  <c r="F99" i="15"/>
  <c r="G99" i="15" s="1"/>
  <c r="H99" i="15"/>
  <c r="I99" i="15" s="1"/>
  <c r="J99" i="15"/>
  <c r="K99" i="15" s="1"/>
  <c r="B100" i="15"/>
  <c r="C100" i="15" s="1"/>
  <c r="D100" i="15"/>
  <c r="E100" i="15" s="1"/>
  <c r="F100" i="15"/>
  <c r="G100" i="15" s="1"/>
  <c r="H100" i="15"/>
  <c r="I100" i="15" s="1"/>
  <c r="J100" i="15"/>
  <c r="K100" i="15" s="1"/>
  <c r="B104" i="15"/>
  <c r="C104" i="15" s="1"/>
  <c r="D104" i="15"/>
  <c r="E104" i="15" s="1"/>
  <c r="F104" i="15"/>
  <c r="G104" i="15" s="1"/>
  <c r="H104" i="15"/>
  <c r="I104" i="15" s="1"/>
  <c r="J104" i="15"/>
  <c r="K104" i="15" s="1"/>
  <c r="B105" i="15"/>
  <c r="C105" i="15" s="1"/>
  <c r="D105" i="15"/>
  <c r="E105" i="15" s="1"/>
  <c r="F105" i="15"/>
  <c r="G105" i="15" s="1"/>
  <c r="H105" i="15"/>
  <c r="I105" i="15" s="1"/>
  <c r="J105" i="15"/>
  <c r="K105" i="15" s="1"/>
  <c r="B106" i="15"/>
  <c r="C106" i="15" s="1"/>
  <c r="D106" i="15"/>
  <c r="E106" i="15" s="1"/>
  <c r="F106" i="15"/>
  <c r="G106" i="15" s="1"/>
  <c r="H106" i="15"/>
  <c r="I106" i="15" s="1"/>
  <c r="J106" i="15"/>
  <c r="K106" i="15" s="1"/>
  <c r="B107" i="15"/>
  <c r="C107" i="15" s="1"/>
  <c r="D107" i="15"/>
  <c r="E107" i="15" s="1"/>
  <c r="F107" i="15"/>
  <c r="G107" i="15" s="1"/>
  <c r="H107" i="15"/>
  <c r="I107" i="15" s="1"/>
  <c r="J107" i="15"/>
  <c r="K107" i="15" s="1"/>
  <c r="B108" i="15"/>
  <c r="C108" i="15" s="1"/>
  <c r="D108" i="15"/>
  <c r="E108" i="15" s="1"/>
  <c r="F108" i="15"/>
  <c r="G108" i="15" s="1"/>
  <c r="H108" i="15"/>
  <c r="I108" i="15" s="1"/>
  <c r="J108" i="15"/>
  <c r="K108" i="15" s="1"/>
  <c r="B109" i="15"/>
  <c r="C109" i="15" s="1"/>
  <c r="D109" i="15"/>
  <c r="E109" i="15" s="1"/>
  <c r="F109" i="15"/>
  <c r="G109" i="15" s="1"/>
  <c r="H109" i="15"/>
  <c r="I109" i="15" s="1"/>
  <c r="J109" i="15"/>
  <c r="K109" i="15" s="1"/>
  <c r="B110" i="15"/>
  <c r="C110" i="15" s="1"/>
  <c r="D110" i="15"/>
  <c r="E110" i="15" s="1"/>
  <c r="F110" i="15"/>
  <c r="G110" i="15" s="1"/>
  <c r="H110" i="15"/>
  <c r="I110" i="15" s="1"/>
  <c r="J110" i="15"/>
  <c r="K110" i="15" s="1"/>
  <c r="B114" i="15"/>
  <c r="C114" i="15" s="1"/>
  <c r="D114" i="15"/>
  <c r="E114" i="15" s="1"/>
  <c r="F114" i="15"/>
  <c r="G114" i="15" s="1"/>
  <c r="H114" i="15"/>
  <c r="I114" i="15" s="1"/>
  <c r="J114" i="15"/>
  <c r="K114" i="15" s="1"/>
  <c r="B115" i="15"/>
  <c r="C115" i="15" s="1"/>
  <c r="D115" i="15"/>
  <c r="E115" i="15" s="1"/>
  <c r="F115" i="15"/>
  <c r="G115" i="15" s="1"/>
  <c r="H115" i="15"/>
  <c r="I115" i="15" s="1"/>
  <c r="J115" i="15"/>
  <c r="K115" i="15" s="1"/>
  <c r="B116" i="15"/>
  <c r="C116" i="15" s="1"/>
  <c r="D116" i="15"/>
  <c r="E116" i="15" s="1"/>
  <c r="F116" i="15"/>
  <c r="G116" i="15" s="1"/>
  <c r="H116" i="15"/>
  <c r="I116" i="15" s="1"/>
  <c r="J116" i="15"/>
  <c r="K116" i="15" s="1"/>
  <c r="B117" i="15"/>
  <c r="C117" i="15" s="1"/>
  <c r="D117" i="15"/>
  <c r="E117" i="15" s="1"/>
  <c r="F117" i="15"/>
  <c r="G117" i="15" s="1"/>
  <c r="H117" i="15"/>
  <c r="I117" i="15" s="1"/>
  <c r="J117" i="15"/>
  <c r="K117" i="15" s="1"/>
  <c r="B118" i="15"/>
  <c r="C118" i="15" s="1"/>
  <c r="D118" i="15"/>
  <c r="E118" i="15" s="1"/>
  <c r="F118" i="15"/>
  <c r="G118" i="15" s="1"/>
  <c r="H118" i="15"/>
  <c r="I118" i="15" s="1"/>
  <c r="J118" i="15"/>
  <c r="K118" i="15" s="1"/>
  <c r="B119" i="15"/>
  <c r="C119" i="15" s="1"/>
  <c r="D119" i="15"/>
  <c r="E119" i="15" s="1"/>
  <c r="F119" i="15"/>
  <c r="G119" i="15" s="1"/>
  <c r="H119" i="15"/>
  <c r="I119" i="15" s="1"/>
  <c r="J119" i="15"/>
  <c r="K119" i="15" s="1"/>
  <c r="B120" i="15"/>
  <c r="C120" i="15" s="1"/>
  <c r="D120" i="15"/>
  <c r="E120" i="15" s="1"/>
  <c r="F120" i="15"/>
  <c r="G120" i="15" s="1"/>
  <c r="H120" i="15"/>
  <c r="I120" i="15" s="1"/>
  <c r="J120" i="15"/>
  <c r="K120" i="15" s="1"/>
  <c r="B125" i="15"/>
  <c r="C125" i="15" s="1"/>
  <c r="D125" i="15"/>
  <c r="E125" i="15" s="1"/>
  <c r="F125" i="15"/>
  <c r="G125" i="15" s="1"/>
  <c r="B126" i="15"/>
  <c r="C126" i="15" s="1"/>
  <c r="D126" i="15"/>
  <c r="E126" i="15" s="1"/>
  <c r="F126" i="15"/>
  <c r="G126" i="15" s="1"/>
  <c r="B127" i="15"/>
  <c r="C127" i="15" s="1"/>
  <c r="D127" i="15"/>
  <c r="E127" i="15" s="1"/>
  <c r="F127" i="15"/>
  <c r="G127" i="15" s="1"/>
  <c r="B128" i="15"/>
  <c r="C128" i="15" s="1"/>
  <c r="D128" i="15"/>
  <c r="E128" i="15" s="1"/>
  <c r="F128" i="15"/>
  <c r="G128" i="15" s="1"/>
  <c r="B129" i="15"/>
  <c r="C129" i="15" s="1"/>
  <c r="D129" i="15"/>
  <c r="E129" i="15" s="1"/>
  <c r="F129" i="15"/>
  <c r="G129" i="15" s="1"/>
  <c r="B130" i="15"/>
  <c r="C130" i="15" s="1"/>
  <c r="D130" i="15"/>
  <c r="E130" i="15" s="1"/>
  <c r="F130" i="15"/>
  <c r="G130" i="15" s="1"/>
  <c r="B135" i="15"/>
  <c r="C135" i="15" s="1"/>
  <c r="D135" i="15"/>
  <c r="E135" i="15" s="1"/>
  <c r="F135" i="15"/>
  <c r="G135" i="15" s="1"/>
  <c r="H135" i="15"/>
  <c r="I135" i="15" s="1"/>
  <c r="J135" i="15"/>
  <c r="K135" i="15" s="1"/>
  <c r="B136" i="15"/>
  <c r="C136" i="15" s="1"/>
  <c r="D136" i="15"/>
  <c r="E136" i="15" s="1"/>
  <c r="F136" i="15"/>
  <c r="G136" i="15" s="1"/>
  <c r="H136" i="15"/>
  <c r="I136" i="15" s="1"/>
  <c r="J136" i="15"/>
  <c r="K136" i="15" s="1"/>
  <c r="B137" i="15"/>
  <c r="C137" i="15" s="1"/>
  <c r="D137" i="15"/>
  <c r="E137" i="15" s="1"/>
  <c r="F137" i="15"/>
  <c r="G137" i="15" s="1"/>
  <c r="H137" i="15"/>
  <c r="I137" i="15" s="1"/>
  <c r="J137" i="15"/>
  <c r="K137" i="15" s="1"/>
  <c r="B138" i="15"/>
  <c r="C138" i="15" s="1"/>
  <c r="D138" i="15"/>
  <c r="E138" i="15" s="1"/>
  <c r="F138" i="15"/>
  <c r="G138" i="15" s="1"/>
  <c r="H138" i="15"/>
  <c r="I138" i="15" s="1"/>
  <c r="J138" i="15"/>
  <c r="K138" i="15" s="1"/>
  <c r="B139" i="15"/>
  <c r="C139" i="15" s="1"/>
  <c r="D139" i="15"/>
  <c r="E139" i="15" s="1"/>
  <c r="F139" i="15"/>
  <c r="G139" i="15" s="1"/>
  <c r="H139" i="15"/>
  <c r="I139" i="15" s="1"/>
  <c r="J139" i="15"/>
  <c r="K139" i="15" s="1"/>
  <c r="B140" i="15"/>
  <c r="C140" i="15" s="1"/>
  <c r="D140" i="15"/>
  <c r="E140" i="15" s="1"/>
  <c r="F140" i="15"/>
  <c r="G140" i="15" s="1"/>
  <c r="H140" i="15"/>
  <c r="I140" i="15" s="1"/>
  <c r="J140" i="15"/>
  <c r="K140" i="15" s="1"/>
  <c r="C141" i="15"/>
  <c r="E141" i="15"/>
  <c r="G141" i="15"/>
  <c r="I141" i="15"/>
  <c r="K141" i="15"/>
  <c r="B145" i="15"/>
  <c r="C145" i="15" s="1"/>
  <c r="D145" i="15"/>
  <c r="E145" i="15" s="1"/>
  <c r="F145" i="15"/>
  <c r="G145" i="15" s="1"/>
  <c r="H145" i="15"/>
  <c r="I145" i="15" s="1"/>
  <c r="J145" i="15"/>
  <c r="K145" i="15" s="1"/>
  <c r="B146" i="15"/>
  <c r="C146" i="15" s="1"/>
  <c r="D146" i="15"/>
  <c r="E146" i="15" s="1"/>
  <c r="F146" i="15"/>
  <c r="G146" i="15" s="1"/>
  <c r="H146" i="15"/>
  <c r="I146" i="15" s="1"/>
  <c r="J146" i="15"/>
  <c r="K146" i="15" s="1"/>
  <c r="B147" i="15"/>
  <c r="C147" i="15" s="1"/>
  <c r="D147" i="15"/>
  <c r="E147" i="15" s="1"/>
  <c r="F147" i="15"/>
  <c r="G147" i="15" s="1"/>
  <c r="H147" i="15"/>
  <c r="I147" i="15" s="1"/>
  <c r="J147" i="15"/>
  <c r="K147" i="15" s="1"/>
  <c r="B148" i="15"/>
  <c r="C148" i="15" s="1"/>
  <c r="D148" i="15"/>
  <c r="E148" i="15" s="1"/>
  <c r="F148" i="15"/>
  <c r="G148" i="15" s="1"/>
  <c r="H148" i="15"/>
  <c r="I148" i="15" s="1"/>
  <c r="J148" i="15"/>
  <c r="K148" i="15" s="1"/>
  <c r="B149" i="15"/>
  <c r="C149" i="15" s="1"/>
  <c r="D149" i="15"/>
  <c r="E149" i="15" s="1"/>
  <c r="F149" i="15"/>
  <c r="G149" i="15" s="1"/>
  <c r="H149" i="15"/>
  <c r="I149" i="15" s="1"/>
  <c r="J149" i="15"/>
  <c r="K149" i="15" s="1"/>
  <c r="B150" i="15"/>
  <c r="C150" i="15" s="1"/>
  <c r="D150" i="15"/>
  <c r="E150" i="15" s="1"/>
  <c r="F150" i="15"/>
  <c r="G150" i="15" s="1"/>
  <c r="H150" i="15"/>
  <c r="I150" i="15" s="1"/>
  <c r="J150" i="15"/>
  <c r="K150" i="15" s="1"/>
  <c r="C151" i="15"/>
  <c r="E151" i="15"/>
  <c r="G151" i="15"/>
  <c r="I151" i="15"/>
  <c r="K151" i="15"/>
  <c r="B155" i="15"/>
  <c r="C155" i="15" s="1"/>
  <c r="D155" i="15"/>
  <c r="E155" i="15" s="1"/>
  <c r="F155" i="15"/>
  <c r="G155" i="15" s="1"/>
  <c r="H155" i="15"/>
  <c r="I155" i="15" s="1"/>
  <c r="J155" i="15"/>
  <c r="K155" i="15" s="1"/>
  <c r="B156" i="15"/>
  <c r="C156" i="15" s="1"/>
  <c r="D156" i="15"/>
  <c r="E156" i="15" s="1"/>
  <c r="F156" i="15"/>
  <c r="G156" i="15" s="1"/>
  <c r="H156" i="15"/>
  <c r="I156" i="15" s="1"/>
  <c r="J156" i="15"/>
  <c r="K156" i="15" s="1"/>
  <c r="B157" i="15"/>
  <c r="C157" i="15" s="1"/>
  <c r="D157" i="15"/>
  <c r="E157" i="15" s="1"/>
  <c r="F157" i="15"/>
  <c r="G157" i="15" s="1"/>
  <c r="H157" i="15"/>
  <c r="I157" i="15" s="1"/>
  <c r="J157" i="15"/>
  <c r="K157" i="15" s="1"/>
  <c r="B158" i="15"/>
  <c r="C158" i="15" s="1"/>
  <c r="D158" i="15"/>
  <c r="E158" i="15" s="1"/>
  <c r="F158" i="15"/>
  <c r="G158" i="15" s="1"/>
  <c r="H158" i="15"/>
  <c r="I158" i="15" s="1"/>
  <c r="J158" i="15"/>
  <c r="K158" i="15" s="1"/>
  <c r="B159" i="15"/>
  <c r="C159" i="15" s="1"/>
  <c r="D159" i="15"/>
  <c r="E159" i="15" s="1"/>
  <c r="F159" i="15"/>
  <c r="G159" i="15" s="1"/>
  <c r="H159" i="15"/>
  <c r="I159" i="15" s="1"/>
  <c r="J159" i="15"/>
  <c r="K159" i="15" s="1"/>
  <c r="B160" i="15"/>
  <c r="C160" i="15" s="1"/>
  <c r="D160" i="15"/>
  <c r="E160" i="15" s="1"/>
  <c r="F160" i="15"/>
  <c r="G160" i="15" s="1"/>
  <c r="H160" i="15"/>
  <c r="I160" i="15" s="1"/>
  <c r="J160" i="15"/>
  <c r="K160" i="15" s="1"/>
  <c r="C161" i="15"/>
  <c r="E161" i="15"/>
  <c r="G161" i="15"/>
  <c r="I161" i="15"/>
  <c r="K161" i="15"/>
  <c r="B163" i="15"/>
  <c r="F163" i="15"/>
  <c r="H163" i="15"/>
  <c r="B165" i="15"/>
  <c r="C165" i="15" s="1"/>
  <c r="D165" i="15"/>
  <c r="E165" i="15" s="1"/>
  <c r="F165" i="15"/>
  <c r="G165" i="15" s="1"/>
  <c r="H165" i="15"/>
  <c r="I165" i="15" s="1"/>
  <c r="J165" i="15"/>
  <c r="K165" i="15" s="1"/>
  <c r="B166" i="15"/>
  <c r="C166" i="15" s="1"/>
  <c r="D166" i="15"/>
  <c r="E166" i="15" s="1"/>
  <c r="F166" i="15"/>
  <c r="G166" i="15" s="1"/>
  <c r="H166" i="15"/>
  <c r="I166" i="15" s="1"/>
  <c r="J166" i="15"/>
  <c r="K166" i="15" s="1"/>
  <c r="B167" i="15"/>
  <c r="C167" i="15" s="1"/>
  <c r="D167" i="15"/>
  <c r="E167" i="15" s="1"/>
  <c r="F167" i="15"/>
  <c r="G167" i="15" s="1"/>
  <c r="H167" i="15"/>
  <c r="I167" i="15" s="1"/>
  <c r="J167" i="15"/>
  <c r="K167" i="15" s="1"/>
  <c r="B168" i="15"/>
  <c r="C168" i="15" s="1"/>
  <c r="D168" i="15"/>
  <c r="E168" i="15" s="1"/>
  <c r="F168" i="15"/>
  <c r="G168" i="15" s="1"/>
  <c r="H168" i="15"/>
  <c r="I168" i="15" s="1"/>
  <c r="J168" i="15"/>
  <c r="K168" i="15" s="1"/>
  <c r="B169" i="15"/>
  <c r="C169" i="15" s="1"/>
  <c r="D169" i="15"/>
  <c r="E169" i="15" s="1"/>
  <c r="F169" i="15"/>
  <c r="G169" i="15" s="1"/>
  <c r="H169" i="15"/>
  <c r="I169" i="15" s="1"/>
  <c r="J169" i="15"/>
  <c r="K169" i="15" s="1"/>
  <c r="B170" i="15"/>
  <c r="C170" i="15" s="1"/>
  <c r="D170" i="15"/>
  <c r="E170" i="15" s="1"/>
  <c r="F170" i="15"/>
  <c r="G170" i="15" s="1"/>
  <c r="H170" i="15"/>
  <c r="I170" i="15" s="1"/>
  <c r="J170" i="15"/>
  <c r="K170" i="15" s="1"/>
  <c r="C171" i="15"/>
  <c r="E171" i="15"/>
  <c r="G171" i="15"/>
  <c r="I171" i="15"/>
  <c r="K171" i="15"/>
  <c r="B173" i="15"/>
  <c r="D173" i="15"/>
  <c r="F173" i="15"/>
  <c r="H173" i="15"/>
  <c r="J173" i="15"/>
  <c r="B175" i="15"/>
  <c r="C175" i="15" s="1"/>
  <c r="D175" i="15"/>
  <c r="E175" i="15" s="1"/>
  <c r="F175" i="15"/>
  <c r="G175" i="15" s="1"/>
  <c r="H175" i="15"/>
  <c r="I175" i="15" s="1"/>
  <c r="J175" i="15"/>
  <c r="K175" i="15" s="1"/>
  <c r="B176" i="15"/>
  <c r="C176" i="15" s="1"/>
  <c r="D176" i="15"/>
  <c r="E176" i="15" s="1"/>
  <c r="F176" i="15"/>
  <c r="G176" i="15" s="1"/>
  <c r="H176" i="15"/>
  <c r="I176" i="15" s="1"/>
  <c r="J176" i="15"/>
  <c r="K176" i="15" s="1"/>
  <c r="B177" i="15"/>
  <c r="C177" i="15" s="1"/>
  <c r="D177" i="15"/>
  <c r="E177" i="15" s="1"/>
  <c r="F177" i="15"/>
  <c r="G177" i="15" s="1"/>
  <c r="H177" i="15"/>
  <c r="I177" i="15" s="1"/>
  <c r="J177" i="15"/>
  <c r="K177" i="15" s="1"/>
  <c r="B178" i="15"/>
  <c r="C178" i="15" s="1"/>
  <c r="D178" i="15"/>
  <c r="E178" i="15" s="1"/>
  <c r="F178" i="15"/>
  <c r="G178" i="15" s="1"/>
  <c r="H178" i="15"/>
  <c r="I178" i="15" s="1"/>
  <c r="J178" i="15"/>
  <c r="K178" i="15" s="1"/>
  <c r="B179" i="15"/>
  <c r="C179" i="15" s="1"/>
  <c r="D179" i="15"/>
  <c r="E179" i="15" s="1"/>
  <c r="F179" i="15"/>
  <c r="G179" i="15" s="1"/>
  <c r="H179" i="15"/>
  <c r="I179" i="15" s="1"/>
  <c r="J179" i="15"/>
  <c r="K179" i="15" s="1"/>
  <c r="B180" i="15"/>
  <c r="C180" i="15" s="1"/>
  <c r="D180" i="15"/>
  <c r="E180" i="15" s="1"/>
  <c r="F180" i="15"/>
  <c r="G180" i="15" s="1"/>
  <c r="H180" i="15"/>
  <c r="I180" i="15" s="1"/>
  <c r="J180" i="15"/>
  <c r="K180" i="15" s="1"/>
  <c r="C181" i="15"/>
  <c r="E181" i="15"/>
  <c r="G181" i="15"/>
  <c r="I181" i="15"/>
  <c r="K181" i="15"/>
  <c r="B186" i="15"/>
  <c r="C186" i="15" s="1"/>
  <c r="D186" i="15"/>
  <c r="E186" i="15" s="1"/>
  <c r="F186" i="15"/>
  <c r="G186" i="15" s="1"/>
  <c r="B187" i="15"/>
  <c r="C187" i="15" s="1"/>
  <c r="D187" i="15"/>
  <c r="E187" i="15" s="1"/>
  <c r="F187" i="15"/>
  <c r="G187" i="15" s="1"/>
  <c r="B188" i="15"/>
  <c r="C188" i="15" s="1"/>
  <c r="D188" i="15"/>
  <c r="E188" i="15" s="1"/>
  <c r="F188" i="15"/>
  <c r="G188" i="15" s="1"/>
  <c r="B189" i="15"/>
  <c r="C189" i="15" s="1"/>
  <c r="D189" i="15"/>
  <c r="E189" i="15" s="1"/>
  <c r="F189" i="15"/>
  <c r="G189" i="15" s="1"/>
  <c r="B190" i="15"/>
  <c r="C190" i="15" s="1"/>
  <c r="D190" i="15"/>
  <c r="E190" i="15" s="1"/>
  <c r="F190" i="15"/>
  <c r="G190" i="15" s="1"/>
  <c r="B191" i="15"/>
  <c r="C191" i="15" s="1"/>
  <c r="D191" i="15"/>
  <c r="E191" i="15" s="1"/>
  <c r="F191" i="15"/>
  <c r="G191" i="15" s="1"/>
  <c r="B192" i="15"/>
  <c r="D192" i="15"/>
  <c r="F192" i="15"/>
  <c r="B196" i="15"/>
  <c r="C196" i="15" s="1"/>
  <c r="D196" i="15"/>
  <c r="E196" i="15" s="1"/>
  <c r="F196" i="15"/>
  <c r="G196" i="15" s="1"/>
  <c r="H196" i="15"/>
  <c r="I196" i="15" s="1"/>
  <c r="J196" i="15"/>
  <c r="K196" i="15" s="1"/>
  <c r="B197" i="15"/>
  <c r="C197" i="15" s="1"/>
  <c r="D197" i="15"/>
  <c r="E197" i="15" s="1"/>
  <c r="F197" i="15"/>
  <c r="G197" i="15" s="1"/>
  <c r="H197" i="15"/>
  <c r="I197" i="15" s="1"/>
  <c r="J197" i="15"/>
  <c r="K197" i="15" s="1"/>
  <c r="B198" i="15"/>
  <c r="C198" i="15" s="1"/>
  <c r="D198" i="15"/>
  <c r="E198" i="15" s="1"/>
  <c r="F198" i="15"/>
  <c r="G198" i="15" s="1"/>
  <c r="H198" i="15"/>
  <c r="I198" i="15" s="1"/>
  <c r="J198" i="15"/>
  <c r="K198" i="15" s="1"/>
  <c r="B199" i="15"/>
  <c r="C199" i="15" s="1"/>
  <c r="D199" i="15"/>
  <c r="E199" i="15" s="1"/>
  <c r="F199" i="15"/>
  <c r="G199" i="15" s="1"/>
  <c r="H199" i="15"/>
  <c r="I199" i="15" s="1"/>
  <c r="J199" i="15"/>
  <c r="K199" i="15" s="1"/>
  <c r="B200" i="15"/>
  <c r="C200" i="15" s="1"/>
  <c r="D200" i="15"/>
  <c r="E200" i="15" s="1"/>
  <c r="F200" i="15"/>
  <c r="G200" i="15" s="1"/>
  <c r="H200" i="15"/>
  <c r="I200" i="15" s="1"/>
  <c r="J200" i="15"/>
  <c r="K200" i="15" s="1"/>
  <c r="B201" i="15"/>
  <c r="C201" i="15" s="1"/>
  <c r="D201" i="15"/>
  <c r="E201" i="15" s="1"/>
  <c r="F201" i="15"/>
  <c r="G201" i="15" s="1"/>
  <c r="H201" i="15"/>
  <c r="I201" i="15" s="1"/>
  <c r="J201" i="15"/>
  <c r="K201" i="15" s="1"/>
  <c r="B202" i="15"/>
  <c r="C202" i="15" s="1"/>
  <c r="D202" i="15"/>
  <c r="E202" i="15" s="1"/>
  <c r="F202" i="15"/>
  <c r="H202" i="15"/>
  <c r="I202" i="15" s="1"/>
  <c r="J202" i="15"/>
  <c r="K202" i="15" s="1"/>
  <c r="B206" i="15"/>
  <c r="C206" i="15" s="1"/>
  <c r="D206" i="15"/>
  <c r="E206" i="15" s="1"/>
  <c r="F206" i="15"/>
  <c r="G206" i="15" s="1"/>
  <c r="H206" i="15"/>
  <c r="I206" i="15" s="1"/>
  <c r="J206" i="15"/>
  <c r="K206" i="15" s="1"/>
  <c r="B207" i="15"/>
  <c r="C207" i="15" s="1"/>
  <c r="D207" i="15"/>
  <c r="E207" i="15" s="1"/>
  <c r="F207" i="15"/>
  <c r="G207" i="15" s="1"/>
  <c r="H207" i="15"/>
  <c r="I207" i="15" s="1"/>
  <c r="J207" i="15"/>
  <c r="K207" i="15" s="1"/>
  <c r="B208" i="15"/>
  <c r="C208" i="15" s="1"/>
  <c r="D208" i="15"/>
  <c r="E208" i="15" s="1"/>
  <c r="F208" i="15"/>
  <c r="G208" i="15" s="1"/>
  <c r="H208" i="15"/>
  <c r="I208" i="15" s="1"/>
  <c r="J208" i="15"/>
  <c r="K208" i="15" s="1"/>
  <c r="B209" i="15"/>
  <c r="C209" i="15" s="1"/>
  <c r="D209" i="15"/>
  <c r="E209" i="15" s="1"/>
  <c r="F209" i="15"/>
  <c r="G209" i="15" s="1"/>
  <c r="H209" i="15"/>
  <c r="I209" i="15" s="1"/>
  <c r="J209" i="15"/>
  <c r="K209" i="15" s="1"/>
  <c r="B210" i="15"/>
  <c r="C210" i="15" s="1"/>
  <c r="D210" i="15"/>
  <c r="E210" i="15" s="1"/>
  <c r="F210" i="15"/>
  <c r="G210" i="15" s="1"/>
  <c r="H210" i="15"/>
  <c r="I210" i="15" s="1"/>
  <c r="J210" i="15"/>
  <c r="K210" i="15" s="1"/>
  <c r="B211" i="15"/>
  <c r="C211" i="15" s="1"/>
  <c r="D211" i="15"/>
  <c r="E211" i="15" s="1"/>
  <c r="F211" i="15"/>
  <c r="G211" i="15" s="1"/>
  <c r="H211" i="15"/>
  <c r="I211" i="15" s="1"/>
  <c r="J211" i="15"/>
  <c r="K211" i="15" s="1"/>
  <c r="B212" i="15"/>
  <c r="D212" i="15"/>
  <c r="F212" i="15"/>
  <c r="H212" i="15"/>
  <c r="J212" i="15"/>
  <c r="B214" i="15"/>
  <c r="D214" i="15"/>
  <c r="F214" i="15"/>
  <c r="H214" i="15"/>
  <c r="J214" i="15"/>
  <c r="B216" i="15"/>
  <c r="C216" i="15" s="1"/>
  <c r="D216" i="15"/>
  <c r="E216" i="15" s="1"/>
  <c r="F216" i="15"/>
  <c r="G216" i="15" s="1"/>
  <c r="H216" i="15"/>
  <c r="I216" i="15" s="1"/>
  <c r="J216" i="15"/>
  <c r="K216" i="15" s="1"/>
  <c r="B217" i="15"/>
  <c r="C217" i="15" s="1"/>
  <c r="D217" i="15"/>
  <c r="E217" i="15" s="1"/>
  <c r="F217" i="15"/>
  <c r="G217" i="15" s="1"/>
  <c r="H217" i="15"/>
  <c r="I217" i="15" s="1"/>
  <c r="J217" i="15"/>
  <c r="K217" i="15" s="1"/>
  <c r="B218" i="15"/>
  <c r="C218" i="15" s="1"/>
  <c r="D218" i="15"/>
  <c r="E218" i="15" s="1"/>
  <c r="F218" i="15"/>
  <c r="G218" i="15" s="1"/>
  <c r="H218" i="15"/>
  <c r="I218" i="15" s="1"/>
  <c r="J218" i="15"/>
  <c r="K218" i="15" s="1"/>
  <c r="B219" i="15"/>
  <c r="C219" i="15" s="1"/>
  <c r="D219" i="15"/>
  <c r="E219" i="15" s="1"/>
  <c r="F219" i="15"/>
  <c r="G219" i="15" s="1"/>
  <c r="H219" i="15"/>
  <c r="I219" i="15" s="1"/>
  <c r="J219" i="15"/>
  <c r="K219" i="15" s="1"/>
  <c r="B220" i="15"/>
  <c r="C220" i="15" s="1"/>
  <c r="D220" i="15"/>
  <c r="E220" i="15" s="1"/>
  <c r="F220" i="15"/>
  <c r="G220" i="15" s="1"/>
  <c r="H220" i="15"/>
  <c r="I220" i="15" s="1"/>
  <c r="J220" i="15"/>
  <c r="K220" i="15" s="1"/>
  <c r="B221" i="15"/>
  <c r="C221" i="15" s="1"/>
  <c r="D221" i="15"/>
  <c r="E221" i="15" s="1"/>
  <c r="F221" i="15"/>
  <c r="G221" i="15" s="1"/>
  <c r="H221" i="15"/>
  <c r="I221" i="15" s="1"/>
  <c r="J221" i="15"/>
  <c r="K221" i="15" s="1"/>
  <c r="B222" i="15"/>
  <c r="D222" i="15"/>
  <c r="F222" i="15"/>
  <c r="H222" i="15"/>
  <c r="J222" i="15"/>
  <c r="B226" i="15"/>
  <c r="C226" i="15" s="1"/>
  <c r="D226" i="15"/>
  <c r="E226" i="15" s="1"/>
  <c r="F226" i="15"/>
  <c r="G226" i="15" s="1"/>
  <c r="H226" i="15"/>
  <c r="I226" i="15" s="1"/>
  <c r="J226" i="15"/>
  <c r="K226" i="15" s="1"/>
  <c r="B227" i="15"/>
  <c r="C227" i="15" s="1"/>
  <c r="D227" i="15"/>
  <c r="E227" i="15" s="1"/>
  <c r="F227" i="15"/>
  <c r="G227" i="15" s="1"/>
  <c r="H227" i="15"/>
  <c r="I227" i="15" s="1"/>
  <c r="J227" i="15"/>
  <c r="K227" i="15" s="1"/>
  <c r="B228" i="15"/>
  <c r="C228" i="15" s="1"/>
  <c r="D228" i="15"/>
  <c r="E228" i="15" s="1"/>
  <c r="F228" i="15"/>
  <c r="G228" i="15" s="1"/>
  <c r="H228" i="15"/>
  <c r="I228" i="15" s="1"/>
  <c r="J228" i="15"/>
  <c r="K228" i="15" s="1"/>
  <c r="B229" i="15"/>
  <c r="C229" i="15" s="1"/>
  <c r="D229" i="15"/>
  <c r="E229" i="15" s="1"/>
  <c r="F229" i="15"/>
  <c r="G229" i="15" s="1"/>
  <c r="H229" i="15"/>
  <c r="I229" i="15" s="1"/>
  <c r="J229" i="15"/>
  <c r="K229" i="15" s="1"/>
  <c r="B230" i="15"/>
  <c r="C230" i="15" s="1"/>
  <c r="D230" i="15"/>
  <c r="E230" i="15" s="1"/>
  <c r="F230" i="15"/>
  <c r="G230" i="15" s="1"/>
  <c r="H230" i="15"/>
  <c r="I230" i="15" s="1"/>
  <c r="J230" i="15"/>
  <c r="K230" i="15" s="1"/>
  <c r="B231" i="15"/>
  <c r="C231" i="15" s="1"/>
  <c r="D231" i="15"/>
  <c r="E231" i="15" s="1"/>
  <c r="F231" i="15"/>
  <c r="G231" i="15" s="1"/>
  <c r="H231" i="15"/>
  <c r="I231" i="15" s="1"/>
  <c r="J231" i="15"/>
  <c r="K231" i="15" s="1"/>
  <c r="B232" i="15"/>
  <c r="D232" i="15"/>
  <c r="F232" i="15"/>
  <c r="H232" i="15"/>
  <c r="J232" i="15"/>
  <c r="B234" i="15"/>
  <c r="D234" i="15"/>
  <c r="F234" i="15"/>
  <c r="H234" i="15"/>
  <c r="J234" i="15"/>
  <c r="B236" i="15"/>
  <c r="C236" i="15" s="1"/>
  <c r="D236" i="15"/>
  <c r="E236" i="15" s="1"/>
  <c r="F236" i="15"/>
  <c r="G236" i="15" s="1"/>
  <c r="H236" i="15"/>
  <c r="I236" i="15" s="1"/>
  <c r="J236" i="15"/>
  <c r="K236" i="15" s="1"/>
  <c r="B237" i="15"/>
  <c r="C237" i="15" s="1"/>
  <c r="D237" i="15"/>
  <c r="E237" i="15" s="1"/>
  <c r="F237" i="15"/>
  <c r="G237" i="15" s="1"/>
  <c r="H237" i="15"/>
  <c r="I237" i="15" s="1"/>
  <c r="J237" i="15"/>
  <c r="K237" i="15" s="1"/>
  <c r="B238" i="15"/>
  <c r="C238" i="15" s="1"/>
  <c r="D238" i="15"/>
  <c r="E238" i="15" s="1"/>
  <c r="F238" i="15"/>
  <c r="G238" i="15" s="1"/>
  <c r="H238" i="15"/>
  <c r="I238" i="15" s="1"/>
  <c r="J238" i="15"/>
  <c r="K238" i="15" s="1"/>
  <c r="B239" i="15"/>
  <c r="C239" i="15" s="1"/>
  <c r="D239" i="15"/>
  <c r="E239" i="15" s="1"/>
  <c r="F239" i="15"/>
  <c r="G239" i="15" s="1"/>
  <c r="H239" i="15"/>
  <c r="I239" i="15" s="1"/>
  <c r="J239" i="15"/>
  <c r="K239" i="15" s="1"/>
  <c r="B240" i="15"/>
  <c r="C240" i="15" s="1"/>
  <c r="D240" i="15"/>
  <c r="E240" i="15" s="1"/>
  <c r="F240" i="15"/>
  <c r="G240" i="15" s="1"/>
  <c r="H240" i="15"/>
  <c r="I240" i="15" s="1"/>
  <c r="J240" i="15"/>
  <c r="K240" i="15" s="1"/>
  <c r="B241" i="15"/>
  <c r="C241" i="15" s="1"/>
  <c r="D241" i="15"/>
  <c r="E241" i="15" s="1"/>
  <c r="F241" i="15"/>
  <c r="G241" i="15" s="1"/>
  <c r="H241" i="15"/>
  <c r="I241" i="15" s="1"/>
  <c r="J241" i="15"/>
  <c r="K241" i="15" s="1"/>
  <c r="B242" i="15"/>
  <c r="D242" i="15"/>
  <c r="F242" i="15"/>
  <c r="H242" i="15"/>
  <c r="J242" i="15"/>
  <c r="B248" i="15"/>
  <c r="C248" i="15" s="1"/>
  <c r="D248" i="15"/>
  <c r="E248" i="15" s="1"/>
  <c r="F248" i="15"/>
  <c r="G248" i="15" s="1"/>
  <c r="B249" i="15"/>
  <c r="C249" i="15" s="1"/>
  <c r="D249" i="15"/>
  <c r="E249" i="15" s="1"/>
  <c r="F249" i="15"/>
  <c r="G249" i="15" s="1"/>
  <c r="B250" i="15"/>
  <c r="C250" i="15" s="1"/>
  <c r="D250" i="15"/>
  <c r="E250" i="15" s="1"/>
  <c r="F250" i="15"/>
  <c r="G250" i="15" s="1"/>
  <c r="B251" i="15"/>
  <c r="C251" i="15" s="1"/>
  <c r="D251" i="15"/>
  <c r="E251" i="15" s="1"/>
  <c r="F251" i="15"/>
  <c r="G251" i="15" s="1"/>
  <c r="B252" i="15"/>
  <c r="C252" i="15" s="1"/>
  <c r="D252" i="15"/>
  <c r="E252" i="15" s="1"/>
  <c r="F252" i="15"/>
  <c r="G252" i="15" s="1"/>
  <c r="B253" i="15"/>
  <c r="C253" i="15" s="1"/>
  <c r="D253" i="15"/>
  <c r="E253" i="15" s="1"/>
  <c r="F253" i="15"/>
  <c r="G253" i="15" s="1"/>
  <c r="B254" i="15"/>
  <c r="D254" i="15"/>
  <c r="F254" i="15"/>
  <c r="B258" i="15"/>
  <c r="C258" i="15" s="1"/>
  <c r="D258" i="15"/>
  <c r="E258" i="15" s="1"/>
  <c r="F258" i="15"/>
  <c r="G258" i="15" s="1"/>
  <c r="H258" i="15"/>
  <c r="I258" i="15" s="1"/>
  <c r="J258" i="15"/>
  <c r="K258" i="15" s="1"/>
  <c r="B259" i="15"/>
  <c r="C259" i="15" s="1"/>
  <c r="D259" i="15"/>
  <c r="E259" i="15" s="1"/>
  <c r="F259" i="15"/>
  <c r="G259" i="15" s="1"/>
  <c r="H259" i="15"/>
  <c r="I259" i="15" s="1"/>
  <c r="J259" i="15"/>
  <c r="K259" i="15" s="1"/>
  <c r="B260" i="15"/>
  <c r="C260" i="15" s="1"/>
  <c r="D260" i="15"/>
  <c r="E260" i="15" s="1"/>
  <c r="F260" i="15"/>
  <c r="G260" i="15" s="1"/>
  <c r="H260" i="15"/>
  <c r="I260" i="15" s="1"/>
  <c r="J260" i="15"/>
  <c r="K260" i="15" s="1"/>
  <c r="B261" i="15"/>
  <c r="C261" i="15" s="1"/>
  <c r="D261" i="15"/>
  <c r="E261" i="15" s="1"/>
  <c r="F261" i="15"/>
  <c r="G261" i="15" s="1"/>
  <c r="H261" i="15"/>
  <c r="I261" i="15" s="1"/>
  <c r="J261" i="15"/>
  <c r="K261" i="15" s="1"/>
  <c r="B262" i="15"/>
  <c r="C262" i="15" s="1"/>
  <c r="D262" i="15"/>
  <c r="E262" i="15" s="1"/>
  <c r="F262" i="15"/>
  <c r="G262" i="15" s="1"/>
  <c r="H262" i="15"/>
  <c r="I262" i="15" s="1"/>
  <c r="J262" i="15"/>
  <c r="K262" i="15" s="1"/>
  <c r="B263" i="15"/>
  <c r="C263" i="15" s="1"/>
  <c r="D263" i="15"/>
  <c r="E263" i="15" s="1"/>
  <c r="F263" i="15"/>
  <c r="G263" i="15" s="1"/>
  <c r="H263" i="15"/>
  <c r="I263" i="15" s="1"/>
  <c r="J263" i="15"/>
  <c r="K263" i="15" s="1"/>
  <c r="B264" i="15"/>
  <c r="D264" i="15"/>
  <c r="F264" i="15"/>
  <c r="H264" i="15"/>
  <c r="J264" i="15"/>
  <c r="K264" i="15" s="1"/>
  <c r="B268" i="15"/>
  <c r="C268" i="15" s="1"/>
  <c r="D268" i="15"/>
  <c r="E268" i="15" s="1"/>
  <c r="F268" i="15"/>
  <c r="G268" i="15" s="1"/>
  <c r="H268" i="15"/>
  <c r="I268" i="15" s="1"/>
  <c r="J268" i="15"/>
  <c r="K268" i="15" s="1"/>
  <c r="B269" i="15"/>
  <c r="C269" i="15" s="1"/>
  <c r="D269" i="15"/>
  <c r="E269" i="15" s="1"/>
  <c r="F269" i="15"/>
  <c r="G269" i="15" s="1"/>
  <c r="H269" i="15"/>
  <c r="I269" i="15" s="1"/>
  <c r="J269" i="15"/>
  <c r="K269" i="15" s="1"/>
  <c r="B270" i="15"/>
  <c r="C270" i="15" s="1"/>
  <c r="D270" i="15"/>
  <c r="E270" i="15" s="1"/>
  <c r="F270" i="15"/>
  <c r="G270" i="15" s="1"/>
  <c r="H270" i="15"/>
  <c r="I270" i="15" s="1"/>
  <c r="J270" i="15"/>
  <c r="K270" i="15" s="1"/>
  <c r="B271" i="15"/>
  <c r="C271" i="15" s="1"/>
  <c r="D271" i="15"/>
  <c r="E271" i="15" s="1"/>
  <c r="F271" i="15"/>
  <c r="G271" i="15" s="1"/>
  <c r="H271" i="15"/>
  <c r="I271" i="15" s="1"/>
  <c r="J271" i="15"/>
  <c r="K271" i="15" s="1"/>
  <c r="B272" i="15"/>
  <c r="C272" i="15" s="1"/>
  <c r="D272" i="15"/>
  <c r="E272" i="15" s="1"/>
  <c r="F272" i="15"/>
  <c r="G272" i="15" s="1"/>
  <c r="H272" i="15"/>
  <c r="I272" i="15" s="1"/>
  <c r="J272" i="15"/>
  <c r="K272" i="15" s="1"/>
  <c r="B273" i="15"/>
  <c r="C273" i="15" s="1"/>
  <c r="D273" i="15"/>
  <c r="E273" i="15" s="1"/>
  <c r="F273" i="15"/>
  <c r="G273" i="15" s="1"/>
  <c r="H273" i="15"/>
  <c r="I273" i="15" s="1"/>
  <c r="J273" i="15"/>
  <c r="K273" i="15" s="1"/>
  <c r="B274" i="15"/>
  <c r="D274" i="15"/>
  <c r="F274" i="15"/>
  <c r="H274" i="15"/>
  <c r="J274" i="15"/>
  <c r="B278" i="15"/>
  <c r="C278" i="15" s="1"/>
  <c r="D278" i="15"/>
  <c r="E278" i="15" s="1"/>
  <c r="F278" i="15"/>
  <c r="G278" i="15" s="1"/>
  <c r="H278" i="15"/>
  <c r="I278" i="15" s="1"/>
  <c r="J278" i="15"/>
  <c r="K278" i="15" s="1"/>
  <c r="B279" i="15"/>
  <c r="C279" i="15" s="1"/>
  <c r="D279" i="15"/>
  <c r="E279" i="15" s="1"/>
  <c r="F279" i="15"/>
  <c r="G279" i="15" s="1"/>
  <c r="H279" i="15"/>
  <c r="I279" i="15" s="1"/>
  <c r="J279" i="15"/>
  <c r="K279" i="15" s="1"/>
  <c r="B280" i="15"/>
  <c r="C280" i="15" s="1"/>
  <c r="D280" i="15"/>
  <c r="E280" i="15" s="1"/>
  <c r="F280" i="15"/>
  <c r="G280" i="15" s="1"/>
  <c r="H280" i="15"/>
  <c r="I280" i="15" s="1"/>
  <c r="J280" i="15"/>
  <c r="K280" i="15" s="1"/>
  <c r="B281" i="15"/>
  <c r="C281" i="15" s="1"/>
  <c r="D281" i="15"/>
  <c r="E281" i="15" s="1"/>
  <c r="F281" i="15"/>
  <c r="G281" i="15" s="1"/>
  <c r="H281" i="15"/>
  <c r="I281" i="15" s="1"/>
  <c r="J281" i="15"/>
  <c r="K281" i="15" s="1"/>
  <c r="B282" i="15"/>
  <c r="C282" i="15" s="1"/>
  <c r="D282" i="15"/>
  <c r="E282" i="15" s="1"/>
  <c r="F282" i="15"/>
  <c r="G282" i="15" s="1"/>
  <c r="H282" i="15"/>
  <c r="I282" i="15" s="1"/>
  <c r="J282" i="15"/>
  <c r="K282" i="15" s="1"/>
  <c r="B283" i="15"/>
  <c r="C283" i="15" s="1"/>
  <c r="D283" i="15"/>
  <c r="E283" i="15" s="1"/>
  <c r="F283" i="15"/>
  <c r="G283" i="15" s="1"/>
  <c r="H283" i="15"/>
  <c r="I283" i="15" s="1"/>
  <c r="J283" i="15"/>
  <c r="K283" i="15" s="1"/>
  <c r="B284" i="15"/>
  <c r="D284" i="15"/>
  <c r="F284" i="15"/>
  <c r="H284" i="15"/>
  <c r="J284" i="15"/>
  <c r="B288" i="15"/>
  <c r="C288" i="15" s="1"/>
  <c r="D288" i="15"/>
  <c r="E288" i="15" s="1"/>
  <c r="F288" i="15"/>
  <c r="G288" i="15" s="1"/>
  <c r="H288" i="15"/>
  <c r="I288" i="15" s="1"/>
  <c r="J288" i="15"/>
  <c r="K288" i="15" s="1"/>
  <c r="B289" i="15"/>
  <c r="C289" i="15" s="1"/>
  <c r="D289" i="15"/>
  <c r="E289" i="15" s="1"/>
  <c r="F289" i="15"/>
  <c r="G289" i="15" s="1"/>
  <c r="H289" i="15"/>
  <c r="I289" i="15" s="1"/>
  <c r="J289" i="15"/>
  <c r="K289" i="15" s="1"/>
  <c r="B290" i="15"/>
  <c r="C290" i="15" s="1"/>
  <c r="D290" i="15"/>
  <c r="E290" i="15" s="1"/>
  <c r="F290" i="15"/>
  <c r="G290" i="15" s="1"/>
  <c r="H290" i="15"/>
  <c r="I290" i="15" s="1"/>
  <c r="J290" i="15"/>
  <c r="K290" i="15" s="1"/>
  <c r="B291" i="15"/>
  <c r="C291" i="15" s="1"/>
  <c r="D291" i="15"/>
  <c r="E291" i="15" s="1"/>
  <c r="F291" i="15"/>
  <c r="G291" i="15" s="1"/>
  <c r="H291" i="15"/>
  <c r="I291" i="15" s="1"/>
  <c r="J291" i="15"/>
  <c r="K291" i="15" s="1"/>
  <c r="B292" i="15"/>
  <c r="C292" i="15" s="1"/>
  <c r="D292" i="15"/>
  <c r="E292" i="15" s="1"/>
  <c r="F292" i="15"/>
  <c r="G292" i="15" s="1"/>
  <c r="H292" i="15"/>
  <c r="I292" i="15" s="1"/>
  <c r="J292" i="15"/>
  <c r="K292" i="15" s="1"/>
  <c r="B293" i="15"/>
  <c r="C293" i="15" s="1"/>
  <c r="D293" i="15"/>
  <c r="E293" i="15" s="1"/>
  <c r="F293" i="15"/>
  <c r="G293" i="15" s="1"/>
  <c r="H293" i="15"/>
  <c r="I293" i="15" s="1"/>
  <c r="J293" i="15"/>
  <c r="K293" i="15" s="1"/>
  <c r="B294" i="15"/>
  <c r="D294" i="15"/>
  <c r="F294" i="15"/>
  <c r="B298" i="15"/>
  <c r="C298" i="15" s="1"/>
  <c r="D298" i="15"/>
  <c r="E298" i="15" s="1"/>
  <c r="F298" i="15"/>
  <c r="G298" i="15" s="1"/>
  <c r="H298" i="15"/>
  <c r="I298" i="15" s="1"/>
  <c r="J298" i="15"/>
  <c r="K298" i="15" s="1"/>
  <c r="B299" i="15"/>
  <c r="C299" i="15" s="1"/>
  <c r="D299" i="15"/>
  <c r="E299" i="15" s="1"/>
  <c r="F299" i="15"/>
  <c r="G299" i="15" s="1"/>
  <c r="H299" i="15"/>
  <c r="I299" i="15" s="1"/>
  <c r="J299" i="15"/>
  <c r="K299" i="15" s="1"/>
  <c r="B300" i="15"/>
  <c r="C300" i="15" s="1"/>
  <c r="D300" i="15"/>
  <c r="E300" i="15" s="1"/>
  <c r="F300" i="15"/>
  <c r="G300" i="15" s="1"/>
  <c r="H300" i="15"/>
  <c r="I300" i="15" s="1"/>
  <c r="J300" i="15"/>
  <c r="K300" i="15" s="1"/>
  <c r="B301" i="15"/>
  <c r="C301" i="15" s="1"/>
  <c r="D301" i="15"/>
  <c r="E301" i="15" s="1"/>
  <c r="F301" i="15"/>
  <c r="G301" i="15" s="1"/>
  <c r="H301" i="15"/>
  <c r="I301" i="15" s="1"/>
  <c r="J301" i="15"/>
  <c r="K301" i="15" s="1"/>
  <c r="B302" i="15"/>
  <c r="C302" i="15" s="1"/>
  <c r="D302" i="15"/>
  <c r="E302" i="15" s="1"/>
  <c r="F302" i="15"/>
  <c r="G302" i="15" s="1"/>
  <c r="H302" i="15"/>
  <c r="I302" i="15" s="1"/>
  <c r="J302" i="15"/>
  <c r="K302" i="15" s="1"/>
  <c r="B303" i="15"/>
  <c r="C303" i="15" s="1"/>
  <c r="D303" i="15"/>
  <c r="E303" i="15" s="1"/>
  <c r="F303" i="15"/>
  <c r="G303" i="15" s="1"/>
  <c r="H303" i="15"/>
  <c r="I303" i="15" s="1"/>
  <c r="J303" i="15"/>
  <c r="K303" i="15" s="1"/>
  <c r="B304" i="15"/>
  <c r="D304" i="15"/>
  <c r="F304" i="15"/>
  <c r="H304" i="15"/>
  <c r="J304" i="15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3" i="3"/>
  <c r="D3" i="3"/>
  <c r="F3" i="3"/>
  <c r="B4" i="3"/>
  <c r="C4" i="20" s="1"/>
  <c r="D4" i="3"/>
  <c r="E4" i="3" s="1"/>
  <c r="D13" i="20" s="1"/>
  <c r="F4" i="3"/>
  <c r="G4" i="3" s="1"/>
  <c r="D22" i="20" s="1"/>
  <c r="B5" i="3"/>
  <c r="C5" i="3" s="1"/>
  <c r="D5" i="20" s="1"/>
  <c r="D5" i="3"/>
  <c r="C14" i="20" s="1"/>
  <c r="F5" i="3"/>
  <c r="B6" i="3"/>
  <c r="C6" i="20" s="1"/>
  <c r="D6" i="3"/>
  <c r="F6" i="3"/>
  <c r="G6" i="3" s="1"/>
  <c r="D24" i="20" s="1"/>
  <c r="B7" i="3"/>
  <c r="C7" i="20" s="1"/>
  <c r="D7" i="3"/>
  <c r="E7" i="3" s="1"/>
  <c r="D16" i="20" s="1"/>
  <c r="F7" i="3"/>
  <c r="G7" i="3" s="1"/>
  <c r="D25" i="20" s="1"/>
  <c r="B8" i="3"/>
  <c r="C8" i="20" s="1"/>
  <c r="D8" i="3"/>
  <c r="C17" i="20" s="1"/>
  <c r="F8" i="3"/>
  <c r="B9" i="3"/>
  <c r="D9" i="3"/>
  <c r="C18" i="20" s="1"/>
  <c r="F9" i="3"/>
  <c r="C27" i="20" s="1"/>
  <c r="C10" i="3"/>
  <c r="E10" i="3"/>
  <c r="G10" i="3"/>
  <c r="C11" i="3"/>
  <c r="E11" i="3"/>
  <c r="G11" i="3"/>
  <c r="B12" i="3"/>
  <c r="C12" i="3" s="1"/>
  <c r="D30" i="20" s="1"/>
  <c r="D12" i="3"/>
  <c r="E12" i="3" s="1"/>
  <c r="D39" i="20" s="1"/>
  <c r="F12" i="3"/>
  <c r="G12" i="3" s="1"/>
  <c r="D48" i="20" s="1"/>
  <c r="H12" i="3"/>
  <c r="C57" i="20" s="1"/>
  <c r="J12" i="3"/>
  <c r="C66" i="20" s="1"/>
  <c r="B13" i="3"/>
  <c r="D13" i="3"/>
  <c r="F13" i="3"/>
  <c r="H13" i="3"/>
  <c r="I13" i="3" s="1"/>
  <c r="D58" i="20" s="1"/>
  <c r="J13" i="3"/>
  <c r="C67" i="20" s="1"/>
  <c r="B14" i="3"/>
  <c r="C32" i="20" s="1"/>
  <c r="D14" i="3"/>
  <c r="F14" i="3"/>
  <c r="C50" i="20" s="1"/>
  <c r="H14" i="3"/>
  <c r="J14" i="3"/>
  <c r="B15" i="3"/>
  <c r="D15" i="3"/>
  <c r="C42" i="20" s="1"/>
  <c r="F15" i="3"/>
  <c r="G15" i="3" s="1"/>
  <c r="D51" i="20" s="1"/>
  <c r="H15" i="3"/>
  <c r="C60" i="20" s="1"/>
  <c r="J15" i="3"/>
  <c r="K15" i="3" s="1"/>
  <c r="D69" i="20" s="1"/>
  <c r="B16" i="3"/>
  <c r="C34" i="20" s="1"/>
  <c r="D16" i="3"/>
  <c r="C43" i="20" s="1"/>
  <c r="F16" i="3"/>
  <c r="C52" i="20" s="1"/>
  <c r="H16" i="3"/>
  <c r="J16" i="3"/>
  <c r="K16" i="3" s="1"/>
  <c r="D70" i="20" s="1"/>
  <c r="B17" i="3"/>
  <c r="C17" i="3" s="1"/>
  <c r="D35" i="20" s="1"/>
  <c r="D17" i="3"/>
  <c r="C44" i="20" s="1"/>
  <c r="F17" i="3"/>
  <c r="C53" i="20" s="1"/>
  <c r="H17" i="3"/>
  <c r="I17" i="3" s="1"/>
  <c r="D62" i="20" s="1"/>
  <c r="J17" i="3"/>
  <c r="K17" i="3" s="1"/>
  <c r="D71" i="20" s="1"/>
  <c r="B18" i="3"/>
  <c r="C36" i="20" s="1"/>
  <c r="D18" i="3"/>
  <c r="F18" i="3"/>
  <c r="C54" i="20" s="1"/>
  <c r="H18" i="3"/>
  <c r="I18" i="3" s="1"/>
  <c r="D63" i="20" s="1"/>
  <c r="J18" i="3"/>
  <c r="C72" i="20" s="1"/>
  <c r="C19" i="3"/>
  <c r="E19" i="3"/>
  <c r="G19" i="3"/>
  <c r="I19" i="3"/>
  <c r="K19" i="3"/>
  <c r="C20" i="3"/>
  <c r="E20" i="3"/>
  <c r="G20" i="3"/>
  <c r="I20" i="3"/>
  <c r="K20" i="3"/>
  <c r="B21" i="3"/>
  <c r="D21" i="3"/>
  <c r="F21" i="3"/>
  <c r="H21" i="3"/>
  <c r="C102" i="20" s="1"/>
  <c r="J21" i="3"/>
  <c r="C111" i="20" s="1"/>
  <c r="B22" i="3"/>
  <c r="C22" i="3" s="1"/>
  <c r="D76" i="20" s="1"/>
  <c r="D22" i="3"/>
  <c r="E22" i="3" s="1"/>
  <c r="D85" i="20" s="1"/>
  <c r="F22" i="3"/>
  <c r="C94" i="20" s="1"/>
  <c r="H22" i="3"/>
  <c r="C103" i="20" s="1"/>
  <c r="J22" i="3"/>
  <c r="B23" i="3"/>
  <c r="D23" i="3"/>
  <c r="E23" i="3" s="1"/>
  <c r="D86" i="20" s="1"/>
  <c r="F23" i="3"/>
  <c r="G23" i="3" s="1"/>
  <c r="D95" i="20" s="1"/>
  <c r="H23" i="3"/>
  <c r="C104" i="20" s="1"/>
  <c r="J23" i="3"/>
  <c r="K23" i="3" s="1"/>
  <c r="D113" i="20" s="1"/>
  <c r="B24" i="3"/>
  <c r="C78" i="20" s="1"/>
  <c r="D24" i="3"/>
  <c r="C87" i="20" s="1"/>
  <c r="F24" i="3"/>
  <c r="H24" i="3"/>
  <c r="I24" i="3" s="1"/>
  <c r="D105" i="20" s="1"/>
  <c r="J24" i="3"/>
  <c r="C114" i="20" s="1"/>
  <c r="B25" i="3"/>
  <c r="C79" i="20" s="1"/>
  <c r="D25" i="3"/>
  <c r="C88" i="20" s="1"/>
  <c r="F25" i="3"/>
  <c r="G25" i="3" s="1"/>
  <c r="D97" i="20" s="1"/>
  <c r="H25" i="3"/>
  <c r="C106" i="20" s="1"/>
  <c r="J25" i="3"/>
  <c r="K25" i="3" s="1"/>
  <c r="D115" i="20" s="1"/>
  <c r="B26" i="3"/>
  <c r="D26" i="3"/>
  <c r="C89" i="20" s="1"/>
  <c r="G26" i="3"/>
  <c r="I26" i="3"/>
  <c r="J26" i="3"/>
  <c r="C116" i="20" s="1"/>
  <c r="B27" i="3"/>
  <c r="C27" i="3" s="1"/>
  <c r="D81" i="20" s="1"/>
  <c r="D27" i="3"/>
  <c r="C90" i="20" s="1"/>
  <c r="G27" i="3"/>
  <c r="I27" i="3"/>
  <c r="J27" i="3"/>
  <c r="C28" i="3"/>
  <c r="E28" i="3"/>
  <c r="G28" i="3"/>
  <c r="I28" i="3"/>
  <c r="K28" i="3"/>
  <c r="C29" i="3"/>
  <c r="E29" i="3"/>
  <c r="G29" i="3"/>
  <c r="I29" i="3"/>
  <c r="K29" i="3"/>
  <c r="B30" i="3"/>
  <c r="C120" i="20" s="1"/>
  <c r="D30" i="3"/>
  <c r="E30" i="3" s="1"/>
  <c r="D129" i="20" s="1"/>
  <c r="F30" i="3"/>
  <c r="G30" i="3" s="1"/>
  <c r="D138" i="20" s="1"/>
  <c r="H30" i="3"/>
  <c r="C147" i="20" s="1"/>
  <c r="J30" i="3"/>
  <c r="B31" i="3"/>
  <c r="D31" i="3"/>
  <c r="C130" i="20" s="1"/>
  <c r="F31" i="3"/>
  <c r="C139" i="20" s="1"/>
  <c r="H31" i="3"/>
  <c r="C148" i="20" s="1"/>
  <c r="J31" i="3"/>
  <c r="K31" i="3" s="1"/>
  <c r="D157" i="20" s="1"/>
  <c r="B32" i="3"/>
  <c r="C122" i="20" s="1"/>
  <c r="D32" i="3"/>
  <c r="C131" i="20" s="1"/>
  <c r="F32" i="3"/>
  <c r="G32" i="3" s="1"/>
  <c r="D140" i="20" s="1"/>
  <c r="H32" i="3"/>
  <c r="J32" i="3"/>
  <c r="C158" i="20" s="1"/>
  <c r="B33" i="3"/>
  <c r="C33" i="3" s="1"/>
  <c r="D123" i="20" s="1"/>
  <c r="D33" i="3"/>
  <c r="C132" i="20" s="1"/>
  <c r="F33" i="3"/>
  <c r="G33" i="3" s="1"/>
  <c r="D141" i="20" s="1"/>
  <c r="H33" i="3"/>
  <c r="C150" i="20" s="1"/>
  <c r="J33" i="3"/>
  <c r="K33" i="3" s="1"/>
  <c r="D159" i="20" s="1"/>
  <c r="B34" i="3"/>
  <c r="D34" i="3"/>
  <c r="C133" i="20" s="1"/>
  <c r="F34" i="3"/>
  <c r="C142" i="20" s="1"/>
  <c r="H34" i="3"/>
  <c r="I34" i="3" s="1"/>
  <c r="D151" i="20" s="1"/>
  <c r="J34" i="3"/>
  <c r="C160" i="20" s="1"/>
  <c r="B35" i="3"/>
  <c r="C125" i="20" s="1"/>
  <c r="D35" i="3"/>
  <c r="C134" i="20" s="1"/>
  <c r="F35" i="3"/>
  <c r="C143" i="20" s="1"/>
  <c r="H35" i="3"/>
  <c r="C152" i="20" s="1"/>
  <c r="J35" i="3"/>
  <c r="B36" i="3"/>
  <c r="C126" i="20" s="1"/>
  <c r="D36" i="3"/>
  <c r="C135" i="20" s="1"/>
  <c r="F36" i="3"/>
  <c r="C144" i="20" s="1"/>
  <c r="H36" i="3"/>
  <c r="I36" i="3" s="1"/>
  <c r="D153" i="20" s="1"/>
  <c r="J36" i="3"/>
  <c r="C162" i="20" s="1"/>
  <c r="C37" i="3"/>
  <c r="E37" i="3"/>
  <c r="G37" i="3"/>
  <c r="I37" i="3"/>
  <c r="K37" i="3"/>
  <c r="C38" i="3"/>
  <c r="E38" i="3"/>
  <c r="G38" i="3"/>
  <c r="I38" i="3"/>
  <c r="K38" i="3"/>
  <c r="B39" i="3"/>
  <c r="D39" i="3"/>
  <c r="E39" i="3" s="1"/>
  <c r="D174" i="20" s="1"/>
  <c r="F39" i="3"/>
  <c r="C183" i="20" s="1"/>
  <c r="H39" i="3"/>
  <c r="C192" i="20" s="1"/>
  <c r="J39" i="3"/>
  <c r="K39" i="3" s="1"/>
  <c r="D201" i="20" s="1"/>
  <c r="B40" i="3"/>
  <c r="C166" i="20" s="1"/>
  <c r="D40" i="3"/>
  <c r="C175" i="20" s="1"/>
  <c r="F40" i="3"/>
  <c r="H40" i="3"/>
  <c r="J40" i="3"/>
  <c r="C202" i="20" s="1"/>
  <c r="B41" i="3"/>
  <c r="C167" i="20" s="1"/>
  <c r="D41" i="3"/>
  <c r="E41" i="3" s="1"/>
  <c r="D176" i="20" s="1"/>
  <c r="F41" i="3"/>
  <c r="C185" i="20" s="1"/>
  <c r="H41" i="3"/>
  <c r="C194" i="20" s="1"/>
  <c r="J41" i="3"/>
  <c r="C203" i="20" s="1"/>
  <c r="B42" i="3"/>
  <c r="D42" i="3"/>
  <c r="F42" i="3"/>
  <c r="C186" i="20" s="1"/>
  <c r="H42" i="3"/>
  <c r="I42" i="3" s="1"/>
  <c r="D195" i="20" s="1"/>
  <c r="J42" i="3"/>
  <c r="K42" i="3" s="1"/>
  <c r="D204" i="20" s="1"/>
  <c r="B43" i="3"/>
  <c r="C169" i="20" s="1"/>
  <c r="D43" i="3"/>
  <c r="C178" i="20" s="1"/>
  <c r="F43" i="3"/>
  <c r="G43" i="3" s="1"/>
  <c r="D187" i="20" s="1"/>
  <c r="H43" i="3"/>
  <c r="J43" i="3"/>
  <c r="K43" i="3" s="1"/>
  <c r="D205" i="20" s="1"/>
  <c r="B44" i="3"/>
  <c r="C170" i="20" s="1"/>
  <c r="D44" i="3"/>
  <c r="E44" i="3" s="1"/>
  <c r="D179" i="20" s="1"/>
  <c r="F44" i="3"/>
  <c r="G44" i="3" s="1"/>
  <c r="D188" i="20" s="1"/>
  <c r="H44" i="3"/>
  <c r="I44" i="3" s="1"/>
  <c r="D197" i="20" s="1"/>
  <c r="J44" i="3"/>
  <c r="K44" i="3" s="1"/>
  <c r="D206" i="20" s="1"/>
  <c r="B45" i="3"/>
  <c r="C171" i="20" s="1"/>
  <c r="D45" i="3"/>
  <c r="C180" i="20" s="1"/>
  <c r="F45" i="3"/>
  <c r="C189" i="20" s="1"/>
  <c r="H45" i="3"/>
  <c r="C198" i="20" s="1"/>
  <c r="J45" i="3"/>
  <c r="K45" i="3" s="1"/>
  <c r="D207" i="20" s="1"/>
  <c r="C46" i="3"/>
  <c r="E46" i="3"/>
  <c r="G46" i="3"/>
  <c r="I46" i="3"/>
  <c r="K46" i="3"/>
  <c r="C47" i="3"/>
  <c r="E47" i="3"/>
  <c r="G47" i="3"/>
  <c r="I47" i="3"/>
  <c r="K47" i="3"/>
  <c r="B48" i="3"/>
  <c r="C210" i="20" s="1"/>
  <c r="D48" i="3"/>
  <c r="F48" i="3"/>
  <c r="H48" i="3"/>
  <c r="J48" i="3"/>
  <c r="C246" i="20" s="1"/>
  <c r="B49" i="3"/>
  <c r="C211" i="20" s="1"/>
  <c r="D49" i="3"/>
  <c r="C220" i="20" s="1"/>
  <c r="F49" i="3"/>
  <c r="G49" i="3" s="1"/>
  <c r="D229" i="20" s="1"/>
  <c r="H49" i="3"/>
  <c r="I49" i="3" s="1"/>
  <c r="D238" i="20" s="1"/>
  <c r="J49" i="3"/>
  <c r="B50" i="3"/>
  <c r="C50" i="3" s="1"/>
  <c r="D212" i="20" s="1"/>
  <c r="D50" i="3"/>
  <c r="F50" i="3"/>
  <c r="G50" i="3" s="1"/>
  <c r="D230" i="20" s="1"/>
  <c r="H50" i="3"/>
  <c r="C239" i="20" s="1"/>
  <c r="J50" i="3"/>
  <c r="C248" i="20" s="1"/>
  <c r="B51" i="3"/>
  <c r="C213" i="20" s="1"/>
  <c r="D51" i="3"/>
  <c r="C222" i="20" s="1"/>
  <c r="F51" i="3"/>
  <c r="C231" i="20" s="1"/>
  <c r="H51" i="3"/>
  <c r="C240" i="20" s="1"/>
  <c r="J51" i="3"/>
  <c r="B52" i="3"/>
  <c r="C214" i="20" s="1"/>
  <c r="D52" i="3"/>
  <c r="C223" i="20" s="1"/>
  <c r="F52" i="3"/>
  <c r="C232" i="20" s="1"/>
  <c r="H52" i="3"/>
  <c r="I52" i="3" s="1"/>
  <c r="D241" i="20" s="1"/>
  <c r="J52" i="3"/>
  <c r="C250" i="20" s="1"/>
  <c r="B53" i="3"/>
  <c r="C215" i="20" s="1"/>
  <c r="D53" i="3"/>
  <c r="F53" i="3"/>
  <c r="C233" i="20" s="1"/>
  <c r="H53" i="3"/>
  <c r="I53" i="3" s="1"/>
  <c r="D242" i="20" s="1"/>
  <c r="J53" i="3"/>
  <c r="K53" i="3" s="1"/>
  <c r="D251" i="20" s="1"/>
  <c r="B54" i="3"/>
  <c r="C54" i="3" s="1"/>
  <c r="D216" i="20" s="1"/>
  <c r="D54" i="3"/>
  <c r="E54" i="3" s="1"/>
  <c r="D225" i="20" s="1"/>
  <c r="F54" i="3"/>
  <c r="C234" i="20" s="1"/>
  <c r="H54" i="3"/>
  <c r="J54" i="3"/>
  <c r="C57" i="3"/>
  <c r="E57" i="3"/>
  <c r="G57" i="3"/>
  <c r="I57" i="3"/>
  <c r="K57" i="3"/>
  <c r="B58" i="3"/>
  <c r="F3" i="20" s="1"/>
  <c r="D58" i="3"/>
  <c r="E58" i="3" s="1"/>
  <c r="G12" i="20" s="1"/>
  <c r="F58" i="3"/>
  <c r="G58" i="3" s="1"/>
  <c r="G21" i="20" s="1"/>
  <c r="I58" i="3"/>
  <c r="K58" i="3"/>
  <c r="B59" i="3"/>
  <c r="F4" i="20" s="1"/>
  <c r="D59" i="3"/>
  <c r="E59" i="3" s="1"/>
  <c r="G13" i="20" s="1"/>
  <c r="F59" i="3"/>
  <c r="G59" i="3" s="1"/>
  <c r="G22" i="20" s="1"/>
  <c r="I59" i="3"/>
  <c r="K59" i="3"/>
  <c r="B60" i="3"/>
  <c r="D60" i="3"/>
  <c r="F14" i="20" s="1"/>
  <c r="F60" i="3"/>
  <c r="G60" i="3" s="1"/>
  <c r="G23" i="20" s="1"/>
  <c r="I60" i="3"/>
  <c r="K60" i="3"/>
  <c r="B61" i="3"/>
  <c r="F6" i="20" s="1"/>
  <c r="D61" i="3"/>
  <c r="F15" i="20" s="1"/>
  <c r="F61" i="3"/>
  <c r="F24" i="20" s="1"/>
  <c r="I61" i="3"/>
  <c r="K61" i="3"/>
  <c r="B62" i="3"/>
  <c r="F7" i="20" s="1"/>
  <c r="D62" i="3"/>
  <c r="E62" i="3" s="1"/>
  <c r="G16" i="20" s="1"/>
  <c r="F62" i="3"/>
  <c r="F25" i="20" s="1"/>
  <c r="I62" i="3"/>
  <c r="K62" i="3"/>
  <c r="B63" i="3"/>
  <c r="F8" i="20" s="1"/>
  <c r="D63" i="3"/>
  <c r="F63" i="3"/>
  <c r="G63" i="3" s="1"/>
  <c r="G26" i="20" s="1"/>
  <c r="I63" i="3"/>
  <c r="K63" i="3"/>
  <c r="B64" i="3"/>
  <c r="C64" i="3" s="1"/>
  <c r="G9" i="20" s="1"/>
  <c r="D64" i="3"/>
  <c r="E64" i="3" s="1"/>
  <c r="G18" i="20" s="1"/>
  <c r="F64" i="3"/>
  <c r="G64" i="3" s="1"/>
  <c r="G27" i="20" s="1"/>
  <c r="I64" i="3"/>
  <c r="K64" i="3"/>
  <c r="C65" i="3"/>
  <c r="E65" i="3"/>
  <c r="G65" i="3"/>
  <c r="I65" i="3"/>
  <c r="K65" i="3"/>
  <c r="C66" i="3"/>
  <c r="E66" i="3"/>
  <c r="G66" i="3"/>
  <c r="I66" i="3"/>
  <c r="K66" i="3"/>
  <c r="B67" i="3"/>
  <c r="F30" i="20" s="1"/>
  <c r="D67" i="3"/>
  <c r="F39" i="20" s="1"/>
  <c r="F67" i="3"/>
  <c r="F48" i="20" s="1"/>
  <c r="H67" i="3"/>
  <c r="I67" i="3" s="1"/>
  <c r="G57" i="20" s="1"/>
  <c r="J67" i="3"/>
  <c r="F66" i="20" s="1"/>
  <c r="B68" i="3"/>
  <c r="C68" i="3" s="1"/>
  <c r="G31" i="20" s="1"/>
  <c r="D68" i="3"/>
  <c r="E68" i="3" s="1"/>
  <c r="G40" i="20" s="1"/>
  <c r="F68" i="3"/>
  <c r="G68" i="3" s="1"/>
  <c r="G49" i="20" s="1"/>
  <c r="H68" i="3"/>
  <c r="I68" i="3" s="1"/>
  <c r="G58" i="20" s="1"/>
  <c r="J68" i="3"/>
  <c r="F67" i="20" s="1"/>
  <c r="B69" i="3"/>
  <c r="F32" i="20" s="1"/>
  <c r="D69" i="3"/>
  <c r="E69" i="3" s="1"/>
  <c r="G41" i="20" s="1"/>
  <c r="F69" i="3"/>
  <c r="G69" i="3" s="1"/>
  <c r="G50" i="20" s="1"/>
  <c r="H69" i="3"/>
  <c r="J69" i="3"/>
  <c r="K69" i="3" s="1"/>
  <c r="G68" i="20" s="1"/>
  <c r="B70" i="3"/>
  <c r="F33" i="20" s="1"/>
  <c r="D70" i="3"/>
  <c r="F42" i="20" s="1"/>
  <c r="F70" i="3"/>
  <c r="G70" i="3" s="1"/>
  <c r="G51" i="20" s="1"/>
  <c r="H70" i="3"/>
  <c r="I70" i="3" s="1"/>
  <c r="G60" i="20" s="1"/>
  <c r="J70" i="3"/>
  <c r="F69" i="20" s="1"/>
  <c r="B71" i="3"/>
  <c r="C71" i="3" s="1"/>
  <c r="G34" i="20" s="1"/>
  <c r="D71" i="3"/>
  <c r="E71" i="3" s="1"/>
  <c r="G43" i="20" s="1"/>
  <c r="F71" i="3"/>
  <c r="H71" i="3"/>
  <c r="I71" i="3" s="1"/>
  <c r="G61" i="20" s="1"/>
  <c r="J71" i="3"/>
  <c r="F70" i="20" s="1"/>
  <c r="B72" i="3"/>
  <c r="C72" i="3" s="1"/>
  <c r="G35" i="20" s="1"/>
  <c r="D72" i="3"/>
  <c r="F44" i="20" s="1"/>
  <c r="F72" i="3"/>
  <c r="G72" i="3" s="1"/>
  <c r="G53" i="20" s="1"/>
  <c r="H72" i="3"/>
  <c r="F62" i="20" s="1"/>
  <c r="J72" i="3"/>
  <c r="B73" i="3"/>
  <c r="D73" i="3"/>
  <c r="F45" i="20" s="1"/>
  <c r="F73" i="3"/>
  <c r="F54" i="20" s="1"/>
  <c r="H73" i="3"/>
  <c r="I73" i="3" s="1"/>
  <c r="G63" i="20" s="1"/>
  <c r="J73" i="3"/>
  <c r="F72" i="20" s="1"/>
  <c r="C74" i="3"/>
  <c r="E74" i="3"/>
  <c r="G74" i="3"/>
  <c r="I74" i="3"/>
  <c r="K74" i="3"/>
  <c r="C75" i="3"/>
  <c r="E75" i="3"/>
  <c r="G75" i="3"/>
  <c r="I75" i="3"/>
  <c r="K75" i="3"/>
  <c r="B76" i="3"/>
  <c r="D76" i="3"/>
  <c r="F76" i="3"/>
  <c r="F93" i="20" s="1"/>
  <c r="H76" i="3"/>
  <c r="F102" i="20" s="1"/>
  <c r="J76" i="3"/>
  <c r="K76" i="3" s="1"/>
  <c r="G111" i="20" s="1"/>
  <c r="B77" i="3"/>
  <c r="F76" i="20" s="1"/>
  <c r="D77" i="3"/>
  <c r="E77" i="3" s="1"/>
  <c r="G85" i="20" s="1"/>
  <c r="F77" i="3"/>
  <c r="H77" i="3"/>
  <c r="I77" i="3" s="1"/>
  <c r="G103" i="20" s="1"/>
  <c r="J77" i="3"/>
  <c r="F112" i="20" s="1"/>
  <c r="B78" i="3"/>
  <c r="F77" i="20" s="1"/>
  <c r="D78" i="3"/>
  <c r="F86" i="20" s="1"/>
  <c r="F78" i="3"/>
  <c r="G78" i="3" s="1"/>
  <c r="G95" i="20" s="1"/>
  <c r="H78" i="3"/>
  <c r="F104" i="20" s="1"/>
  <c r="J78" i="3"/>
  <c r="F113" i="20" s="1"/>
  <c r="B79" i="3"/>
  <c r="D79" i="3"/>
  <c r="F79" i="3"/>
  <c r="H79" i="3"/>
  <c r="F105" i="20" s="1"/>
  <c r="J79" i="3"/>
  <c r="F114" i="20" s="1"/>
  <c r="B80" i="3"/>
  <c r="C80" i="3" s="1"/>
  <c r="G79" i="20" s="1"/>
  <c r="D80" i="3"/>
  <c r="F88" i="20" s="1"/>
  <c r="F80" i="3"/>
  <c r="F97" i="20" s="1"/>
  <c r="H80" i="3"/>
  <c r="I80" i="3" s="1"/>
  <c r="G106" i="20" s="1"/>
  <c r="J80" i="3"/>
  <c r="B81" i="3"/>
  <c r="D81" i="3"/>
  <c r="F89" i="20" s="1"/>
  <c r="F81" i="3"/>
  <c r="F98" i="20" s="1"/>
  <c r="H81" i="3"/>
  <c r="F107" i="20" s="1"/>
  <c r="J81" i="3"/>
  <c r="F116" i="20" s="1"/>
  <c r="B82" i="3"/>
  <c r="F81" i="20" s="1"/>
  <c r="D82" i="3"/>
  <c r="F90" i="20" s="1"/>
  <c r="F82" i="3"/>
  <c r="H82" i="3"/>
  <c r="J82" i="3"/>
  <c r="F117" i="20" s="1"/>
  <c r="C83" i="3"/>
  <c r="E83" i="3"/>
  <c r="G83" i="3"/>
  <c r="I83" i="3"/>
  <c r="K83" i="3"/>
  <c r="C84" i="3"/>
  <c r="E84" i="3"/>
  <c r="G84" i="3"/>
  <c r="I84" i="3"/>
  <c r="K84" i="3"/>
  <c r="B85" i="3"/>
  <c r="D85" i="3"/>
  <c r="F129" i="20" s="1"/>
  <c r="F85" i="3"/>
  <c r="G85" i="3" s="1"/>
  <c r="G138" i="20" s="1"/>
  <c r="H85" i="3"/>
  <c r="J85" i="3"/>
  <c r="B86" i="3"/>
  <c r="C86" i="3" s="1"/>
  <c r="G121" i="20" s="1"/>
  <c r="D86" i="3"/>
  <c r="E86" i="3" s="1"/>
  <c r="G130" i="20" s="1"/>
  <c r="F86" i="3"/>
  <c r="F139" i="20" s="1"/>
  <c r="H86" i="3"/>
  <c r="F148" i="20" s="1"/>
  <c r="J86" i="3"/>
  <c r="F157" i="20" s="1"/>
  <c r="B87" i="3"/>
  <c r="F122" i="20" s="1"/>
  <c r="D87" i="3"/>
  <c r="F87" i="3"/>
  <c r="H87" i="3"/>
  <c r="I87" i="3" s="1"/>
  <c r="G149" i="20" s="1"/>
  <c r="J87" i="3"/>
  <c r="K87" i="3" s="1"/>
  <c r="G158" i="20" s="1"/>
  <c r="B88" i="3"/>
  <c r="C88" i="3" s="1"/>
  <c r="G123" i="20" s="1"/>
  <c r="D88" i="3"/>
  <c r="E88" i="3" s="1"/>
  <c r="G132" i="20" s="1"/>
  <c r="F88" i="3"/>
  <c r="G88" i="3" s="1"/>
  <c r="G141" i="20" s="1"/>
  <c r="H88" i="3"/>
  <c r="F150" i="20" s="1"/>
  <c r="J88" i="3"/>
  <c r="B89" i="3"/>
  <c r="C89" i="3" s="1"/>
  <c r="G124" i="20" s="1"/>
  <c r="D89" i="3"/>
  <c r="E89" i="3" s="1"/>
  <c r="G133" i="20" s="1"/>
  <c r="F89" i="3"/>
  <c r="F142" i="20" s="1"/>
  <c r="H89" i="3"/>
  <c r="F151" i="20" s="1"/>
  <c r="J89" i="3"/>
  <c r="F160" i="20" s="1"/>
  <c r="B90" i="3"/>
  <c r="C90" i="3" s="1"/>
  <c r="G125" i="20" s="1"/>
  <c r="D90" i="3"/>
  <c r="F134" i="20" s="1"/>
  <c r="F90" i="3"/>
  <c r="F143" i="20" s="1"/>
  <c r="H90" i="3"/>
  <c r="J90" i="3"/>
  <c r="F161" i="20" s="1"/>
  <c r="B91" i="3"/>
  <c r="C91" i="3" s="1"/>
  <c r="G126" i="20" s="1"/>
  <c r="D91" i="3"/>
  <c r="F135" i="20" s="1"/>
  <c r="F91" i="3"/>
  <c r="F144" i="20" s="1"/>
  <c r="H91" i="3"/>
  <c r="F153" i="20" s="1"/>
  <c r="J91" i="3"/>
  <c r="F162" i="20" s="1"/>
  <c r="C92" i="3"/>
  <c r="E92" i="3"/>
  <c r="G92" i="3"/>
  <c r="I92" i="3"/>
  <c r="K92" i="3"/>
  <c r="C93" i="3"/>
  <c r="E93" i="3"/>
  <c r="G93" i="3"/>
  <c r="I93" i="3"/>
  <c r="K93" i="3"/>
  <c r="B94" i="3"/>
  <c r="F165" i="20" s="1"/>
  <c r="D94" i="3"/>
  <c r="F174" i="20" s="1"/>
  <c r="F94" i="3"/>
  <c r="G94" i="3" s="1"/>
  <c r="G183" i="20" s="1"/>
  <c r="H94" i="3"/>
  <c r="I94" i="3" s="1"/>
  <c r="G192" i="20" s="1"/>
  <c r="J94" i="3"/>
  <c r="K94" i="3" s="1"/>
  <c r="G201" i="20" s="1"/>
  <c r="B95" i="3"/>
  <c r="C95" i="3" s="1"/>
  <c r="G166" i="20" s="1"/>
  <c r="D95" i="3"/>
  <c r="F95" i="3"/>
  <c r="H95" i="3"/>
  <c r="I95" i="3" s="1"/>
  <c r="G193" i="20" s="1"/>
  <c r="J95" i="3"/>
  <c r="K95" i="3" s="1"/>
  <c r="G202" i="20" s="1"/>
  <c r="B96" i="3"/>
  <c r="C96" i="3" s="1"/>
  <c r="G167" i="20" s="1"/>
  <c r="D96" i="3"/>
  <c r="F176" i="20" s="1"/>
  <c r="F96" i="3"/>
  <c r="F185" i="20" s="1"/>
  <c r="H96" i="3"/>
  <c r="F194" i="20" s="1"/>
  <c r="J96" i="3"/>
  <c r="B97" i="3"/>
  <c r="F168" i="20" s="1"/>
  <c r="D97" i="3"/>
  <c r="E97" i="3" s="1"/>
  <c r="G177" i="20" s="1"/>
  <c r="F97" i="3"/>
  <c r="F186" i="20" s="1"/>
  <c r="H97" i="3"/>
  <c r="F195" i="20" s="1"/>
  <c r="J97" i="3"/>
  <c r="K97" i="3" s="1"/>
  <c r="G204" i="20" s="1"/>
  <c r="B98" i="3"/>
  <c r="F169" i="20" s="1"/>
  <c r="D98" i="3"/>
  <c r="E98" i="3" s="1"/>
  <c r="G178" i="20" s="1"/>
  <c r="F98" i="3"/>
  <c r="H98" i="3"/>
  <c r="F196" i="20" s="1"/>
  <c r="J98" i="3"/>
  <c r="F205" i="20" s="1"/>
  <c r="B99" i="3"/>
  <c r="C99" i="3" s="1"/>
  <c r="G170" i="20" s="1"/>
  <c r="D99" i="3"/>
  <c r="E99" i="3" s="1"/>
  <c r="G179" i="20" s="1"/>
  <c r="F99" i="3"/>
  <c r="F188" i="20" s="1"/>
  <c r="H99" i="3"/>
  <c r="I99" i="3" s="1"/>
  <c r="G197" i="20" s="1"/>
  <c r="J99" i="3"/>
  <c r="K99" i="3" s="1"/>
  <c r="G206" i="20" s="1"/>
  <c r="B100" i="3"/>
  <c r="D100" i="3"/>
  <c r="F100" i="3"/>
  <c r="F189" i="20" s="1"/>
  <c r="H100" i="3"/>
  <c r="I100" i="3" s="1"/>
  <c r="G198" i="20" s="1"/>
  <c r="J100" i="3"/>
  <c r="K100" i="3" s="1"/>
  <c r="G207" i="20" s="1"/>
  <c r="C101" i="3"/>
  <c r="E101" i="3"/>
  <c r="G101" i="3"/>
  <c r="I101" i="3"/>
  <c r="K101" i="3"/>
  <c r="C102" i="3"/>
  <c r="E102" i="3"/>
  <c r="G102" i="3"/>
  <c r="I102" i="3"/>
  <c r="K102" i="3"/>
  <c r="B103" i="3"/>
  <c r="C103" i="3" s="1"/>
  <c r="G210" i="20" s="1"/>
  <c r="D103" i="3"/>
  <c r="E103" i="3" s="1"/>
  <c r="G219" i="20" s="1"/>
  <c r="F103" i="3"/>
  <c r="F228" i="20" s="1"/>
  <c r="H103" i="3"/>
  <c r="F237" i="20" s="1"/>
  <c r="J103" i="3"/>
  <c r="K103" i="3" s="1"/>
  <c r="G246" i="20" s="1"/>
  <c r="B104" i="3"/>
  <c r="C104" i="3" s="1"/>
  <c r="G211" i="20" s="1"/>
  <c r="D104" i="3"/>
  <c r="F220" i="20" s="1"/>
  <c r="F104" i="3"/>
  <c r="G104" i="3" s="1"/>
  <c r="G229" i="20" s="1"/>
  <c r="H104" i="3"/>
  <c r="F238" i="20" s="1"/>
  <c r="J104" i="3"/>
  <c r="B105" i="3"/>
  <c r="D105" i="3"/>
  <c r="F221" i="20" s="1"/>
  <c r="F105" i="3"/>
  <c r="F230" i="20" s="1"/>
  <c r="H105" i="3"/>
  <c r="I105" i="3" s="1"/>
  <c r="G239" i="20" s="1"/>
  <c r="J105" i="3"/>
  <c r="F248" i="20" s="1"/>
  <c r="B106" i="3"/>
  <c r="F213" i="20" s="1"/>
  <c r="D106" i="3"/>
  <c r="F222" i="20" s="1"/>
  <c r="F106" i="3"/>
  <c r="H106" i="3"/>
  <c r="J106" i="3"/>
  <c r="F249" i="20" s="1"/>
  <c r="B107" i="3"/>
  <c r="C107" i="3" s="1"/>
  <c r="G214" i="20" s="1"/>
  <c r="D107" i="3"/>
  <c r="E107" i="3" s="1"/>
  <c r="G223" i="20" s="1"/>
  <c r="F107" i="3"/>
  <c r="G107" i="3" s="1"/>
  <c r="G232" i="20" s="1"/>
  <c r="H107" i="3"/>
  <c r="F241" i="20" s="1"/>
  <c r="J107" i="3"/>
  <c r="B108" i="3"/>
  <c r="D108" i="3"/>
  <c r="F108" i="3"/>
  <c r="F233" i="20" s="1"/>
  <c r="H108" i="3"/>
  <c r="F242" i="20" s="1"/>
  <c r="J108" i="3"/>
  <c r="K108" i="3" s="1"/>
  <c r="G251" i="20" s="1"/>
  <c r="B109" i="3"/>
  <c r="C109" i="3" s="1"/>
  <c r="G216" i="20" s="1"/>
  <c r="D109" i="3"/>
  <c r="F225" i="20" s="1"/>
  <c r="F109" i="3"/>
  <c r="F234" i="20" s="1"/>
  <c r="H109" i="3"/>
  <c r="J109" i="3"/>
  <c r="C112" i="3"/>
  <c r="E112" i="3"/>
  <c r="G112" i="3"/>
  <c r="I112" i="3"/>
  <c r="K112" i="3"/>
  <c r="B113" i="3"/>
  <c r="I3" i="20" s="1"/>
  <c r="D113" i="3"/>
  <c r="F113" i="3"/>
  <c r="I113" i="3"/>
  <c r="K113" i="3"/>
  <c r="B114" i="3"/>
  <c r="C114" i="3" s="1"/>
  <c r="J4" i="20" s="1"/>
  <c r="D114" i="3"/>
  <c r="I13" i="20" s="1"/>
  <c r="F114" i="3"/>
  <c r="G114" i="3" s="1"/>
  <c r="J22" i="20" s="1"/>
  <c r="I114" i="3"/>
  <c r="K114" i="3"/>
  <c r="B115" i="3"/>
  <c r="C115" i="3" s="1"/>
  <c r="J5" i="20" s="1"/>
  <c r="D115" i="3"/>
  <c r="I14" i="20" s="1"/>
  <c r="F115" i="3"/>
  <c r="G115" i="3" s="1"/>
  <c r="J23" i="20" s="1"/>
  <c r="I115" i="3"/>
  <c r="K115" i="3"/>
  <c r="B116" i="3"/>
  <c r="I6" i="20" s="1"/>
  <c r="D116" i="3"/>
  <c r="I15" i="20" s="1"/>
  <c r="F116" i="3"/>
  <c r="G116" i="3" s="1"/>
  <c r="J24" i="20" s="1"/>
  <c r="I116" i="3"/>
  <c r="K116" i="3"/>
  <c r="B117" i="3"/>
  <c r="I7" i="20" s="1"/>
  <c r="D117" i="3"/>
  <c r="I16" i="20" s="1"/>
  <c r="F117" i="3"/>
  <c r="G117" i="3" s="1"/>
  <c r="J25" i="20" s="1"/>
  <c r="I117" i="3"/>
  <c r="K117" i="3"/>
  <c r="B118" i="3"/>
  <c r="C118" i="3" s="1"/>
  <c r="J8" i="20" s="1"/>
  <c r="D118" i="3"/>
  <c r="I17" i="20" s="1"/>
  <c r="F118" i="3"/>
  <c r="G118" i="3" s="1"/>
  <c r="J26" i="20" s="1"/>
  <c r="I118" i="3"/>
  <c r="K118" i="3"/>
  <c r="B119" i="3"/>
  <c r="C119" i="3" s="1"/>
  <c r="J9" i="20" s="1"/>
  <c r="D119" i="3"/>
  <c r="I18" i="20" s="1"/>
  <c r="F119" i="3"/>
  <c r="I119" i="3"/>
  <c r="K119" i="3"/>
  <c r="C120" i="3"/>
  <c r="E120" i="3"/>
  <c r="G120" i="3"/>
  <c r="I120" i="3"/>
  <c r="K120" i="3"/>
  <c r="C121" i="3"/>
  <c r="E121" i="3"/>
  <c r="G121" i="3"/>
  <c r="I121" i="3"/>
  <c r="K121" i="3"/>
  <c r="B122" i="3"/>
  <c r="I30" i="20" s="1"/>
  <c r="D122" i="3"/>
  <c r="E122" i="3" s="1"/>
  <c r="J39" i="20" s="1"/>
  <c r="F122" i="3"/>
  <c r="G122" i="3" s="1"/>
  <c r="J48" i="20" s="1"/>
  <c r="H122" i="3"/>
  <c r="J122" i="3"/>
  <c r="B123" i="3"/>
  <c r="D123" i="3"/>
  <c r="E123" i="3" s="1"/>
  <c r="J40" i="20" s="1"/>
  <c r="F123" i="3"/>
  <c r="I49" i="20" s="1"/>
  <c r="H123" i="3"/>
  <c r="I123" i="3" s="1"/>
  <c r="J58" i="20" s="1"/>
  <c r="J123" i="3"/>
  <c r="I67" i="20" s="1"/>
  <c r="B124" i="3"/>
  <c r="C124" i="3" s="1"/>
  <c r="J32" i="20" s="1"/>
  <c r="D124" i="3"/>
  <c r="E124" i="3" s="1"/>
  <c r="J41" i="20" s="1"/>
  <c r="F124" i="3"/>
  <c r="H124" i="3"/>
  <c r="J124" i="3"/>
  <c r="I68" i="20" s="1"/>
  <c r="B125" i="3"/>
  <c r="I33" i="20" s="1"/>
  <c r="D125" i="3"/>
  <c r="I42" i="20" s="1"/>
  <c r="F125" i="3"/>
  <c r="I51" i="20" s="1"/>
  <c r="H125" i="3"/>
  <c r="I125" i="3" s="1"/>
  <c r="J60" i="20" s="1"/>
  <c r="J125" i="3"/>
  <c r="B126" i="3"/>
  <c r="C126" i="3" s="1"/>
  <c r="J34" i="20" s="1"/>
  <c r="D126" i="3"/>
  <c r="F126" i="3"/>
  <c r="G126" i="3" s="1"/>
  <c r="J52" i="20" s="1"/>
  <c r="H126" i="3"/>
  <c r="I61" i="20" s="1"/>
  <c r="J126" i="3"/>
  <c r="I70" i="20" s="1"/>
  <c r="B127" i="3"/>
  <c r="I35" i="20" s="1"/>
  <c r="D127" i="3"/>
  <c r="E127" i="3" s="1"/>
  <c r="J44" i="20" s="1"/>
  <c r="F127" i="3"/>
  <c r="G127" i="3" s="1"/>
  <c r="J53" i="20" s="1"/>
  <c r="H127" i="3"/>
  <c r="J127" i="3"/>
  <c r="K127" i="3" s="1"/>
  <c r="J71" i="20" s="1"/>
  <c r="B128" i="3"/>
  <c r="I36" i="20" s="1"/>
  <c r="D128" i="3"/>
  <c r="I45" i="20" s="1"/>
  <c r="F128" i="3"/>
  <c r="I54" i="20" s="1"/>
  <c r="H128" i="3"/>
  <c r="I63" i="20" s="1"/>
  <c r="J128" i="3"/>
  <c r="I72" i="20" s="1"/>
  <c r="C129" i="3"/>
  <c r="E129" i="3"/>
  <c r="G129" i="3"/>
  <c r="I129" i="3"/>
  <c r="K129" i="3"/>
  <c r="C130" i="3"/>
  <c r="E130" i="3"/>
  <c r="G130" i="3"/>
  <c r="I130" i="3"/>
  <c r="K130" i="3"/>
  <c r="B131" i="3"/>
  <c r="D131" i="3"/>
  <c r="I84" i="20" s="1"/>
  <c r="F131" i="3"/>
  <c r="I93" i="20" s="1"/>
  <c r="H131" i="3"/>
  <c r="I131" i="3" s="1"/>
  <c r="J102" i="20" s="1"/>
  <c r="J131" i="3"/>
  <c r="K131" i="3" s="1"/>
  <c r="J111" i="20" s="1"/>
  <c r="B132" i="3"/>
  <c r="C132" i="3" s="1"/>
  <c r="J76" i="20" s="1"/>
  <c r="D132" i="3"/>
  <c r="I85" i="20" s="1"/>
  <c r="F132" i="3"/>
  <c r="H132" i="3"/>
  <c r="I103" i="20" s="1"/>
  <c r="J132" i="3"/>
  <c r="K132" i="3" s="1"/>
  <c r="J112" i="20" s="1"/>
  <c r="B133" i="3"/>
  <c r="I77" i="20" s="1"/>
  <c r="D133" i="3"/>
  <c r="E133" i="3" s="1"/>
  <c r="J86" i="20" s="1"/>
  <c r="F133" i="3"/>
  <c r="I95" i="20" s="1"/>
  <c r="H133" i="3"/>
  <c r="I104" i="20" s="1"/>
  <c r="J133" i="3"/>
  <c r="K133" i="3" s="1"/>
  <c r="J113" i="20" s="1"/>
  <c r="B134" i="3"/>
  <c r="C134" i="3" s="1"/>
  <c r="J78" i="20" s="1"/>
  <c r="D134" i="3"/>
  <c r="F134" i="3"/>
  <c r="I96" i="20" s="1"/>
  <c r="H134" i="3"/>
  <c r="I134" i="3" s="1"/>
  <c r="J105" i="20" s="1"/>
  <c r="J134" i="3"/>
  <c r="I114" i="20" s="1"/>
  <c r="B135" i="3"/>
  <c r="I79" i="20" s="1"/>
  <c r="D135" i="3"/>
  <c r="I88" i="20" s="1"/>
  <c r="F135" i="3"/>
  <c r="G135" i="3" s="1"/>
  <c r="J97" i="20" s="1"/>
  <c r="H135" i="3"/>
  <c r="J135" i="3"/>
  <c r="B136" i="3"/>
  <c r="I80" i="20" s="1"/>
  <c r="D136" i="3"/>
  <c r="E136" i="3" s="1"/>
  <c r="J89" i="20" s="1"/>
  <c r="F136" i="3"/>
  <c r="G136" i="3" s="1"/>
  <c r="J98" i="20" s="1"/>
  <c r="H136" i="3"/>
  <c r="I136" i="3" s="1"/>
  <c r="J107" i="20" s="1"/>
  <c r="J136" i="3"/>
  <c r="K136" i="3" s="1"/>
  <c r="J116" i="20" s="1"/>
  <c r="B137" i="3"/>
  <c r="I81" i="20" s="1"/>
  <c r="D137" i="3"/>
  <c r="F137" i="3"/>
  <c r="H137" i="3"/>
  <c r="I137" i="3" s="1"/>
  <c r="J108" i="20" s="1"/>
  <c r="J137" i="3"/>
  <c r="I117" i="20" s="1"/>
  <c r="C138" i="3"/>
  <c r="E138" i="3"/>
  <c r="G138" i="3"/>
  <c r="I138" i="3"/>
  <c r="K138" i="3"/>
  <c r="C139" i="3"/>
  <c r="E139" i="3"/>
  <c r="G139" i="3"/>
  <c r="I139" i="3"/>
  <c r="K139" i="3"/>
  <c r="B140" i="3"/>
  <c r="C140" i="3" s="1"/>
  <c r="J120" i="20" s="1"/>
  <c r="D140" i="3"/>
  <c r="I129" i="20" s="1"/>
  <c r="F140" i="3"/>
  <c r="G140" i="3" s="1"/>
  <c r="J138" i="20" s="1"/>
  <c r="H140" i="3"/>
  <c r="J140" i="3"/>
  <c r="I156" i="20" s="1"/>
  <c r="B141" i="3"/>
  <c r="C141" i="3" s="1"/>
  <c r="J121" i="20" s="1"/>
  <c r="D141" i="3"/>
  <c r="I130" i="20" s="1"/>
  <c r="F141" i="3"/>
  <c r="G141" i="3" s="1"/>
  <c r="J139" i="20" s="1"/>
  <c r="H141" i="3"/>
  <c r="I148" i="20" s="1"/>
  <c r="J141" i="3"/>
  <c r="I157" i="20" s="1"/>
  <c r="B142" i="3"/>
  <c r="D142" i="3"/>
  <c r="F142" i="3"/>
  <c r="G142" i="3" s="1"/>
  <c r="J140" i="20" s="1"/>
  <c r="H142" i="3"/>
  <c r="I149" i="20" s="1"/>
  <c r="J142" i="3"/>
  <c r="I158" i="20" s="1"/>
  <c r="B143" i="3"/>
  <c r="C143" i="3" s="1"/>
  <c r="J123" i="20" s="1"/>
  <c r="D143" i="3"/>
  <c r="E143" i="3" s="1"/>
  <c r="J132" i="20" s="1"/>
  <c r="F143" i="3"/>
  <c r="G143" i="3" s="1"/>
  <c r="J141" i="20" s="1"/>
  <c r="H143" i="3"/>
  <c r="I143" i="3" s="1"/>
  <c r="J150" i="20" s="1"/>
  <c r="J143" i="3"/>
  <c r="B144" i="3"/>
  <c r="C144" i="3" s="1"/>
  <c r="J124" i="20" s="1"/>
  <c r="D144" i="3"/>
  <c r="I133" i="20" s="1"/>
  <c r="F144" i="3"/>
  <c r="I142" i="20" s="1"/>
  <c r="H144" i="3"/>
  <c r="I144" i="3" s="1"/>
  <c r="J151" i="20" s="1"/>
  <c r="J144" i="3"/>
  <c r="I160" i="20" s="1"/>
  <c r="B145" i="3"/>
  <c r="C145" i="3" s="1"/>
  <c r="J125" i="20" s="1"/>
  <c r="D145" i="3"/>
  <c r="F145" i="3"/>
  <c r="G145" i="3" s="1"/>
  <c r="J143" i="20" s="1"/>
  <c r="H145" i="3"/>
  <c r="I145" i="3" s="1"/>
  <c r="J152" i="20" s="1"/>
  <c r="J145" i="3"/>
  <c r="K145" i="3" s="1"/>
  <c r="J161" i="20" s="1"/>
  <c r="B146" i="3"/>
  <c r="I126" i="20" s="1"/>
  <c r="D146" i="3"/>
  <c r="E146" i="3" s="1"/>
  <c r="J135" i="20" s="1"/>
  <c r="F146" i="3"/>
  <c r="G146" i="3" s="1"/>
  <c r="J144" i="20" s="1"/>
  <c r="H146" i="3"/>
  <c r="J146" i="3"/>
  <c r="I162" i="20" s="1"/>
  <c r="C147" i="3"/>
  <c r="E147" i="3"/>
  <c r="G147" i="3"/>
  <c r="I147" i="3"/>
  <c r="K147" i="3"/>
  <c r="C148" i="3"/>
  <c r="E148" i="3"/>
  <c r="G148" i="3"/>
  <c r="I148" i="3"/>
  <c r="K148" i="3"/>
  <c r="B149" i="3"/>
  <c r="I165" i="20" s="1"/>
  <c r="D149" i="3"/>
  <c r="E149" i="3" s="1"/>
  <c r="J174" i="20" s="1"/>
  <c r="F149" i="3"/>
  <c r="I183" i="20" s="1"/>
  <c r="H149" i="3"/>
  <c r="I149" i="3" s="1"/>
  <c r="J192" i="20" s="1"/>
  <c r="J149" i="3"/>
  <c r="K149" i="3" s="1"/>
  <c r="J201" i="20" s="1"/>
  <c r="B150" i="3"/>
  <c r="C150" i="3" s="1"/>
  <c r="J166" i="20" s="1"/>
  <c r="D150" i="3"/>
  <c r="E150" i="3" s="1"/>
  <c r="J175" i="20" s="1"/>
  <c r="F150" i="3"/>
  <c r="I184" i="20" s="1"/>
  <c r="H150" i="3"/>
  <c r="I150" i="3" s="1"/>
  <c r="J193" i="20" s="1"/>
  <c r="J150" i="3"/>
  <c r="K150" i="3" s="1"/>
  <c r="J202" i="20" s="1"/>
  <c r="B151" i="3"/>
  <c r="I167" i="20" s="1"/>
  <c r="D151" i="3"/>
  <c r="I176" i="20" s="1"/>
  <c r="F151" i="3"/>
  <c r="G151" i="3" s="1"/>
  <c r="J185" i="20" s="1"/>
  <c r="H151" i="3"/>
  <c r="J151" i="3"/>
  <c r="I203" i="20" s="1"/>
  <c r="B152" i="3"/>
  <c r="I168" i="20" s="1"/>
  <c r="D152" i="3"/>
  <c r="I177" i="20" s="1"/>
  <c r="F152" i="3"/>
  <c r="G152" i="3" s="1"/>
  <c r="J186" i="20" s="1"/>
  <c r="H152" i="3"/>
  <c r="I152" i="3" s="1"/>
  <c r="J195" i="20" s="1"/>
  <c r="J152" i="3"/>
  <c r="K152" i="3" s="1"/>
  <c r="J204" i="20" s="1"/>
  <c r="B153" i="3"/>
  <c r="C153" i="3" s="1"/>
  <c r="J169" i="20" s="1"/>
  <c r="D153" i="3"/>
  <c r="F153" i="3"/>
  <c r="I187" i="20" s="1"/>
  <c r="H153" i="3"/>
  <c r="I196" i="20" s="1"/>
  <c r="J153" i="3"/>
  <c r="I205" i="20" s="1"/>
  <c r="B154" i="3"/>
  <c r="C154" i="3" s="1"/>
  <c r="J170" i="20" s="1"/>
  <c r="D154" i="3"/>
  <c r="E154" i="3" s="1"/>
  <c r="J179" i="20" s="1"/>
  <c r="F154" i="3"/>
  <c r="G154" i="3" s="1"/>
  <c r="J188" i="20" s="1"/>
  <c r="H154" i="3"/>
  <c r="I154" i="3" s="1"/>
  <c r="J197" i="20" s="1"/>
  <c r="J154" i="3"/>
  <c r="B155" i="3"/>
  <c r="D155" i="3"/>
  <c r="E155" i="3" s="1"/>
  <c r="J180" i="20" s="1"/>
  <c r="F155" i="3"/>
  <c r="I189" i="20" s="1"/>
  <c r="H155" i="3"/>
  <c r="I198" i="20" s="1"/>
  <c r="J155" i="3"/>
  <c r="K155" i="3" s="1"/>
  <c r="J207" i="20" s="1"/>
  <c r="C156" i="3"/>
  <c r="E156" i="3"/>
  <c r="G156" i="3"/>
  <c r="I156" i="3"/>
  <c r="K156" i="3"/>
  <c r="C157" i="3"/>
  <c r="E157" i="3"/>
  <c r="G157" i="3"/>
  <c r="I157" i="3"/>
  <c r="K157" i="3"/>
  <c r="B158" i="3"/>
  <c r="D158" i="3"/>
  <c r="F158" i="3"/>
  <c r="I228" i="20" s="1"/>
  <c r="H158" i="3"/>
  <c r="I237" i="20" s="1"/>
  <c r="J158" i="3"/>
  <c r="K158" i="3" s="1"/>
  <c r="J246" i="20" s="1"/>
  <c r="B159" i="3"/>
  <c r="C159" i="3" s="1"/>
  <c r="J211" i="20" s="1"/>
  <c r="D159" i="3"/>
  <c r="E159" i="3" s="1"/>
  <c r="J220" i="20" s="1"/>
  <c r="F159" i="3"/>
  <c r="G159" i="3" s="1"/>
  <c r="J229" i="20" s="1"/>
  <c r="H159" i="3"/>
  <c r="I238" i="20" s="1"/>
  <c r="J159" i="3"/>
  <c r="B160" i="3"/>
  <c r="C160" i="3" s="1"/>
  <c r="J212" i="20" s="1"/>
  <c r="D160" i="3"/>
  <c r="I221" i="20" s="1"/>
  <c r="F160" i="3"/>
  <c r="I230" i="20" s="1"/>
  <c r="H160" i="3"/>
  <c r="I239" i="20" s="1"/>
  <c r="J160" i="3"/>
  <c r="I248" i="20" s="1"/>
  <c r="B161" i="3"/>
  <c r="I213" i="20" s="1"/>
  <c r="D161" i="3"/>
  <c r="I222" i="20" s="1"/>
  <c r="F161" i="3"/>
  <c r="H161" i="3"/>
  <c r="I161" i="3" s="1"/>
  <c r="J240" i="20" s="1"/>
  <c r="J161" i="3"/>
  <c r="I249" i="20" s="1"/>
  <c r="B162" i="3"/>
  <c r="C162" i="3" s="1"/>
  <c r="J214" i="20" s="1"/>
  <c r="D162" i="3"/>
  <c r="I223" i="20" s="1"/>
  <c r="F162" i="3"/>
  <c r="I232" i="20" s="1"/>
  <c r="H162" i="3"/>
  <c r="I241" i="20" s="1"/>
  <c r="J162" i="3"/>
  <c r="K162" i="3" s="1"/>
  <c r="J250" i="20" s="1"/>
  <c r="B163" i="3"/>
  <c r="I215" i="20" s="1"/>
  <c r="D163" i="3"/>
  <c r="I224" i="20" s="1"/>
  <c r="F163" i="3"/>
  <c r="G163" i="3" s="1"/>
  <c r="J233" i="20" s="1"/>
  <c r="H163" i="3"/>
  <c r="I163" i="3" s="1"/>
  <c r="J242" i="20" s="1"/>
  <c r="J163" i="3"/>
  <c r="K163" i="3" s="1"/>
  <c r="J251" i="20" s="1"/>
  <c r="B164" i="3"/>
  <c r="I216" i="20" s="1"/>
  <c r="D164" i="3"/>
  <c r="E164" i="3" s="1"/>
  <c r="J225" i="20" s="1"/>
  <c r="F164" i="3"/>
  <c r="H164" i="3"/>
  <c r="J164" i="3"/>
  <c r="K164" i="3" s="1"/>
  <c r="J252" i="20" s="1"/>
  <c r="C167" i="3"/>
  <c r="E167" i="3"/>
  <c r="G167" i="3"/>
  <c r="I167" i="3"/>
  <c r="K167" i="3"/>
  <c r="B168" i="3"/>
  <c r="D168" i="3"/>
  <c r="F168" i="3"/>
  <c r="G168" i="3" s="1"/>
  <c r="M21" i="20" s="1"/>
  <c r="I168" i="3"/>
  <c r="K168" i="3"/>
  <c r="B169" i="3"/>
  <c r="L4" i="20" s="1"/>
  <c r="D169" i="3"/>
  <c r="L13" i="20" s="1"/>
  <c r="F169" i="3"/>
  <c r="G169" i="3" s="1"/>
  <c r="M22" i="20" s="1"/>
  <c r="I169" i="3"/>
  <c r="K169" i="3"/>
  <c r="B170" i="3"/>
  <c r="L5" i="20" s="1"/>
  <c r="D170" i="3"/>
  <c r="L14" i="20" s="1"/>
  <c r="F170" i="3"/>
  <c r="G170" i="3" s="1"/>
  <c r="M23" i="20" s="1"/>
  <c r="I170" i="3"/>
  <c r="K170" i="3"/>
  <c r="B171" i="3"/>
  <c r="C171" i="3" s="1"/>
  <c r="M6" i="20" s="1"/>
  <c r="D171" i="3"/>
  <c r="L15" i="20" s="1"/>
  <c r="F171" i="3"/>
  <c r="I171" i="3"/>
  <c r="K171" i="3"/>
  <c r="B172" i="3"/>
  <c r="C172" i="3" s="1"/>
  <c r="M7" i="20" s="1"/>
  <c r="D172" i="3"/>
  <c r="L16" i="20" s="1"/>
  <c r="F172" i="3"/>
  <c r="G172" i="3" s="1"/>
  <c r="M25" i="20" s="1"/>
  <c r="I172" i="3"/>
  <c r="K172" i="3"/>
  <c r="B173" i="3"/>
  <c r="C173" i="3" s="1"/>
  <c r="M8" i="20" s="1"/>
  <c r="D173" i="3"/>
  <c r="L17" i="20" s="1"/>
  <c r="F173" i="3"/>
  <c r="G173" i="3" s="1"/>
  <c r="M26" i="20" s="1"/>
  <c r="I173" i="3"/>
  <c r="K173" i="3"/>
  <c r="B174" i="3"/>
  <c r="C174" i="3" s="1"/>
  <c r="M9" i="20" s="1"/>
  <c r="D174" i="3"/>
  <c r="L18" i="20" s="1"/>
  <c r="F174" i="3"/>
  <c r="I174" i="3"/>
  <c r="K174" i="3"/>
  <c r="C175" i="3"/>
  <c r="E175" i="3"/>
  <c r="G175" i="3"/>
  <c r="I175" i="3"/>
  <c r="K175" i="3"/>
  <c r="C176" i="3"/>
  <c r="E176" i="3"/>
  <c r="G176" i="3"/>
  <c r="I176" i="3"/>
  <c r="K176" i="3"/>
  <c r="B177" i="3"/>
  <c r="L30" i="20" s="1"/>
  <c r="D177" i="3"/>
  <c r="E177" i="3" s="1"/>
  <c r="M39" i="20" s="1"/>
  <c r="F177" i="3"/>
  <c r="L48" i="20" s="1"/>
  <c r="H177" i="3"/>
  <c r="L57" i="20" s="1"/>
  <c r="J177" i="3"/>
  <c r="B178" i="3"/>
  <c r="L31" i="20" s="1"/>
  <c r="D178" i="3"/>
  <c r="L40" i="20" s="1"/>
  <c r="F178" i="3"/>
  <c r="G178" i="3" s="1"/>
  <c r="M49" i="20" s="1"/>
  <c r="H178" i="3"/>
  <c r="I178" i="3" s="1"/>
  <c r="M58" i="20" s="1"/>
  <c r="J178" i="3"/>
  <c r="L67" i="20" s="1"/>
  <c r="B179" i="3"/>
  <c r="C179" i="3" s="1"/>
  <c r="M32" i="20" s="1"/>
  <c r="D179" i="3"/>
  <c r="F179" i="3"/>
  <c r="H179" i="3"/>
  <c r="I179" i="3" s="1"/>
  <c r="M59" i="20" s="1"/>
  <c r="J179" i="3"/>
  <c r="L68" i="20" s="1"/>
  <c r="B180" i="3"/>
  <c r="L33" i="20" s="1"/>
  <c r="D180" i="3"/>
  <c r="L42" i="20" s="1"/>
  <c r="F180" i="3"/>
  <c r="L51" i="20" s="1"/>
  <c r="H180" i="3"/>
  <c r="L60" i="20" s="1"/>
  <c r="J180" i="3"/>
  <c r="L69" i="20" s="1"/>
  <c r="B181" i="3"/>
  <c r="L34" i="20" s="1"/>
  <c r="D181" i="3"/>
  <c r="L43" i="20" s="1"/>
  <c r="F181" i="3"/>
  <c r="G181" i="3" s="1"/>
  <c r="M52" i="20" s="1"/>
  <c r="H181" i="3"/>
  <c r="I181" i="3" s="1"/>
  <c r="M61" i="20" s="1"/>
  <c r="J181" i="3"/>
  <c r="L70" i="20" s="1"/>
  <c r="B182" i="3"/>
  <c r="L35" i="20" s="1"/>
  <c r="D182" i="3"/>
  <c r="E182" i="3" s="1"/>
  <c r="M44" i="20" s="1"/>
  <c r="F182" i="3"/>
  <c r="L53" i="20" s="1"/>
  <c r="H182" i="3"/>
  <c r="L62" i="20" s="1"/>
  <c r="J182" i="3"/>
  <c r="K182" i="3" s="1"/>
  <c r="M71" i="20" s="1"/>
  <c r="B183" i="3"/>
  <c r="L36" i="20" s="1"/>
  <c r="D183" i="3"/>
  <c r="E183" i="3" s="1"/>
  <c r="M45" i="20" s="1"/>
  <c r="F183" i="3"/>
  <c r="G183" i="3" s="1"/>
  <c r="M54" i="20" s="1"/>
  <c r="H183" i="3"/>
  <c r="I183" i="3" s="1"/>
  <c r="M63" i="20" s="1"/>
  <c r="J183" i="3"/>
  <c r="K183" i="3" s="1"/>
  <c r="M72" i="20" s="1"/>
  <c r="C184" i="3"/>
  <c r="E184" i="3"/>
  <c r="G184" i="3"/>
  <c r="I184" i="3"/>
  <c r="K184" i="3"/>
  <c r="C185" i="3"/>
  <c r="E185" i="3"/>
  <c r="G185" i="3"/>
  <c r="I185" i="3"/>
  <c r="K185" i="3"/>
  <c r="B186" i="3"/>
  <c r="C186" i="3" s="1"/>
  <c r="M75" i="20" s="1"/>
  <c r="D186" i="3"/>
  <c r="E186" i="3" s="1"/>
  <c r="M84" i="20" s="1"/>
  <c r="F186" i="3"/>
  <c r="L93" i="20" s="1"/>
  <c r="H186" i="3"/>
  <c r="L102" i="20" s="1"/>
  <c r="J186" i="3"/>
  <c r="K186" i="3" s="1"/>
  <c r="M111" i="20" s="1"/>
  <c r="B187" i="3"/>
  <c r="L76" i="20" s="1"/>
  <c r="D187" i="3"/>
  <c r="F187" i="3"/>
  <c r="G187" i="3" s="1"/>
  <c r="M94" i="20" s="1"/>
  <c r="H187" i="3"/>
  <c r="L103" i="20" s="1"/>
  <c r="J187" i="3"/>
  <c r="K187" i="3" s="1"/>
  <c r="M112" i="20" s="1"/>
  <c r="B188" i="3"/>
  <c r="C188" i="3" s="1"/>
  <c r="M77" i="20" s="1"/>
  <c r="D188" i="3"/>
  <c r="L86" i="20" s="1"/>
  <c r="F188" i="3"/>
  <c r="G188" i="3" s="1"/>
  <c r="M95" i="20" s="1"/>
  <c r="H188" i="3"/>
  <c r="L104" i="20" s="1"/>
  <c r="J188" i="3"/>
  <c r="L113" i="20" s="1"/>
  <c r="B189" i="3"/>
  <c r="L78" i="20" s="1"/>
  <c r="D189" i="3"/>
  <c r="E189" i="3" s="1"/>
  <c r="M87" i="20" s="1"/>
  <c r="F189" i="3"/>
  <c r="L96" i="20" s="1"/>
  <c r="H189" i="3"/>
  <c r="L105" i="20" s="1"/>
  <c r="J189" i="3"/>
  <c r="K189" i="3" s="1"/>
  <c r="M114" i="20" s="1"/>
  <c r="B190" i="3"/>
  <c r="C190" i="3" s="1"/>
  <c r="M79" i="20" s="1"/>
  <c r="D190" i="3"/>
  <c r="L88" i="20" s="1"/>
  <c r="F190" i="3"/>
  <c r="H190" i="3"/>
  <c r="L106" i="20" s="1"/>
  <c r="J190" i="3"/>
  <c r="K190" i="3" s="1"/>
  <c r="M115" i="20" s="1"/>
  <c r="B191" i="3"/>
  <c r="L80" i="20" s="1"/>
  <c r="D191" i="3"/>
  <c r="E191" i="3" s="1"/>
  <c r="M89" i="20" s="1"/>
  <c r="F191" i="3"/>
  <c r="G191" i="3" s="1"/>
  <c r="M98" i="20" s="1"/>
  <c r="H191" i="3"/>
  <c r="L107" i="20" s="1"/>
  <c r="J191" i="3"/>
  <c r="B192" i="3"/>
  <c r="D192" i="3"/>
  <c r="E192" i="3" s="1"/>
  <c r="M90" i="20" s="1"/>
  <c r="F192" i="3"/>
  <c r="L99" i="20" s="1"/>
  <c r="H192" i="3"/>
  <c r="I192" i="3" s="1"/>
  <c r="M108" i="20" s="1"/>
  <c r="J192" i="3"/>
  <c r="L117" i="20" s="1"/>
  <c r="C193" i="3"/>
  <c r="E193" i="3"/>
  <c r="G193" i="3"/>
  <c r="I193" i="3"/>
  <c r="K193" i="3"/>
  <c r="C194" i="3"/>
  <c r="E194" i="3"/>
  <c r="G194" i="3"/>
  <c r="I194" i="3"/>
  <c r="K194" i="3"/>
  <c r="B195" i="3"/>
  <c r="L120" i="20" s="1"/>
  <c r="D195" i="3"/>
  <c r="L129" i="20" s="1"/>
  <c r="F195" i="3"/>
  <c r="H195" i="3"/>
  <c r="I195" i="3" s="1"/>
  <c r="M147" i="20" s="1"/>
  <c r="J195" i="3"/>
  <c r="K195" i="3" s="1"/>
  <c r="M156" i="20" s="1"/>
  <c r="B196" i="3"/>
  <c r="C196" i="3" s="1"/>
  <c r="M121" i="20" s="1"/>
  <c r="D196" i="3"/>
  <c r="E196" i="3" s="1"/>
  <c r="M130" i="20" s="1"/>
  <c r="F196" i="3"/>
  <c r="G196" i="3" s="1"/>
  <c r="M139" i="20" s="1"/>
  <c r="H196" i="3"/>
  <c r="L148" i="20" s="1"/>
  <c r="J196" i="3"/>
  <c r="B197" i="3"/>
  <c r="C197" i="3" s="1"/>
  <c r="M122" i="20" s="1"/>
  <c r="D197" i="3"/>
  <c r="L131" i="20" s="1"/>
  <c r="F197" i="3"/>
  <c r="G197" i="3" s="1"/>
  <c r="M140" i="20" s="1"/>
  <c r="H197" i="3"/>
  <c r="L149" i="20" s="1"/>
  <c r="J197" i="3"/>
  <c r="K197" i="3" s="1"/>
  <c r="M158" i="20" s="1"/>
  <c r="B198" i="3"/>
  <c r="L123" i="20" s="1"/>
  <c r="D198" i="3"/>
  <c r="L132" i="20" s="1"/>
  <c r="F198" i="3"/>
  <c r="L141" i="20" s="1"/>
  <c r="H198" i="3"/>
  <c r="I198" i="3" s="1"/>
  <c r="M150" i="20" s="1"/>
  <c r="J198" i="3"/>
  <c r="K198" i="3" s="1"/>
  <c r="M159" i="20" s="1"/>
  <c r="B199" i="3"/>
  <c r="C199" i="3" s="1"/>
  <c r="M124" i="20" s="1"/>
  <c r="D199" i="3"/>
  <c r="E199" i="3" s="1"/>
  <c r="M133" i="20" s="1"/>
  <c r="F199" i="3"/>
  <c r="G199" i="3" s="1"/>
  <c r="M142" i="20" s="1"/>
  <c r="H199" i="3"/>
  <c r="I199" i="3" s="1"/>
  <c r="M151" i="20" s="1"/>
  <c r="J199" i="3"/>
  <c r="L160" i="20" s="1"/>
  <c r="B200" i="3"/>
  <c r="C200" i="3" s="1"/>
  <c r="M125" i="20" s="1"/>
  <c r="D200" i="3"/>
  <c r="F200" i="3"/>
  <c r="L143" i="20" s="1"/>
  <c r="H200" i="3"/>
  <c r="I200" i="3" s="1"/>
  <c r="M152" i="20" s="1"/>
  <c r="J200" i="3"/>
  <c r="L161" i="20" s="1"/>
  <c r="B201" i="3"/>
  <c r="L126" i="20" s="1"/>
  <c r="D201" i="3"/>
  <c r="E201" i="3" s="1"/>
  <c r="M135" i="20" s="1"/>
  <c r="F201" i="3"/>
  <c r="G201" i="3" s="1"/>
  <c r="M144" i="20" s="1"/>
  <c r="H201" i="3"/>
  <c r="I201" i="3" s="1"/>
  <c r="M153" i="20" s="1"/>
  <c r="J201" i="3"/>
  <c r="L162" i="20" s="1"/>
  <c r="C202" i="3"/>
  <c r="E202" i="3"/>
  <c r="G202" i="3"/>
  <c r="I202" i="3"/>
  <c r="K202" i="3"/>
  <c r="C203" i="3"/>
  <c r="E203" i="3"/>
  <c r="G203" i="3"/>
  <c r="I203" i="3"/>
  <c r="K203" i="3"/>
  <c r="B204" i="3"/>
  <c r="L165" i="20" s="1"/>
  <c r="D204" i="3"/>
  <c r="L174" i="20" s="1"/>
  <c r="F204" i="3"/>
  <c r="L183" i="20" s="1"/>
  <c r="H204" i="3"/>
  <c r="L192" i="20" s="1"/>
  <c r="J204" i="3"/>
  <c r="L201" i="20" s="1"/>
  <c r="B205" i="3"/>
  <c r="L166" i="20" s="1"/>
  <c r="D205" i="3"/>
  <c r="E205" i="3" s="1"/>
  <c r="M175" i="20" s="1"/>
  <c r="F205" i="3"/>
  <c r="L184" i="20" s="1"/>
  <c r="H205" i="3"/>
  <c r="I205" i="3" s="1"/>
  <c r="M193" i="20" s="1"/>
  <c r="J205" i="3"/>
  <c r="K205" i="3" s="1"/>
  <c r="M202" i="20" s="1"/>
  <c r="B206" i="3"/>
  <c r="C206" i="3" s="1"/>
  <c r="M167" i="20" s="1"/>
  <c r="D206" i="3"/>
  <c r="L176" i="20" s="1"/>
  <c r="F206" i="3"/>
  <c r="H206" i="3"/>
  <c r="J206" i="3"/>
  <c r="K206" i="3" s="1"/>
  <c r="M203" i="20" s="1"/>
  <c r="B207" i="3"/>
  <c r="L168" i="20" s="1"/>
  <c r="D207" i="3"/>
  <c r="E207" i="3" s="1"/>
  <c r="M177" i="20" s="1"/>
  <c r="F207" i="3"/>
  <c r="L186" i="20" s="1"/>
  <c r="H207" i="3"/>
  <c r="I207" i="3" s="1"/>
  <c r="M195" i="20" s="1"/>
  <c r="J207" i="3"/>
  <c r="L204" i="20" s="1"/>
  <c r="B208" i="3"/>
  <c r="D208" i="3"/>
  <c r="F208" i="3"/>
  <c r="L187" i="20" s="1"/>
  <c r="H208" i="3"/>
  <c r="I208" i="3" s="1"/>
  <c r="M196" i="20" s="1"/>
  <c r="J208" i="3"/>
  <c r="K208" i="3" s="1"/>
  <c r="M205" i="20" s="1"/>
  <c r="B209" i="3"/>
  <c r="C209" i="3" s="1"/>
  <c r="M170" i="20" s="1"/>
  <c r="D209" i="3"/>
  <c r="L179" i="20" s="1"/>
  <c r="F209" i="3"/>
  <c r="H209" i="3"/>
  <c r="L197" i="20" s="1"/>
  <c r="J209" i="3"/>
  <c r="B210" i="3"/>
  <c r="C210" i="3" s="1"/>
  <c r="M171" i="20" s="1"/>
  <c r="D210" i="3"/>
  <c r="L180" i="20" s="1"/>
  <c r="F210" i="3"/>
  <c r="G210" i="3" s="1"/>
  <c r="M189" i="20" s="1"/>
  <c r="H210" i="3"/>
  <c r="L198" i="20" s="1"/>
  <c r="J210" i="3"/>
  <c r="L207" i="20" s="1"/>
  <c r="C211" i="3"/>
  <c r="E211" i="3"/>
  <c r="G211" i="3"/>
  <c r="I211" i="3"/>
  <c r="K211" i="3"/>
  <c r="C212" i="3"/>
  <c r="E212" i="3"/>
  <c r="G212" i="3"/>
  <c r="I212" i="3"/>
  <c r="K212" i="3"/>
  <c r="B213" i="3"/>
  <c r="D213" i="3"/>
  <c r="E213" i="3" s="1"/>
  <c r="M219" i="20" s="1"/>
  <c r="F213" i="3"/>
  <c r="G213" i="3" s="1"/>
  <c r="M228" i="20" s="1"/>
  <c r="H213" i="3"/>
  <c r="I213" i="3" s="1"/>
  <c r="M237" i="20" s="1"/>
  <c r="J213" i="3"/>
  <c r="K213" i="3" s="1"/>
  <c r="M246" i="20" s="1"/>
  <c r="B214" i="3"/>
  <c r="C214" i="3" s="1"/>
  <c r="M211" i="20" s="1"/>
  <c r="D214" i="3"/>
  <c r="E214" i="3" s="1"/>
  <c r="M220" i="20" s="1"/>
  <c r="F214" i="3"/>
  <c r="G214" i="3" s="1"/>
  <c r="M229" i="20" s="1"/>
  <c r="H214" i="3"/>
  <c r="L238" i="20" s="1"/>
  <c r="J214" i="3"/>
  <c r="L247" i="20" s="1"/>
  <c r="B215" i="3"/>
  <c r="C215" i="3" s="1"/>
  <c r="M212" i="20" s="1"/>
  <c r="D215" i="3"/>
  <c r="E215" i="3" s="1"/>
  <c r="M221" i="20" s="1"/>
  <c r="F215" i="3"/>
  <c r="G215" i="3" s="1"/>
  <c r="M230" i="20" s="1"/>
  <c r="H215" i="3"/>
  <c r="L239" i="20" s="1"/>
  <c r="J215" i="3"/>
  <c r="L248" i="20" s="1"/>
  <c r="B216" i="3"/>
  <c r="C216" i="3" s="1"/>
  <c r="M213" i="20" s="1"/>
  <c r="D216" i="3"/>
  <c r="F216" i="3"/>
  <c r="G216" i="3" s="1"/>
  <c r="M231" i="20" s="1"/>
  <c r="H216" i="3"/>
  <c r="I216" i="3" s="1"/>
  <c r="M240" i="20" s="1"/>
  <c r="J216" i="3"/>
  <c r="K216" i="3" s="1"/>
  <c r="M249" i="20" s="1"/>
  <c r="B217" i="3"/>
  <c r="C217" i="3" s="1"/>
  <c r="M214" i="20" s="1"/>
  <c r="D217" i="3"/>
  <c r="E217" i="3" s="1"/>
  <c r="M223" i="20" s="1"/>
  <c r="F217" i="3"/>
  <c r="H217" i="3"/>
  <c r="J217" i="3"/>
  <c r="K217" i="3" s="1"/>
  <c r="M250" i="20" s="1"/>
  <c r="B218" i="3"/>
  <c r="L215" i="20" s="1"/>
  <c r="D218" i="3"/>
  <c r="E218" i="3" s="1"/>
  <c r="M224" i="20" s="1"/>
  <c r="F218" i="3"/>
  <c r="G218" i="3" s="1"/>
  <c r="M233" i="20" s="1"/>
  <c r="H218" i="3"/>
  <c r="I218" i="3" s="1"/>
  <c r="M242" i="20" s="1"/>
  <c r="J218" i="3"/>
  <c r="L251" i="20" s="1"/>
  <c r="B219" i="3"/>
  <c r="C219" i="3" s="1"/>
  <c r="M216" i="20" s="1"/>
  <c r="D219" i="3"/>
  <c r="F219" i="3"/>
  <c r="H219" i="3"/>
  <c r="I219" i="3" s="1"/>
  <c r="M243" i="20" s="1"/>
  <c r="J219" i="3"/>
  <c r="K219" i="3" s="1"/>
  <c r="M252" i="20" s="1"/>
  <c r="C222" i="3"/>
  <c r="E222" i="3"/>
  <c r="G222" i="3"/>
  <c r="I222" i="3"/>
  <c r="K222" i="3"/>
  <c r="B223" i="3"/>
  <c r="D223" i="3"/>
  <c r="O12" i="20" s="1"/>
  <c r="F223" i="3"/>
  <c r="G223" i="3" s="1"/>
  <c r="P21" i="20" s="1"/>
  <c r="I223" i="3"/>
  <c r="K223" i="3"/>
  <c r="B224" i="3"/>
  <c r="C224" i="3" s="1"/>
  <c r="P4" i="20" s="1"/>
  <c r="D224" i="3"/>
  <c r="E224" i="3" s="1"/>
  <c r="P13" i="20" s="1"/>
  <c r="F224" i="3"/>
  <c r="G224" i="3" s="1"/>
  <c r="P22" i="20" s="1"/>
  <c r="I224" i="3"/>
  <c r="K224" i="3"/>
  <c r="B225" i="3"/>
  <c r="O5" i="20" s="1"/>
  <c r="D225" i="3"/>
  <c r="E225" i="3" s="1"/>
  <c r="P14" i="20" s="1"/>
  <c r="F225" i="3"/>
  <c r="O23" i="20" s="1"/>
  <c r="I225" i="3"/>
  <c r="K225" i="3"/>
  <c r="B226" i="3"/>
  <c r="D226" i="3"/>
  <c r="O15" i="20" s="1"/>
  <c r="F226" i="3"/>
  <c r="G226" i="3" s="1"/>
  <c r="P24" i="20" s="1"/>
  <c r="I226" i="3"/>
  <c r="K226" i="3"/>
  <c r="B227" i="3"/>
  <c r="O7" i="20" s="1"/>
  <c r="D227" i="3"/>
  <c r="E227" i="3" s="1"/>
  <c r="P16" i="20" s="1"/>
  <c r="F227" i="3"/>
  <c r="G227" i="3" s="1"/>
  <c r="P25" i="20" s="1"/>
  <c r="I227" i="3"/>
  <c r="K227" i="3"/>
  <c r="B228" i="3"/>
  <c r="O8" i="20" s="1"/>
  <c r="D228" i="3"/>
  <c r="O17" i="20" s="1"/>
  <c r="F228" i="3"/>
  <c r="O26" i="20" s="1"/>
  <c r="I228" i="3"/>
  <c r="K228" i="3"/>
  <c r="B229" i="3"/>
  <c r="O9" i="20" s="1"/>
  <c r="D229" i="3"/>
  <c r="E229" i="3" s="1"/>
  <c r="P18" i="20" s="1"/>
  <c r="F229" i="3"/>
  <c r="H229" i="3"/>
  <c r="I229" i="3" s="1"/>
  <c r="K229" i="3"/>
  <c r="C230" i="3"/>
  <c r="E230" i="3"/>
  <c r="G230" i="3"/>
  <c r="I230" i="3"/>
  <c r="K230" i="3"/>
  <c r="B231" i="3"/>
  <c r="O30" i="20" s="1"/>
  <c r="D231" i="3"/>
  <c r="O39" i="20" s="1"/>
  <c r="F231" i="3"/>
  <c r="G231" i="3" s="1"/>
  <c r="P48" i="20" s="1"/>
  <c r="H231" i="3"/>
  <c r="I231" i="3" s="1"/>
  <c r="P57" i="20" s="1"/>
  <c r="J231" i="3"/>
  <c r="O66" i="20" s="1"/>
  <c r="B232" i="3"/>
  <c r="O31" i="20" s="1"/>
  <c r="D232" i="3"/>
  <c r="E232" i="3" s="1"/>
  <c r="P40" i="20" s="1"/>
  <c r="F232" i="3"/>
  <c r="H232" i="3"/>
  <c r="I232" i="3" s="1"/>
  <c r="P58" i="20" s="1"/>
  <c r="J232" i="3"/>
  <c r="O67" i="20" s="1"/>
  <c r="B233" i="3"/>
  <c r="C233" i="3" s="1"/>
  <c r="P32" i="20" s="1"/>
  <c r="D233" i="3"/>
  <c r="E233" i="3" s="1"/>
  <c r="P41" i="20" s="1"/>
  <c r="F233" i="3"/>
  <c r="O50" i="20" s="1"/>
  <c r="H233" i="3"/>
  <c r="I233" i="3" s="1"/>
  <c r="P59" i="20" s="1"/>
  <c r="J233" i="3"/>
  <c r="K233" i="3" s="1"/>
  <c r="P68" i="20" s="1"/>
  <c r="B234" i="3"/>
  <c r="C234" i="3" s="1"/>
  <c r="P33" i="20" s="1"/>
  <c r="D234" i="3"/>
  <c r="F234" i="3"/>
  <c r="O51" i="20" s="1"/>
  <c r="H234" i="3"/>
  <c r="O60" i="20" s="1"/>
  <c r="J234" i="3"/>
  <c r="O69" i="20" s="1"/>
  <c r="B235" i="3"/>
  <c r="O34" i="20" s="1"/>
  <c r="D235" i="3"/>
  <c r="O43" i="20" s="1"/>
  <c r="F235" i="3"/>
  <c r="O52" i="20" s="1"/>
  <c r="H235" i="3"/>
  <c r="J235" i="3"/>
  <c r="B236" i="3"/>
  <c r="C236" i="3" s="1"/>
  <c r="P35" i="20" s="1"/>
  <c r="D236" i="3"/>
  <c r="O44" i="20" s="1"/>
  <c r="F236" i="3"/>
  <c r="O53" i="20" s="1"/>
  <c r="H236" i="3"/>
  <c r="I236" i="3" s="1"/>
  <c r="P62" i="20" s="1"/>
  <c r="J236" i="3"/>
  <c r="O71" i="20" s="1"/>
  <c r="B237" i="3"/>
  <c r="O36" i="20" s="1"/>
  <c r="D237" i="3"/>
  <c r="O45" i="20" s="1"/>
  <c r="F237" i="3"/>
  <c r="H237" i="3"/>
  <c r="O63" i="20" s="1"/>
  <c r="J237" i="3"/>
  <c r="O72" i="20" s="1"/>
  <c r="C238" i="3"/>
  <c r="E238" i="3"/>
  <c r="G238" i="3"/>
  <c r="I238" i="3"/>
  <c r="K238" i="3"/>
  <c r="C239" i="3"/>
  <c r="E239" i="3"/>
  <c r="G239" i="3"/>
  <c r="I239" i="3"/>
  <c r="K239" i="3"/>
  <c r="B240" i="3"/>
  <c r="C240" i="3" s="1"/>
  <c r="P75" i="20" s="1"/>
  <c r="D240" i="3"/>
  <c r="O84" i="20" s="1"/>
  <c r="F240" i="3"/>
  <c r="H240" i="3"/>
  <c r="O102" i="20" s="1"/>
  <c r="J240" i="3"/>
  <c r="O111" i="20" s="1"/>
  <c r="B241" i="3"/>
  <c r="O76" i="20" s="1"/>
  <c r="D241" i="3"/>
  <c r="E241" i="3" s="1"/>
  <c r="P85" i="20" s="1"/>
  <c r="F241" i="3"/>
  <c r="O94" i="20" s="1"/>
  <c r="H241" i="3"/>
  <c r="O103" i="20" s="1"/>
  <c r="J241" i="3"/>
  <c r="O112" i="20" s="1"/>
  <c r="B242" i="3"/>
  <c r="C242" i="3" s="1"/>
  <c r="P77" i="20" s="1"/>
  <c r="D242" i="3"/>
  <c r="F242" i="3"/>
  <c r="O95" i="20" s="1"/>
  <c r="H242" i="3"/>
  <c r="I242" i="3" s="1"/>
  <c r="P104" i="20" s="1"/>
  <c r="J242" i="3"/>
  <c r="K242" i="3" s="1"/>
  <c r="P113" i="20" s="1"/>
  <c r="B243" i="3"/>
  <c r="O78" i="20" s="1"/>
  <c r="D243" i="3"/>
  <c r="E243" i="3" s="1"/>
  <c r="P87" i="20" s="1"/>
  <c r="F243" i="3"/>
  <c r="O96" i="20" s="1"/>
  <c r="H243" i="3"/>
  <c r="I243" i="3" s="1"/>
  <c r="P105" i="20" s="1"/>
  <c r="J243" i="3"/>
  <c r="B244" i="3"/>
  <c r="C244" i="3" s="1"/>
  <c r="P79" i="20" s="1"/>
  <c r="D244" i="3"/>
  <c r="O88" i="20" s="1"/>
  <c r="F244" i="3"/>
  <c r="O97" i="20" s="1"/>
  <c r="H244" i="3"/>
  <c r="I244" i="3" s="1"/>
  <c r="P106" i="20" s="1"/>
  <c r="J244" i="3"/>
  <c r="O115" i="20" s="1"/>
  <c r="B245" i="3"/>
  <c r="D245" i="3"/>
  <c r="E245" i="3" s="1"/>
  <c r="P89" i="20" s="1"/>
  <c r="F245" i="3"/>
  <c r="H245" i="3"/>
  <c r="I245" i="3" s="1"/>
  <c r="P107" i="20" s="1"/>
  <c r="J245" i="3"/>
  <c r="K245" i="3" s="1"/>
  <c r="P116" i="20" s="1"/>
  <c r="B246" i="3"/>
  <c r="C246" i="3" s="1"/>
  <c r="P81" i="20" s="1"/>
  <c r="D246" i="3"/>
  <c r="O90" i="20" s="1"/>
  <c r="F246" i="3"/>
  <c r="G246" i="3" s="1"/>
  <c r="P99" i="20" s="1"/>
  <c r="H246" i="3"/>
  <c r="O108" i="20" s="1"/>
  <c r="J246" i="3"/>
  <c r="K246" i="3" s="1"/>
  <c r="P117" i="20" s="1"/>
  <c r="C248" i="3"/>
  <c r="E248" i="3"/>
  <c r="G248" i="3"/>
  <c r="I248" i="3"/>
  <c r="K248" i="3"/>
  <c r="B249" i="3"/>
  <c r="C249" i="3" s="1"/>
  <c r="P120" i="20" s="1"/>
  <c r="D249" i="3"/>
  <c r="E249" i="3" s="1"/>
  <c r="P129" i="20" s="1"/>
  <c r="F249" i="3"/>
  <c r="H249" i="3"/>
  <c r="J249" i="3"/>
  <c r="O156" i="20" s="1"/>
  <c r="B250" i="3"/>
  <c r="O121" i="20" s="1"/>
  <c r="D250" i="3"/>
  <c r="O130" i="20" s="1"/>
  <c r="F250" i="3"/>
  <c r="G250" i="3" s="1"/>
  <c r="P139" i="20" s="1"/>
  <c r="H250" i="3"/>
  <c r="O148" i="20" s="1"/>
  <c r="J250" i="3"/>
  <c r="O157" i="20" s="1"/>
  <c r="B251" i="3"/>
  <c r="D251" i="3"/>
  <c r="F251" i="3"/>
  <c r="G251" i="3" s="1"/>
  <c r="P140" i="20" s="1"/>
  <c r="H251" i="3"/>
  <c r="O149" i="20" s="1"/>
  <c r="J251" i="3"/>
  <c r="O158" i="20" s="1"/>
  <c r="B252" i="3"/>
  <c r="O123" i="20" s="1"/>
  <c r="D252" i="3"/>
  <c r="O132" i="20" s="1"/>
  <c r="F252" i="3"/>
  <c r="O141" i="20" s="1"/>
  <c r="H252" i="3"/>
  <c r="J252" i="3"/>
  <c r="O159" i="20" s="1"/>
  <c r="B253" i="3"/>
  <c r="C253" i="3" s="1"/>
  <c r="P124" i="20" s="1"/>
  <c r="D253" i="3"/>
  <c r="O133" i="20" s="1"/>
  <c r="F253" i="3"/>
  <c r="O142" i="20" s="1"/>
  <c r="H253" i="3"/>
  <c r="O151" i="20" s="1"/>
  <c r="J253" i="3"/>
  <c r="K253" i="3" s="1"/>
  <c r="P160" i="20" s="1"/>
  <c r="B254" i="3"/>
  <c r="D254" i="3"/>
  <c r="F254" i="3"/>
  <c r="H254" i="3"/>
  <c r="I254" i="3" s="1"/>
  <c r="P152" i="20" s="1"/>
  <c r="J254" i="3"/>
  <c r="O161" i="20" s="1"/>
  <c r="B255" i="3"/>
  <c r="O126" i="20" s="1"/>
  <c r="D255" i="3"/>
  <c r="O135" i="20" s="1"/>
  <c r="F255" i="3"/>
  <c r="G255" i="3" s="1"/>
  <c r="P144" i="20" s="1"/>
  <c r="H255" i="3"/>
  <c r="I255" i="3" s="1"/>
  <c r="P153" i="20" s="1"/>
  <c r="J255" i="3"/>
  <c r="C256" i="3"/>
  <c r="E256" i="3"/>
  <c r="G256" i="3"/>
  <c r="I256" i="3"/>
  <c r="K256" i="3"/>
  <c r="C257" i="3"/>
  <c r="E257" i="3"/>
  <c r="G257" i="3"/>
  <c r="I257" i="3"/>
  <c r="K257" i="3"/>
  <c r="B258" i="3"/>
  <c r="C258" i="3" s="1"/>
  <c r="P165" i="20" s="1"/>
  <c r="D258" i="3"/>
  <c r="E258" i="3" s="1"/>
  <c r="P174" i="20" s="1"/>
  <c r="F258" i="3"/>
  <c r="G258" i="3" s="1"/>
  <c r="P183" i="20" s="1"/>
  <c r="H258" i="3"/>
  <c r="I258" i="3" s="1"/>
  <c r="P192" i="20" s="1"/>
  <c r="J258" i="3"/>
  <c r="O201" i="20" s="1"/>
  <c r="B259" i="3"/>
  <c r="D259" i="3"/>
  <c r="F259" i="3"/>
  <c r="G259" i="3" s="1"/>
  <c r="P184" i="20" s="1"/>
  <c r="H259" i="3"/>
  <c r="I259" i="3" s="1"/>
  <c r="P193" i="20" s="1"/>
  <c r="J259" i="3"/>
  <c r="O202" i="20" s="1"/>
  <c r="B260" i="3"/>
  <c r="O167" i="20" s="1"/>
  <c r="D260" i="3"/>
  <c r="E260" i="3" s="1"/>
  <c r="P176" i="20" s="1"/>
  <c r="F260" i="3"/>
  <c r="G260" i="3" s="1"/>
  <c r="P185" i="20" s="1"/>
  <c r="H260" i="3"/>
  <c r="O194" i="20" s="1"/>
  <c r="J260" i="3"/>
  <c r="B261" i="3"/>
  <c r="C261" i="3" s="1"/>
  <c r="P168" i="20" s="1"/>
  <c r="D261" i="3"/>
  <c r="O177" i="20" s="1"/>
  <c r="F261" i="3"/>
  <c r="G261" i="3" s="1"/>
  <c r="P186" i="20" s="1"/>
  <c r="H261" i="3"/>
  <c r="I261" i="3" s="1"/>
  <c r="P195" i="20" s="1"/>
  <c r="J261" i="3"/>
  <c r="K261" i="3" s="1"/>
  <c r="P204" i="20" s="1"/>
  <c r="B262" i="3"/>
  <c r="O169" i="20" s="1"/>
  <c r="D262" i="3"/>
  <c r="E262" i="3" s="1"/>
  <c r="P178" i="20" s="1"/>
  <c r="F262" i="3"/>
  <c r="O187" i="20" s="1"/>
  <c r="H262" i="3"/>
  <c r="I262" i="3" s="1"/>
  <c r="P196" i="20" s="1"/>
  <c r="J262" i="3"/>
  <c r="K262" i="3" s="1"/>
  <c r="P205" i="20" s="1"/>
  <c r="B263" i="3"/>
  <c r="O170" i="20" s="1"/>
  <c r="D263" i="3"/>
  <c r="O179" i="20" s="1"/>
  <c r="F263" i="3"/>
  <c r="G263" i="3" s="1"/>
  <c r="P188" i="20" s="1"/>
  <c r="H263" i="3"/>
  <c r="I263" i="3" s="1"/>
  <c r="P197" i="20" s="1"/>
  <c r="J263" i="3"/>
  <c r="B264" i="3"/>
  <c r="D264" i="3"/>
  <c r="E264" i="3" s="1"/>
  <c r="P180" i="20" s="1"/>
  <c r="F264" i="3"/>
  <c r="G264" i="3" s="1"/>
  <c r="P189" i="20" s="1"/>
  <c r="H264" i="3"/>
  <c r="I264" i="3" s="1"/>
  <c r="P198" i="20" s="1"/>
  <c r="J264" i="3"/>
  <c r="K264" i="3" s="1"/>
  <c r="P207" i="20" s="1"/>
  <c r="B265" i="3"/>
  <c r="C265" i="3" s="1"/>
  <c r="D265" i="3"/>
  <c r="E265" i="3" s="1"/>
  <c r="F265" i="3"/>
  <c r="G265" i="3" s="1"/>
  <c r="H265" i="3"/>
  <c r="I265" i="3" s="1"/>
  <c r="J265" i="3"/>
  <c r="K265" i="3" s="1"/>
  <c r="C266" i="3"/>
  <c r="E266" i="3"/>
  <c r="G266" i="3"/>
  <c r="I266" i="3"/>
  <c r="K266" i="3"/>
  <c r="B267" i="3"/>
  <c r="O210" i="20" s="1"/>
  <c r="D267" i="3"/>
  <c r="F267" i="3"/>
  <c r="G267" i="3" s="1"/>
  <c r="P228" i="20" s="1"/>
  <c r="H267" i="3"/>
  <c r="I267" i="3" s="1"/>
  <c r="P237" i="20" s="1"/>
  <c r="J267" i="3"/>
  <c r="O246" i="20" s="1"/>
  <c r="B268" i="3"/>
  <c r="C268" i="3" s="1"/>
  <c r="P211" i="20" s="1"/>
  <c r="D268" i="3"/>
  <c r="O220" i="20" s="1"/>
  <c r="F268" i="3"/>
  <c r="O229" i="20" s="1"/>
  <c r="H268" i="3"/>
  <c r="J268" i="3"/>
  <c r="B269" i="3"/>
  <c r="C269" i="3" s="1"/>
  <c r="P212" i="20" s="1"/>
  <c r="D269" i="3"/>
  <c r="E269" i="3" s="1"/>
  <c r="P221" i="20" s="1"/>
  <c r="F269" i="3"/>
  <c r="O230" i="20" s="1"/>
  <c r="H269" i="3"/>
  <c r="O239" i="20" s="1"/>
  <c r="J269" i="3"/>
  <c r="K269" i="3" s="1"/>
  <c r="P248" i="20" s="1"/>
  <c r="B270" i="3"/>
  <c r="O213" i="20" s="1"/>
  <c r="D270" i="3"/>
  <c r="F270" i="3"/>
  <c r="H270" i="3"/>
  <c r="I270" i="3" s="1"/>
  <c r="P240" i="20" s="1"/>
  <c r="J270" i="3"/>
  <c r="O249" i="20" s="1"/>
  <c r="B271" i="3"/>
  <c r="O214" i="20" s="1"/>
  <c r="D271" i="3"/>
  <c r="E271" i="3" s="1"/>
  <c r="P223" i="20" s="1"/>
  <c r="F271" i="3"/>
  <c r="G271" i="3" s="1"/>
  <c r="P232" i="20" s="1"/>
  <c r="H271" i="3"/>
  <c r="O241" i="20" s="1"/>
  <c r="J271" i="3"/>
  <c r="O250" i="20" s="1"/>
  <c r="B272" i="3"/>
  <c r="D272" i="3"/>
  <c r="O224" i="20" s="1"/>
  <c r="F272" i="3"/>
  <c r="G272" i="3" s="1"/>
  <c r="P233" i="20" s="1"/>
  <c r="H272" i="3"/>
  <c r="O242" i="20" s="1"/>
  <c r="J272" i="3"/>
  <c r="K272" i="3" s="1"/>
  <c r="P251" i="20" s="1"/>
  <c r="B273" i="3"/>
  <c r="C273" i="3" s="1"/>
  <c r="P216" i="20" s="1"/>
  <c r="D273" i="3"/>
  <c r="E273" i="3" s="1"/>
  <c r="P225" i="20" s="1"/>
  <c r="F273" i="3"/>
  <c r="O234" i="20" s="1"/>
  <c r="H273" i="3"/>
  <c r="I273" i="3" s="1"/>
  <c r="P243" i="20" s="1"/>
  <c r="J273" i="3"/>
  <c r="O252" i="20" s="1"/>
  <c r="B3" i="5"/>
  <c r="C3" i="5"/>
  <c r="D3" i="5"/>
  <c r="B4" i="5"/>
  <c r="C4" i="5"/>
  <c r="D4" i="5"/>
  <c r="B5" i="5"/>
  <c r="C5" i="5"/>
  <c r="D5" i="5"/>
  <c r="B6" i="5"/>
  <c r="C6" i="5"/>
  <c r="D6" i="5"/>
  <c r="B7" i="5"/>
  <c r="C7" i="5"/>
  <c r="D7" i="5"/>
  <c r="B8" i="5"/>
  <c r="C8" i="5"/>
  <c r="D8" i="5"/>
  <c r="B9" i="5"/>
  <c r="C9" i="5"/>
  <c r="D9" i="5"/>
  <c r="B12" i="5"/>
  <c r="C12" i="5"/>
  <c r="D12" i="5"/>
  <c r="E12" i="5"/>
  <c r="F12" i="5"/>
  <c r="B13" i="5"/>
  <c r="C13" i="5"/>
  <c r="D13" i="5"/>
  <c r="E13" i="5"/>
  <c r="F13" i="5"/>
  <c r="B14" i="5"/>
  <c r="C14" i="5"/>
  <c r="D14" i="5"/>
  <c r="E14" i="5"/>
  <c r="F14" i="5"/>
  <c r="B15" i="5"/>
  <c r="C15" i="5"/>
  <c r="D15" i="5"/>
  <c r="E15" i="5"/>
  <c r="F15" i="5"/>
  <c r="B16" i="5"/>
  <c r="C16" i="5"/>
  <c r="D16" i="5"/>
  <c r="E16" i="5"/>
  <c r="F16" i="5"/>
  <c r="B17" i="5"/>
  <c r="C17" i="5"/>
  <c r="D17" i="5"/>
  <c r="E17" i="5"/>
  <c r="F17" i="5"/>
  <c r="B18" i="5"/>
  <c r="C18" i="5"/>
  <c r="D18" i="5"/>
  <c r="E18" i="5"/>
  <c r="F18" i="5"/>
  <c r="B21" i="5"/>
  <c r="C21" i="5"/>
  <c r="D21" i="5"/>
  <c r="E21" i="5"/>
  <c r="F21" i="5"/>
  <c r="B22" i="5"/>
  <c r="C22" i="5"/>
  <c r="D22" i="5"/>
  <c r="E22" i="5"/>
  <c r="F22" i="5"/>
  <c r="B23" i="5"/>
  <c r="C23" i="5"/>
  <c r="D23" i="5"/>
  <c r="E23" i="5"/>
  <c r="F23" i="5"/>
  <c r="B24" i="5"/>
  <c r="C24" i="5"/>
  <c r="D24" i="5"/>
  <c r="E24" i="5"/>
  <c r="F24" i="5"/>
  <c r="B25" i="5"/>
  <c r="C25" i="5"/>
  <c r="D25" i="5"/>
  <c r="E25" i="5"/>
  <c r="F25" i="5"/>
  <c r="B26" i="5"/>
  <c r="C26" i="5"/>
  <c r="D26" i="5"/>
  <c r="E26" i="5"/>
  <c r="F26" i="5"/>
  <c r="B27" i="5"/>
  <c r="C27" i="5"/>
  <c r="D27" i="5"/>
  <c r="E27" i="5"/>
  <c r="F27" i="5"/>
  <c r="B30" i="5"/>
  <c r="C30" i="5"/>
  <c r="D30" i="5"/>
  <c r="E30" i="5"/>
  <c r="F30" i="5"/>
  <c r="B31" i="5"/>
  <c r="C31" i="5"/>
  <c r="D31" i="5"/>
  <c r="E31" i="5"/>
  <c r="F31" i="5"/>
  <c r="B32" i="5"/>
  <c r="C32" i="5"/>
  <c r="D32" i="5"/>
  <c r="E32" i="5"/>
  <c r="F32" i="5"/>
  <c r="B33" i="5"/>
  <c r="C33" i="5"/>
  <c r="D33" i="5"/>
  <c r="E33" i="5"/>
  <c r="F33" i="5"/>
  <c r="B34" i="5"/>
  <c r="C34" i="5"/>
  <c r="D34" i="5"/>
  <c r="E34" i="5"/>
  <c r="F34" i="5"/>
  <c r="B35" i="5"/>
  <c r="C35" i="5"/>
  <c r="D35" i="5"/>
  <c r="E35" i="5"/>
  <c r="F35" i="5"/>
  <c r="B36" i="5"/>
  <c r="C36" i="5"/>
  <c r="D36" i="5"/>
  <c r="E36" i="5"/>
  <c r="F36" i="5"/>
  <c r="B39" i="5"/>
  <c r="C39" i="5"/>
  <c r="D39" i="5"/>
  <c r="E39" i="5"/>
  <c r="F39" i="5"/>
  <c r="B40" i="5"/>
  <c r="C40" i="5"/>
  <c r="D40" i="5"/>
  <c r="E40" i="5"/>
  <c r="F40" i="5"/>
  <c r="B41" i="5"/>
  <c r="C41" i="5"/>
  <c r="D41" i="5"/>
  <c r="E41" i="5"/>
  <c r="F41" i="5"/>
  <c r="B42" i="5"/>
  <c r="C42" i="5"/>
  <c r="D42" i="5"/>
  <c r="E42" i="5"/>
  <c r="F42" i="5"/>
  <c r="B43" i="5"/>
  <c r="C43" i="5"/>
  <c r="D43" i="5"/>
  <c r="E43" i="5"/>
  <c r="F43" i="5"/>
  <c r="B44" i="5"/>
  <c r="C44" i="5"/>
  <c r="D44" i="5"/>
  <c r="E44" i="5"/>
  <c r="F44" i="5"/>
  <c r="B45" i="5"/>
  <c r="C45" i="5"/>
  <c r="D45" i="5"/>
  <c r="E45" i="5"/>
  <c r="F45" i="5"/>
  <c r="B48" i="5"/>
  <c r="C48" i="5"/>
  <c r="D48" i="5"/>
  <c r="E48" i="5"/>
  <c r="F48" i="5"/>
  <c r="B49" i="5"/>
  <c r="C49" i="5"/>
  <c r="D49" i="5"/>
  <c r="E49" i="5"/>
  <c r="F49" i="5"/>
  <c r="B50" i="5"/>
  <c r="C50" i="5"/>
  <c r="D50" i="5"/>
  <c r="E50" i="5"/>
  <c r="F50" i="5"/>
  <c r="B51" i="5"/>
  <c r="C51" i="5"/>
  <c r="D51" i="5"/>
  <c r="E51" i="5"/>
  <c r="F51" i="5"/>
  <c r="B52" i="5"/>
  <c r="C52" i="5"/>
  <c r="D52" i="5"/>
  <c r="E52" i="5"/>
  <c r="F52" i="5"/>
  <c r="B53" i="5"/>
  <c r="C53" i="5"/>
  <c r="D53" i="5"/>
  <c r="E53" i="5"/>
  <c r="F53" i="5"/>
  <c r="B54" i="5"/>
  <c r="C54" i="5"/>
  <c r="D54" i="5"/>
  <c r="E54" i="5"/>
  <c r="F54" i="5"/>
  <c r="B58" i="5"/>
  <c r="C58" i="5"/>
  <c r="D58" i="5"/>
  <c r="B59" i="5"/>
  <c r="C59" i="5"/>
  <c r="D59" i="5"/>
  <c r="B60" i="5"/>
  <c r="C60" i="5"/>
  <c r="D60" i="5"/>
  <c r="B61" i="5"/>
  <c r="C61" i="5"/>
  <c r="D61" i="5"/>
  <c r="B62" i="5"/>
  <c r="C62" i="5"/>
  <c r="D62" i="5"/>
  <c r="B63" i="5"/>
  <c r="C63" i="5"/>
  <c r="D63" i="5"/>
  <c r="B64" i="5"/>
  <c r="C64" i="5"/>
  <c r="D64" i="5"/>
  <c r="B67" i="5"/>
  <c r="C67" i="5"/>
  <c r="D67" i="5"/>
  <c r="E67" i="5"/>
  <c r="F67" i="5"/>
  <c r="B68" i="5"/>
  <c r="C68" i="5"/>
  <c r="D68" i="5"/>
  <c r="E68" i="5"/>
  <c r="F68" i="5"/>
  <c r="B69" i="5"/>
  <c r="C69" i="5"/>
  <c r="D69" i="5"/>
  <c r="E69" i="5"/>
  <c r="F69" i="5"/>
  <c r="B70" i="5"/>
  <c r="C70" i="5"/>
  <c r="D70" i="5"/>
  <c r="E70" i="5"/>
  <c r="F70" i="5"/>
  <c r="B71" i="5"/>
  <c r="C71" i="5"/>
  <c r="D71" i="5"/>
  <c r="E71" i="5"/>
  <c r="F71" i="5"/>
  <c r="B72" i="5"/>
  <c r="C72" i="5"/>
  <c r="D72" i="5"/>
  <c r="E72" i="5"/>
  <c r="F72" i="5"/>
  <c r="B73" i="5"/>
  <c r="C73" i="5"/>
  <c r="D73" i="5"/>
  <c r="E73" i="5"/>
  <c r="F73" i="5"/>
  <c r="B74" i="5"/>
  <c r="B77" i="5"/>
  <c r="C77" i="5"/>
  <c r="D77" i="5"/>
  <c r="E77" i="5"/>
  <c r="F77" i="5"/>
  <c r="B78" i="5"/>
  <c r="C78" i="5"/>
  <c r="D78" i="5"/>
  <c r="E78" i="5"/>
  <c r="F78" i="5"/>
  <c r="B79" i="5"/>
  <c r="C79" i="5"/>
  <c r="D79" i="5"/>
  <c r="E79" i="5"/>
  <c r="F79" i="5"/>
  <c r="B80" i="5"/>
  <c r="C80" i="5"/>
  <c r="D80" i="5"/>
  <c r="E80" i="5"/>
  <c r="F80" i="5"/>
  <c r="B81" i="5"/>
  <c r="C81" i="5"/>
  <c r="D81" i="5"/>
  <c r="E81" i="5"/>
  <c r="F81" i="5"/>
  <c r="B82" i="5"/>
  <c r="C82" i="5"/>
  <c r="D82" i="5"/>
  <c r="E82" i="5"/>
  <c r="F82" i="5"/>
  <c r="B83" i="5"/>
  <c r="C83" i="5"/>
  <c r="D83" i="5"/>
  <c r="E83" i="5"/>
  <c r="F83" i="5"/>
  <c r="B87" i="5"/>
  <c r="C87" i="5"/>
  <c r="D87" i="5"/>
  <c r="E87" i="5"/>
  <c r="F87" i="5"/>
  <c r="B88" i="5"/>
  <c r="C88" i="5"/>
  <c r="D88" i="5"/>
  <c r="E88" i="5"/>
  <c r="F88" i="5"/>
  <c r="B89" i="5"/>
  <c r="C89" i="5"/>
  <c r="D89" i="5"/>
  <c r="E89" i="5"/>
  <c r="F89" i="5"/>
  <c r="B90" i="5"/>
  <c r="C90" i="5"/>
  <c r="D90" i="5"/>
  <c r="E90" i="5"/>
  <c r="F90" i="5"/>
  <c r="B91" i="5"/>
  <c r="C91" i="5"/>
  <c r="D91" i="5"/>
  <c r="E91" i="5"/>
  <c r="F91" i="5"/>
  <c r="B92" i="5"/>
  <c r="C92" i="5"/>
  <c r="D92" i="5"/>
  <c r="E92" i="5"/>
  <c r="F92" i="5"/>
  <c r="B93" i="5"/>
  <c r="C93" i="5"/>
  <c r="D93" i="5"/>
  <c r="E93" i="5"/>
  <c r="F93" i="5"/>
  <c r="B96" i="5"/>
  <c r="C96" i="5"/>
  <c r="D96" i="5"/>
  <c r="E96" i="5"/>
  <c r="F96" i="5"/>
  <c r="B97" i="5"/>
  <c r="C97" i="5"/>
  <c r="D97" i="5"/>
  <c r="E97" i="5"/>
  <c r="F97" i="5"/>
  <c r="B98" i="5"/>
  <c r="C98" i="5"/>
  <c r="D98" i="5"/>
  <c r="E98" i="5"/>
  <c r="F98" i="5"/>
  <c r="B99" i="5"/>
  <c r="C99" i="5"/>
  <c r="D99" i="5"/>
  <c r="E99" i="5"/>
  <c r="F99" i="5"/>
  <c r="B100" i="5"/>
  <c r="C100" i="5"/>
  <c r="D100" i="5"/>
  <c r="E100" i="5"/>
  <c r="F100" i="5"/>
  <c r="B101" i="5"/>
  <c r="C101" i="5"/>
  <c r="D101" i="5"/>
  <c r="E101" i="5"/>
  <c r="F101" i="5"/>
  <c r="B102" i="5"/>
  <c r="C102" i="5"/>
  <c r="D102" i="5"/>
  <c r="E102" i="5"/>
  <c r="F102" i="5"/>
  <c r="B105" i="5"/>
  <c r="C105" i="5"/>
  <c r="D105" i="5"/>
  <c r="E105" i="5"/>
  <c r="F105" i="5"/>
  <c r="B106" i="5"/>
  <c r="C106" i="5"/>
  <c r="D106" i="5"/>
  <c r="E106" i="5"/>
  <c r="F106" i="5"/>
  <c r="B107" i="5"/>
  <c r="C107" i="5"/>
  <c r="D107" i="5"/>
  <c r="E107" i="5"/>
  <c r="F107" i="5"/>
  <c r="B108" i="5"/>
  <c r="C108" i="5"/>
  <c r="D108" i="5"/>
  <c r="E108" i="5"/>
  <c r="F108" i="5"/>
  <c r="B109" i="5"/>
  <c r="C109" i="5"/>
  <c r="D109" i="5"/>
  <c r="E109" i="5"/>
  <c r="F109" i="5"/>
  <c r="B110" i="5"/>
  <c r="C110" i="5"/>
  <c r="D110" i="5"/>
  <c r="E110" i="5"/>
  <c r="F110" i="5"/>
  <c r="B111" i="5"/>
  <c r="C111" i="5"/>
  <c r="D111" i="5"/>
  <c r="E111" i="5"/>
  <c r="F111" i="5"/>
  <c r="B115" i="5"/>
  <c r="C115" i="5"/>
  <c r="D115" i="5"/>
  <c r="B116" i="5"/>
  <c r="C116" i="5"/>
  <c r="D116" i="5"/>
  <c r="B117" i="5"/>
  <c r="C117" i="5"/>
  <c r="D117" i="5"/>
  <c r="B118" i="5"/>
  <c r="C118" i="5"/>
  <c r="D118" i="5"/>
  <c r="B119" i="5"/>
  <c r="C119" i="5"/>
  <c r="D119" i="5"/>
  <c r="B120" i="5"/>
  <c r="C120" i="5"/>
  <c r="D120" i="5"/>
  <c r="B124" i="5"/>
  <c r="C124" i="5"/>
  <c r="D124" i="5"/>
  <c r="E124" i="5"/>
  <c r="F124" i="5"/>
  <c r="B125" i="5"/>
  <c r="C125" i="5"/>
  <c r="D125" i="5"/>
  <c r="E125" i="5"/>
  <c r="F125" i="5"/>
  <c r="B126" i="5"/>
  <c r="C126" i="5"/>
  <c r="D126" i="5"/>
  <c r="E126" i="5"/>
  <c r="F126" i="5"/>
  <c r="B127" i="5"/>
  <c r="C127" i="5"/>
  <c r="D127" i="5"/>
  <c r="E127" i="5"/>
  <c r="F127" i="5"/>
  <c r="B128" i="5"/>
  <c r="C128" i="5"/>
  <c r="D128" i="5"/>
  <c r="E128" i="5"/>
  <c r="F128" i="5"/>
  <c r="B129" i="5"/>
  <c r="C129" i="5"/>
  <c r="D129" i="5"/>
  <c r="E129" i="5"/>
  <c r="F129" i="5"/>
  <c r="C131" i="5"/>
  <c r="B134" i="5"/>
  <c r="C134" i="5"/>
  <c r="D134" i="5"/>
  <c r="E134" i="5"/>
  <c r="F134" i="5"/>
  <c r="B135" i="5"/>
  <c r="C135" i="5"/>
  <c r="D135" i="5"/>
  <c r="E135" i="5"/>
  <c r="F135" i="5"/>
  <c r="B136" i="5"/>
  <c r="C136" i="5"/>
  <c r="D136" i="5"/>
  <c r="E136" i="5"/>
  <c r="F136" i="5"/>
  <c r="B137" i="5"/>
  <c r="C137" i="5"/>
  <c r="D137" i="5"/>
  <c r="E137" i="5"/>
  <c r="F137" i="5"/>
  <c r="B138" i="5"/>
  <c r="C138" i="5"/>
  <c r="D138" i="5"/>
  <c r="E138" i="5"/>
  <c r="F138" i="5"/>
  <c r="B139" i="5"/>
  <c r="C139" i="5"/>
  <c r="D139" i="5"/>
  <c r="E139" i="5"/>
  <c r="F139" i="5"/>
  <c r="B143" i="5"/>
  <c r="C143" i="5"/>
  <c r="D143" i="5"/>
  <c r="E143" i="5"/>
  <c r="F143" i="5"/>
  <c r="B144" i="5"/>
  <c r="C144" i="5"/>
  <c r="D144" i="5"/>
  <c r="E144" i="5"/>
  <c r="F144" i="5"/>
  <c r="B145" i="5"/>
  <c r="C145" i="5"/>
  <c r="D145" i="5"/>
  <c r="E145" i="5"/>
  <c r="F145" i="5"/>
  <c r="B146" i="5"/>
  <c r="C146" i="5"/>
  <c r="D146" i="5"/>
  <c r="E146" i="5"/>
  <c r="F146" i="5"/>
  <c r="B147" i="5"/>
  <c r="C147" i="5"/>
  <c r="D147" i="5"/>
  <c r="E147" i="5"/>
  <c r="F147" i="5"/>
  <c r="B148" i="5"/>
  <c r="C148" i="5"/>
  <c r="D148" i="5"/>
  <c r="E148" i="5"/>
  <c r="F148" i="5"/>
  <c r="B152" i="5"/>
  <c r="C152" i="5"/>
  <c r="D152" i="5"/>
  <c r="E152" i="5"/>
  <c r="F152" i="5"/>
  <c r="B153" i="5"/>
  <c r="C153" i="5"/>
  <c r="D153" i="5"/>
  <c r="E153" i="5"/>
  <c r="F153" i="5"/>
  <c r="B154" i="5"/>
  <c r="C154" i="5"/>
  <c r="D154" i="5"/>
  <c r="E154" i="5"/>
  <c r="F154" i="5"/>
  <c r="B155" i="5"/>
  <c r="C155" i="5"/>
  <c r="D155" i="5"/>
  <c r="E155" i="5"/>
  <c r="F155" i="5"/>
  <c r="B156" i="5"/>
  <c r="C156" i="5"/>
  <c r="D156" i="5"/>
  <c r="E156" i="5"/>
  <c r="F156" i="5"/>
  <c r="B157" i="5"/>
  <c r="C157" i="5"/>
  <c r="D157" i="5"/>
  <c r="E157" i="5"/>
  <c r="F157" i="5"/>
  <c r="B161" i="5"/>
  <c r="C161" i="5"/>
  <c r="D161" i="5"/>
  <c r="E161" i="5"/>
  <c r="F161" i="5"/>
  <c r="B162" i="5"/>
  <c r="C162" i="5"/>
  <c r="D162" i="5"/>
  <c r="E162" i="5"/>
  <c r="F162" i="5"/>
  <c r="B163" i="5"/>
  <c r="C163" i="5"/>
  <c r="D163" i="5"/>
  <c r="E163" i="5"/>
  <c r="F163" i="5"/>
  <c r="B164" i="5"/>
  <c r="C164" i="5"/>
  <c r="D164" i="5"/>
  <c r="E164" i="5"/>
  <c r="F164" i="5"/>
  <c r="B165" i="5"/>
  <c r="C165" i="5"/>
  <c r="D165" i="5"/>
  <c r="E165" i="5"/>
  <c r="F165" i="5"/>
  <c r="B166" i="5"/>
  <c r="C166" i="5"/>
  <c r="D166" i="5"/>
  <c r="E166" i="5"/>
  <c r="F166" i="5"/>
  <c r="B171" i="5"/>
  <c r="C171" i="5"/>
  <c r="D171" i="5"/>
  <c r="B172" i="5"/>
  <c r="C172" i="5"/>
  <c r="D172" i="5"/>
  <c r="B173" i="5"/>
  <c r="C173" i="5"/>
  <c r="D173" i="5"/>
  <c r="B174" i="5"/>
  <c r="C174" i="5"/>
  <c r="D174" i="5"/>
  <c r="B175" i="5"/>
  <c r="C175" i="5"/>
  <c r="D175" i="5"/>
  <c r="B176" i="5"/>
  <c r="C176" i="5"/>
  <c r="D176" i="5"/>
  <c r="B177" i="5"/>
  <c r="C177" i="5"/>
  <c r="D177" i="5"/>
  <c r="B180" i="5"/>
  <c r="C180" i="5"/>
  <c r="D180" i="5"/>
  <c r="E180" i="5"/>
  <c r="F180" i="5"/>
  <c r="B181" i="5"/>
  <c r="C181" i="5"/>
  <c r="D181" i="5"/>
  <c r="E181" i="5"/>
  <c r="F181" i="5"/>
  <c r="B182" i="5"/>
  <c r="C182" i="5"/>
  <c r="D182" i="5"/>
  <c r="E182" i="5"/>
  <c r="F182" i="5"/>
  <c r="B183" i="5"/>
  <c r="C183" i="5"/>
  <c r="D183" i="5"/>
  <c r="E183" i="5"/>
  <c r="F183" i="5"/>
  <c r="B184" i="5"/>
  <c r="C184" i="5"/>
  <c r="D184" i="5"/>
  <c r="E184" i="5"/>
  <c r="F184" i="5"/>
  <c r="B185" i="5"/>
  <c r="C185" i="5"/>
  <c r="D185" i="5"/>
  <c r="E185" i="5"/>
  <c r="F185" i="5"/>
  <c r="B186" i="5"/>
  <c r="C186" i="5"/>
  <c r="D186" i="5"/>
  <c r="E186" i="5"/>
  <c r="F186" i="5"/>
  <c r="B189" i="5"/>
  <c r="C189" i="5"/>
  <c r="D189" i="5"/>
  <c r="E189" i="5"/>
  <c r="F189" i="5"/>
  <c r="B190" i="5"/>
  <c r="C190" i="5"/>
  <c r="D190" i="5"/>
  <c r="E190" i="5"/>
  <c r="F190" i="5"/>
  <c r="B191" i="5"/>
  <c r="C191" i="5"/>
  <c r="D191" i="5"/>
  <c r="E191" i="5"/>
  <c r="F191" i="5"/>
  <c r="B192" i="5"/>
  <c r="C192" i="5"/>
  <c r="D192" i="5"/>
  <c r="E192" i="5"/>
  <c r="F192" i="5"/>
  <c r="B193" i="5"/>
  <c r="C193" i="5"/>
  <c r="D193" i="5"/>
  <c r="E193" i="5"/>
  <c r="F193" i="5"/>
  <c r="B194" i="5"/>
  <c r="C194" i="5"/>
  <c r="D194" i="5"/>
  <c r="E194" i="5"/>
  <c r="F194" i="5"/>
  <c r="B195" i="5"/>
  <c r="C195" i="5"/>
  <c r="D195" i="5"/>
  <c r="E195" i="5"/>
  <c r="F195" i="5"/>
  <c r="B198" i="5"/>
  <c r="C198" i="5"/>
  <c r="D198" i="5"/>
  <c r="E198" i="5"/>
  <c r="F198" i="5"/>
  <c r="B199" i="5"/>
  <c r="C199" i="5"/>
  <c r="D199" i="5"/>
  <c r="E199" i="5"/>
  <c r="F199" i="5"/>
  <c r="B200" i="5"/>
  <c r="C200" i="5"/>
  <c r="D200" i="5"/>
  <c r="E200" i="5"/>
  <c r="F200" i="5"/>
  <c r="B201" i="5"/>
  <c r="C201" i="5"/>
  <c r="D201" i="5"/>
  <c r="E201" i="5"/>
  <c r="F201" i="5"/>
  <c r="B202" i="5"/>
  <c r="C202" i="5"/>
  <c r="D202" i="5"/>
  <c r="E202" i="5"/>
  <c r="F202" i="5"/>
  <c r="B203" i="5"/>
  <c r="C203" i="5"/>
  <c r="D203" i="5"/>
  <c r="E203" i="5"/>
  <c r="F203" i="5"/>
  <c r="B204" i="5"/>
  <c r="C204" i="5"/>
  <c r="D204" i="5"/>
  <c r="E204" i="5"/>
  <c r="F204" i="5"/>
  <c r="B207" i="5"/>
  <c r="C207" i="5"/>
  <c r="D207" i="5"/>
  <c r="E207" i="5"/>
  <c r="F207" i="5"/>
  <c r="B208" i="5"/>
  <c r="C208" i="5"/>
  <c r="D208" i="5"/>
  <c r="E208" i="5"/>
  <c r="F208" i="5"/>
  <c r="B209" i="5"/>
  <c r="C209" i="5"/>
  <c r="D209" i="5"/>
  <c r="E209" i="5"/>
  <c r="F209" i="5"/>
  <c r="B210" i="5"/>
  <c r="C210" i="5"/>
  <c r="D210" i="5"/>
  <c r="E210" i="5"/>
  <c r="F210" i="5"/>
  <c r="B211" i="5"/>
  <c r="C211" i="5"/>
  <c r="D211" i="5"/>
  <c r="E211" i="5"/>
  <c r="F211" i="5"/>
  <c r="B212" i="5"/>
  <c r="C212" i="5"/>
  <c r="D212" i="5"/>
  <c r="E212" i="5"/>
  <c r="F212" i="5"/>
  <c r="B213" i="5"/>
  <c r="C213" i="5"/>
  <c r="D213" i="5"/>
  <c r="E213" i="5"/>
  <c r="F213" i="5"/>
  <c r="B216" i="5"/>
  <c r="C216" i="5"/>
  <c r="D216" i="5"/>
  <c r="E216" i="5"/>
  <c r="F216" i="5"/>
  <c r="B217" i="5"/>
  <c r="C217" i="5"/>
  <c r="D217" i="5"/>
  <c r="E217" i="5"/>
  <c r="F217" i="5"/>
  <c r="B218" i="5"/>
  <c r="C218" i="5"/>
  <c r="D218" i="5"/>
  <c r="E218" i="5"/>
  <c r="F218" i="5"/>
  <c r="B219" i="5"/>
  <c r="C219" i="5"/>
  <c r="D219" i="5"/>
  <c r="E219" i="5"/>
  <c r="F219" i="5"/>
  <c r="B220" i="5"/>
  <c r="C220" i="5"/>
  <c r="D220" i="5"/>
  <c r="E220" i="5"/>
  <c r="F220" i="5"/>
  <c r="B221" i="5"/>
  <c r="C221" i="5"/>
  <c r="D221" i="5"/>
  <c r="E221" i="5"/>
  <c r="F221" i="5"/>
  <c r="B222" i="5"/>
  <c r="C222" i="5"/>
  <c r="D222" i="5"/>
  <c r="E222" i="5"/>
  <c r="F222" i="5"/>
  <c r="B226" i="5"/>
  <c r="C226" i="5"/>
  <c r="D226" i="5"/>
  <c r="B227" i="5"/>
  <c r="C227" i="5"/>
  <c r="D227" i="5"/>
  <c r="B228" i="5"/>
  <c r="C228" i="5"/>
  <c r="D228" i="5"/>
  <c r="B229" i="5"/>
  <c r="C229" i="5"/>
  <c r="D229" i="5"/>
  <c r="B230" i="5"/>
  <c r="C230" i="5"/>
  <c r="D230" i="5"/>
  <c r="B231" i="5"/>
  <c r="C231" i="5"/>
  <c r="D231" i="5"/>
  <c r="B232" i="5"/>
  <c r="C232" i="5"/>
  <c r="D232" i="5"/>
  <c r="B235" i="5"/>
  <c r="C235" i="5"/>
  <c r="D235" i="5"/>
  <c r="E235" i="5"/>
  <c r="F235" i="5"/>
  <c r="B236" i="5"/>
  <c r="C236" i="5"/>
  <c r="D236" i="5"/>
  <c r="E236" i="5"/>
  <c r="F236" i="5"/>
  <c r="B237" i="5"/>
  <c r="C237" i="5"/>
  <c r="D237" i="5"/>
  <c r="E237" i="5"/>
  <c r="F237" i="5"/>
  <c r="B238" i="5"/>
  <c r="C238" i="5"/>
  <c r="D238" i="5"/>
  <c r="E238" i="5"/>
  <c r="F238" i="5"/>
  <c r="B239" i="5"/>
  <c r="C239" i="5"/>
  <c r="D239" i="5"/>
  <c r="E239" i="5"/>
  <c r="F239" i="5"/>
  <c r="B240" i="5"/>
  <c r="C240" i="5"/>
  <c r="D240" i="5"/>
  <c r="E240" i="5"/>
  <c r="F240" i="5"/>
  <c r="B241" i="5"/>
  <c r="C241" i="5"/>
  <c r="D241" i="5"/>
  <c r="E241" i="5"/>
  <c r="F241" i="5"/>
  <c r="B244" i="5"/>
  <c r="C244" i="5"/>
  <c r="D244" i="5"/>
  <c r="E244" i="5"/>
  <c r="F244" i="5"/>
  <c r="B245" i="5"/>
  <c r="C245" i="5"/>
  <c r="D245" i="5"/>
  <c r="E245" i="5"/>
  <c r="F245" i="5"/>
  <c r="B246" i="5"/>
  <c r="C246" i="5"/>
  <c r="D246" i="5"/>
  <c r="E246" i="5"/>
  <c r="F246" i="5"/>
  <c r="B247" i="5"/>
  <c r="C247" i="5"/>
  <c r="D247" i="5"/>
  <c r="E247" i="5"/>
  <c r="F247" i="5"/>
  <c r="B248" i="5"/>
  <c r="C248" i="5"/>
  <c r="D248" i="5"/>
  <c r="E248" i="5"/>
  <c r="F248" i="5"/>
  <c r="B249" i="5"/>
  <c r="C249" i="5"/>
  <c r="D249" i="5"/>
  <c r="E249" i="5"/>
  <c r="F249" i="5"/>
  <c r="B250" i="5"/>
  <c r="C250" i="5"/>
  <c r="D250" i="5"/>
  <c r="E250" i="5"/>
  <c r="F250" i="5"/>
  <c r="B253" i="5"/>
  <c r="C253" i="5"/>
  <c r="D253" i="5"/>
  <c r="E253" i="5"/>
  <c r="F253" i="5"/>
  <c r="B254" i="5"/>
  <c r="C254" i="5"/>
  <c r="D254" i="5"/>
  <c r="E254" i="5"/>
  <c r="F254" i="5"/>
  <c r="B255" i="5"/>
  <c r="C255" i="5"/>
  <c r="D255" i="5"/>
  <c r="E255" i="5"/>
  <c r="F255" i="5"/>
  <c r="B256" i="5"/>
  <c r="C256" i="5"/>
  <c r="D256" i="5"/>
  <c r="E256" i="5"/>
  <c r="F256" i="5"/>
  <c r="B257" i="5"/>
  <c r="C257" i="5"/>
  <c r="D257" i="5"/>
  <c r="E257" i="5"/>
  <c r="F257" i="5"/>
  <c r="B258" i="5"/>
  <c r="C258" i="5"/>
  <c r="D258" i="5"/>
  <c r="E258" i="5"/>
  <c r="F258" i="5"/>
  <c r="B259" i="5"/>
  <c r="C259" i="5"/>
  <c r="D259" i="5"/>
  <c r="E259" i="5"/>
  <c r="F259" i="5"/>
  <c r="B262" i="5"/>
  <c r="C262" i="5"/>
  <c r="D262" i="5"/>
  <c r="E262" i="5"/>
  <c r="F262" i="5"/>
  <c r="B263" i="5"/>
  <c r="C263" i="5"/>
  <c r="D263" i="5"/>
  <c r="E263" i="5"/>
  <c r="F263" i="5"/>
  <c r="B264" i="5"/>
  <c r="C264" i="5"/>
  <c r="D264" i="5"/>
  <c r="E264" i="5"/>
  <c r="F264" i="5"/>
  <c r="B265" i="5"/>
  <c r="C265" i="5"/>
  <c r="D265" i="5"/>
  <c r="E265" i="5"/>
  <c r="F265" i="5"/>
  <c r="B266" i="5"/>
  <c r="C266" i="5"/>
  <c r="D266" i="5"/>
  <c r="E266" i="5"/>
  <c r="F266" i="5"/>
  <c r="B267" i="5"/>
  <c r="C267" i="5"/>
  <c r="D267" i="5"/>
  <c r="E267" i="5"/>
  <c r="F267" i="5"/>
  <c r="B268" i="5"/>
  <c r="C268" i="5"/>
  <c r="D268" i="5"/>
  <c r="E268" i="5"/>
  <c r="F268" i="5"/>
  <c r="B271" i="5"/>
  <c r="C271" i="5"/>
  <c r="D271" i="5"/>
  <c r="E271" i="5"/>
  <c r="F271" i="5"/>
  <c r="B272" i="5"/>
  <c r="C272" i="5"/>
  <c r="D272" i="5"/>
  <c r="E272" i="5"/>
  <c r="F272" i="5"/>
  <c r="B273" i="5"/>
  <c r="C273" i="5"/>
  <c r="D273" i="5"/>
  <c r="E273" i="5"/>
  <c r="F273" i="5"/>
  <c r="B274" i="5"/>
  <c r="C274" i="5"/>
  <c r="D274" i="5"/>
  <c r="E274" i="5"/>
  <c r="F274" i="5"/>
  <c r="B275" i="5"/>
  <c r="C275" i="5"/>
  <c r="D275" i="5"/>
  <c r="E275" i="5"/>
  <c r="F275" i="5"/>
  <c r="B276" i="5"/>
  <c r="C276" i="5"/>
  <c r="D276" i="5"/>
  <c r="E276" i="5"/>
  <c r="F276" i="5"/>
  <c r="B277" i="5"/>
  <c r="C277" i="5"/>
  <c r="D277" i="5"/>
  <c r="E277" i="5"/>
  <c r="F277" i="5"/>
  <c r="D1" i="13"/>
  <c r="E1" i="13"/>
  <c r="F1" i="13"/>
  <c r="G1" i="13"/>
  <c r="H1" i="13"/>
  <c r="I1" i="13"/>
  <c r="J1" i="13"/>
  <c r="K1" i="13"/>
  <c r="L1" i="13"/>
  <c r="N1" i="13"/>
  <c r="O1" i="13"/>
  <c r="P1" i="13"/>
  <c r="Q1" i="13"/>
  <c r="R1" i="13"/>
  <c r="S1" i="13"/>
  <c r="T1" i="13"/>
  <c r="U1" i="13"/>
  <c r="W1" i="13"/>
  <c r="X1" i="13"/>
  <c r="Y1" i="13"/>
  <c r="Z1" i="13"/>
  <c r="AA1" i="13"/>
  <c r="AB1" i="13"/>
  <c r="AC1" i="13"/>
  <c r="AD1" i="13"/>
  <c r="AE1" i="13"/>
  <c r="AF1" i="13"/>
  <c r="AG1" i="13"/>
  <c r="AH1" i="13"/>
  <c r="AI1" i="13"/>
  <c r="AJ1" i="13"/>
  <c r="AK1" i="13"/>
  <c r="AL1" i="13"/>
  <c r="AM1" i="13"/>
  <c r="AN1" i="13"/>
  <c r="AO1" i="13"/>
  <c r="AP1" i="13"/>
  <c r="AQ1" i="13"/>
  <c r="AR1" i="13"/>
  <c r="AS1" i="13"/>
  <c r="AT1" i="13"/>
  <c r="AU1" i="13"/>
  <c r="AV1" i="13"/>
  <c r="AW1" i="13"/>
  <c r="AX1" i="13"/>
  <c r="AY1" i="13"/>
  <c r="BA1" i="13"/>
  <c r="BB1" i="13"/>
  <c r="BC1" i="13"/>
  <c r="BD1" i="13"/>
  <c r="BE1" i="13"/>
  <c r="BF1" i="13"/>
  <c r="BH1" i="13"/>
  <c r="BM1" i="13"/>
  <c r="BI1" i="13"/>
  <c r="BJ1" i="13"/>
  <c r="BK1" i="13"/>
  <c r="BL1" i="13"/>
  <c r="BN1" i="13"/>
  <c r="BO1" i="13"/>
  <c r="BQ1" i="13"/>
  <c r="BV1" i="13"/>
  <c r="BW1" i="13"/>
  <c r="BX1" i="13"/>
  <c r="BY1" i="13"/>
  <c r="BZ1" i="13"/>
  <c r="CA1" i="13"/>
  <c r="CB1" i="13"/>
  <c r="D2" i="13"/>
  <c r="D28" i="13" s="1"/>
  <c r="E2" i="13"/>
  <c r="E33" i="13" s="1"/>
  <c r="F2" i="13"/>
  <c r="F18" i="13" s="1"/>
  <c r="G2" i="13"/>
  <c r="G9" i="13" s="1"/>
  <c r="H2" i="13"/>
  <c r="H13" i="13" s="1"/>
  <c r="I2" i="13"/>
  <c r="I12" i="13" s="1"/>
  <c r="J2" i="13"/>
  <c r="J10" i="13" s="1"/>
  <c r="K2" i="13"/>
  <c r="L2" i="13"/>
  <c r="L22" i="13" s="1"/>
  <c r="M2" i="13"/>
  <c r="M9" i="13" s="1"/>
  <c r="N2" i="13"/>
  <c r="N19" i="13" s="1"/>
  <c r="O2" i="13"/>
  <c r="P2" i="13"/>
  <c r="P20" i="13" s="1"/>
  <c r="Q2" i="13"/>
  <c r="Q13" i="13" s="1"/>
  <c r="R2" i="13"/>
  <c r="S2" i="13"/>
  <c r="T2" i="13"/>
  <c r="U2" i="13"/>
  <c r="U21" i="13" s="1"/>
  <c r="W2" i="13"/>
  <c r="W24" i="13" s="1"/>
  <c r="X2" i="13"/>
  <c r="Y2" i="13"/>
  <c r="Z2" i="13"/>
  <c r="Z13" i="13" s="1"/>
  <c r="AA2" i="13"/>
  <c r="AB2" i="13"/>
  <c r="AC2" i="13"/>
  <c r="AD2" i="13"/>
  <c r="AE2" i="13"/>
  <c r="AF2" i="13"/>
  <c r="AG2" i="13"/>
  <c r="AH2" i="13"/>
  <c r="AI2" i="13"/>
  <c r="AJ2" i="13"/>
  <c r="AK2" i="13"/>
  <c r="AK9" i="13" s="1"/>
  <c r="AL2" i="13"/>
  <c r="AL19" i="13" s="1"/>
  <c r="AM2" i="13"/>
  <c r="AM19" i="13" s="1"/>
  <c r="AN2" i="13"/>
  <c r="AO2" i="13"/>
  <c r="AP2" i="13"/>
  <c r="AQ2" i="13"/>
  <c r="AR2" i="13"/>
  <c r="AR16" i="13" s="1"/>
  <c r="AS2" i="13"/>
  <c r="AS33" i="13" s="1"/>
  <c r="AT2" i="13"/>
  <c r="AT33" i="13" s="1"/>
  <c r="AU2" i="13"/>
  <c r="AV2" i="13"/>
  <c r="AW2" i="13"/>
  <c r="AX2" i="13"/>
  <c r="AX34" i="13" s="1"/>
  <c r="AY2" i="13"/>
  <c r="AZ2" i="13"/>
  <c r="BA2" i="13"/>
  <c r="BA7" i="13" s="1"/>
  <c r="BB2" i="13"/>
  <c r="BB24" i="13" s="1"/>
  <c r="BC2" i="13"/>
  <c r="BC37" i="13" s="1"/>
  <c r="BD2" i="13"/>
  <c r="BD6" i="13" s="1"/>
  <c r="AC6" i="13" s="1"/>
  <c r="BE2" i="13"/>
  <c r="BE12" i="13" s="1"/>
  <c r="BF2" i="13"/>
  <c r="BF9" i="13" s="1"/>
  <c r="BH2" i="13"/>
  <c r="BH28" i="13" s="1"/>
  <c r="BM2" i="13"/>
  <c r="BI2" i="13"/>
  <c r="BI7" i="13" s="1"/>
  <c r="BJ2" i="13"/>
  <c r="BJ31" i="13" s="1"/>
  <c r="BK2" i="13"/>
  <c r="BK9" i="13" s="1"/>
  <c r="BL2" i="13"/>
  <c r="BL7" i="13" s="1"/>
  <c r="BN2" i="13"/>
  <c r="BO2" i="13"/>
  <c r="BQ2" i="13"/>
  <c r="BQ6" i="13" s="1"/>
  <c r="BV2" i="13"/>
  <c r="BV37" i="13" s="1"/>
  <c r="BW2" i="13"/>
  <c r="BW37" i="13" s="1"/>
  <c r="BX2" i="13"/>
  <c r="BX31" i="13" s="1"/>
  <c r="BY2" i="13"/>
  <c r="BY11" i="13" s="1"/>
  <c r="BZ2" i="13"/>
  <c r="BZ6" i="13" s="1"/>
  <c r="CA2" i="13"/>
  <c r="CA27" i="13" s="1"/>
  <c r="CB2" i="13"/>
  <c r="CB28" i="13" s="1"/>
  <c r="V24" i="13"/>
  <c r="B46" i="13"/>
  <c r="C46" i="13"/>
  <c r="D46" i="13"/>
  <c r="F46" i="13"/>
  <c r="G46" i="13"/>
  <c r="H46" i="13"/>
  <c r="I46" i="13"/>
  <c r="P46" i="13"/>
  <c r="Q46" i="13"/>
  <c r="R46" i="13"/>
  <c r="S46" i="13"/>
  <c r="T46" i="13"/>
  <c r="U46" i="13"/>
  <c r="W46" i="13"/>
  <c r="X46" i="13"/>
  <c r="AJ46" i="13"/>
  <c r="AK46" i="13"/>
  <c r="AL46" i="13"/>
  <c r="AM46" i="13"/>
  <c r="AN46" i="13"/>
  <c r="AO46" i="13"/>
  <c r="AS46" i="13"/>
  <c r="AT46" i="13"/>
  <c r="AX46" i="13"/>
  <c r="AY46" i="13"/>
  <c r="AZ46" i="13"/>
  <c r="BA46" i="13"/>
  <c r="BB46" i="13"/>
  <c r="BE46" i="13"/>
  <c r="BF46" i="13"/>
  <c r="B47" i="13"/>
  <c r="C47" i="13"/>
  <c r="D47" i="13"/>
  <c r="E47" i="13"/>
  <c r="F47" i="13"/>
  <c r="G47" i="13"/>
  <c r="H47" i="13"/>
  <c r="P47" i="13"/>
  <c r="R47" i="13"/>
  <c r="S47" i="13"/>
  <c r="T47" i="13"/>
  <c r="U47" i="13"/>
  <c r="V47" i="13"/>
  <c r="W47" i="13"/>
  <c r="X47" i="13"/>
  <c r="AI47" i="13"/>
  <c r="AJ47" i="13"/>
  <c r="AK47" i="13"/>
  <c r="AL47" i="13"/>
  <c r="AM47" i="13"/>
  <c r="AN47" i="13"/>
  <c r="AO47" i="13"/>
  <c r="AS47" i="13"/>
  <c r="AT47" i="13"/>
  <c r="BA47" i="13"/>
  <c r="BB47" i="13"/>
  <c r="BE47" i="13"/>
  <c r="BF47" i="13"/>
  <c r="B48" i="13"/>
  <c r="C48" i="13"/>
  <c r="D48" i="13"/>
  <c r="E48" i="13"/>
  <c r="F48" i="13"/>
  <c r="G48" i="13"/>
  <c r="H48" i="13"/>
  <c r="I48" i="13"/>
  <c r="P48" i="13"/>
  <c r="Q48" i="13"/>
  <c r="R48" i="13"/>
  <c r="S48" i="13"/>
  <c r="T48" i="13"/>
  <c r="U48" i="13"/>
  <c r="V48" i="13"/>
  <c r="W48" i="13"/>
  <c r="X48" i="13"/>
  <c r="B49" i="13"/>
  <c r="C49" i="13"/>
  <c r="D49" i="13"/>
  <c r="E49" i="13"/>
  <c r="F49" i="13"/>
  <c r="G49" i="13"/>
  <c r="H49" i="13"/>
  <c r="I49" i="13"/>
  <c r="P49" i="13"/>
  <c r="Q49" i="13"/>
  <c r="R49" i="13"/>
  <c r="S49" i="13"/>
  <c r="T49" i="13"/>
  <c r="U49" i="13"/>
  <c r="V49" i="13"/>
  <c r="W49" i="13"/>
  <c r="X49" i="13"/>
  <c r="AI49" i="13"/>
  <c r="AJ49" i="13"/>
  <c r="AK49" i="13"/>
  <c r="AL49" i="13"/>
  <c r="AM49" i="13"/>
  <c r="AN49" i="13"/>
  <c r="AO49" i="13"/>
  <c r="AS49" i="13"/>
  <c r="AT49" i="13"/>
  <c r="BA49" i="13"/>
  <c r="BB49" i="13"/>
  <c r="BE49" i="13"/>
  <c r="BF49" i="13"/>
  <c r="B50" i="13"/>
  <c r="C50" i="13"/>
  <c r="D50" i="13"/>
  <c r="E50" i="13"/>
  <c r="F50" i="13"/>
  <c r="G50" i="13"/>
  <c r="H50" i="13"/>
  <c r="I50" i="13"/>
  <c r="P50" i="13"/>
  <c r="Q50" i="13"/>
  <c r="R50" i="13"/>
  <c r="S50" i="13"/>
  <c r="T50" i="13"/>
  <c r="U50" i="13"/>
  <c r="V50" i="13"/>
  <c r="W50" i="13"/>
  <c r="X50" i="13"/>
  <c r="AA51" i="13"/>
  <c r="AI50" i="13"/>
  <c r="AJ50" i="13"/>
  <c r="AK50" i="13"/>
  <c r="AL50" i="13"/>
  <c r="AM50" i="13"/>
  <c r="AN50" i="13"/>
  <c r="AO50" i="13"/>
  <c r="AS50" i="13"/>
  <c r="AT50" i="13"/>
  <c r="BA50" i="13"/>
  <c r="BB50" i="13"/>
  <c r="BE50" i="13"/>
  <c r="BF50" i="13"/>
  <c r="AH38" i="1"/>
  <c r="AI38" i="1"/>
  <c r="E3" i="2"/>
  <c r="F3" i="2" s="1"/>
  <c r="G3" i="2" s="1"/>
  <c r="E4" i="2"/>
  <c r="F4" i="2" s="1"/>
  <c r="G4" i="2" s="1"/>
  <c r="E5" i="2"/>
  <c r="F5" i="2" s="1"/>
  <c r="G5" i="2" s="1"/>
  <c r="E6" i="2"/>
  <c r="F6" i="2" s="1"/>
  <c r="G6" i="2" s="1"/>
  <c r="E7" i="2"/>
  <c r="F7" i="2" s="1"/>
  <c r="G7" i="2" s="1"/>
  <c r="E8" i="2"/>
  <c r="F8" i="2" s="1"/>
  <c r="G8" i="2" s="1"/>
  <c r="E9" i="2"/>
  <c r="F9" i="2" s="1"/>
  <c r="G9" i="2" s="1"/>
  <c r="E10" i="2"/>
  <c r="F10" i="2" s="1"/>
  <c r="G10" i="2" s="1"/>
  <c r="E11" i="2"/>
  <c r="F11" i="2" s="1"/>
  <c r="G11" i="2" s="1"/>
  <c r="E12" i="2"/>
  <c r="F12" i="2" s="1"/>
  <c r="G12" i="2" s="1"/>
  <c r="E13" i="2"/>
  <c r="F13" i="2" s="1"/>
  <c r="G13" i="2" s="1"/>
  <c r="E14" i="2"/>
  <c r="F14" i="2" s="1"/>
  <c r="G14" i="2" s="1"/>
  <c r="E15" i="2"/>
  <c r="F15" i="2" s="1"/>
  <c r="G15" i="2" s="1"/>
  <c r="E20" i="2"/>
  <c r="F20" i="2" s="1"/>
  <c r="G20" i="2" s="1"/>
  <c r="E22" i="2"/>
  <c r="F22" i="2" s="1"/>
  <c r="G22" i="2" s="1"/>
  <c r="E23" i="2"/>
  <c r="F23" i="2" s="1"/>
  <c r="G23" i="2" s="1"/>
  <c r="E24" i="2"/>
  <c r="F24" i="2" s="1"/>
  <c r="G24" i="2" s="1"/>
  <c r="E25" i="2"/>
  <c r="F25" i="2" s="1"/>
  <c r="G25" i="2" s="1"/>
  <c r="E36" i="2"/>
  <c r="F36" i="2" s="1"/>
  <c r="G36" i="2" s="1"/>
  <c r="E37" i="2"/>
  <c r="F37" i="2" s="1"/>
  <c r="G37" i="2" s="1"/>
  <c r="E38" i="2"/>
  <c r="F38" i="2" s="1"/>
  <c r="G38" i="2" s="1"/>
  <c r="E39" i="2"/>
  <c r="F39" i="2" s="1"/>
  <c r="G39" i="2" s="1"/>
  <c r="E40" i="2"/>
  <c r="F40" i="2" s="1"/>
  <c r="G40" i="2" s="1"/>
  <c r="E41" i="2"/>
  <c r="F41" i="2" s="1"/>
  <c r="G41" i="2" s="1"/>
  <c r="E43" i="2"/>
  <c r="F43" i="2" s="1"/>
  <c r="G43" i="2" s="1"/>
  <c r="E44" i="2"/>
  <c r="F44" i="2" s="1"/>
  <c r="G44" i="2" s="1"/>
  <c r="E45" i="2"/>
  <c r="F45" i="2" s="1"/>
  <c r="G45" i="2" s="1"/>
  <c r="E48" i="2"/>
  <c r="F48" i="2" s="1"/>
  <c r="G48" i="2" s="1"/>
  <c r="E49" i="2"/>
  <c r="F49" i="2" s="1"/>
  <c r="G49" i="2" s="1"/>
  <c r="E50" i="2"/>
  <c r="F50" i="2" s="1"/>
  <c r="G50" i="2" s="1"/>
  <c r="E53" i="2"/>
  <c r="E54" i="2"/>
  <c r="E55" i="2"/>
  <c r="F55" i="2" s="1"/>
  <c r="G55" i="2" s="1"/>
  <c r="E57" i="2"/>
  <c r="F57" i="2" s="1"/>
  <c r="G57" i="2" s="1"/>
  <c r="E58" i="2"/>
  <c r="F58" i="2" s="1"/>
  <c r="G58" i="2" s="1"/>
  <c r="E59" i="2"/>
  <c r="F59" i="2" s="1"/>
  <c r="G59" i="2" s="1"/>
  <c r="E61" i="2"/>
  <c r="E62" i="2"/>
  <c r="E63" i="2"/>
  <c r="F63" i="2" s="1"/>
  <c r="G63" i="2" s="1"/>
  <c r="E64" i="2"/>
  <c r="F64" i="2" s="1"/>
  <c r="G64" i="2" s="1"/>
  <c r="E70" i="2"/>
  <c r="E51" i="2" s="1"/>
  <c r="F51" i="2" s="1"/>
  <c r="G51" i="2" s="1"/>
  <c r="E73" i="2"/>
  <c r="E34" i="2" s="1"/>
  <c r="F34" i="2" s="1"/>
  <c r="G34" i="2" s="1"/>
  <c r="E75" i="2"/>
  <c r="E46" i="2" s="1"/>
  <c r="F46" i="2" s="1"/>
  <c r="G46" i="2" s="1"/>
  <c r="E76" i="2"/>
  <c r="F76" i="2" s="1"/>
  <c r="G76" i="2" s="1"/>
  <c r="V30" i="13"/>
  <c r="CD5" i="13"/>
  <c r="CD12" i="13"/>
  <c r="BW18" i="13"/>
  <c r="CD30" i="13"/>
  <c r="CD19" i="13"/>
  <c r="L31" i="13"/>
  <c r="CD33" i="13"/>
  <c r="AS29" i="13"/>
  <c r="V33" i="13"/>
  <c r="BG3" i="13"/>
  <c r="BG7" i="13"/>
  <c r="BG19" i="13"/>
  <c r="BG23" i="13"/>
  <c r="BG35" i="13"/>
  <c r="BG4" i="13"/>
  <c r="BG20" i="13"/>
  <c r="BG25" i="13"/>
  <c r="BG5" i="13"/>
  <c r="BG10" i="13"/>
  <c r="BG26" i="13"/>
  <c r="BG32" i="13"/>
  <c r="BG22" i="13"/>
  <c r="BG33" i="13"/>
  <c r="BG28" i="13"/>
  <c r="BG34" i="13"/>
  <c r="BG29" i="13"/>
  <c r="BG8" i="13"/>
  <c r="BG18" i="13"/>
  <c r="BG24" i="13"/>
  <c r="AR30" i="13"/>
  <c r="E11" i="13"/>
  <c r="E10" i="13"/>
  <c r="BY20" i="13"/>
  <c r="L29" i="13"/>
  <c r="L3" i="13"/>
  <c r="CD4" i="13"/>
  <c r="CD20" i="13"/>
  <c r="CD3" i="13"/>
  <c r="CD10" i="13"/>
  <c r="CD9" i="13"/>
  <c r="CD6" i="13"/>
  <c r="CD24" i="13"/>
  <c r="CD23" i="13"/>
  <c r="CD13" i="13"/>
  <c r="BA36" i="13"/>
  <c r="AT16" i="13"/>
  <c r="BK31" i="13"/>
  <c r="L34" i="13"/>
  <c r="N22" i="13"/>
  <c r="AT11" i="13"/>
  <c r="AT12" i="13"/>
  <c r="J5" i="13"/>
  <c r="I54" i="3"/>
  <c r="D243" i="20" s="1"/>
  <c r="C243" i="20"/>
  <c r="N35" i="13"/>
  <c r="BA21" i="13"/>
  <c r="BW7" i="13"/>
  <c r="BW5" i="13"/>
  <c r="BK7" i="13"/>
  <c r="BK4" i="13"/>
  <c r="BK22" i="13"/>
  <c r="BK17" i="13"/>
  <c r="BK5" i="13"/>
  <c r="BK12" i="13"/>
  <c r="BK23" i="13"/>
  <c r="BK26" i="13"/>
  <c r="BK14" i="13"/>
  <c r="BK36" i="13"/>
  <c r="BK3" i="13"/>
  <c r="BK28" i="13"/>
  <c r="BK35" i="13"/>
  <c r="BK34" i="13"/>
  <c r="D37" i="13"/>
  <c r="BU29" i="13"/>
  <c r="BU10" i="13"/>
  <c r="BA33" i="13"/>
  <c r="AS13" i="13"/>
  <c r="BZ8" i="13"/>
  <c r="BZ14" i="13"/>
  <c r="BZ16" i="13"/>
  <c r="BX3" i="13"/>
  <c r="BX23" i="13"/>
  <c r="BV18" i="13"/>
  <c r="BK24" i="13"/>
  <c r="BK19" i="13"/>
  <c r="BK11" i="13"/>
  <c r="BK27" i="13"/>
  <c r="BK13" i="13"/>
  <c r="BK32" i="13"/>
  <c r="BK10" i="13"/>
  <c r="BH3" i="13"/>
  <c r="BA32" i="13"/>
  <c r="BA30" i="13"/>
  <c r="BA19" i="13"/>
  <c r="BA6" i="13"/>
  <c r="AY15" i="13"/>
  <c r="AY6" i="13"/>
  <c r="AY31" i="13"/>
  <c r="AY10" i="13"/>
  <c r="AT36" i="13"/>
  <c r="AT29" i="13"/>
  <c r="AT35" i="13"/>
  <c r="AR25" i="13"/>
  <c r="AR27" i="13"/>
  <c r="AR36" i="13"/>
  <c r="AK7" i="13"/>
  <c r="AK16" i="13"/>
  <c r="W21" i="13"/>
  <c r="W28" i="13"/>
  <c r="W29" i="13"/>
  <c r="W3" i="13"/>
  <c r="W13" i="13"/>
  <c r="W25" i="13"/>
  <c r="W35" i="13"/>
  <c r="I72" i="3"/>
  <c r="G62" i="20" s="1"/>
  <c r="U16" i="13"/>
  <c r="U31" i="13"/>
  <c r="BA23" i="13"/>
  <c r="BA12" i="13"/>
  <c r="AR37" i="13"/>
  <c r="AK13" i="13"/>
  <c r="BA18" i="13"/>
  <c r="BK18" i="13"/>
  <c r="L6" i="13"/>
  <c r="L10" i="13"/>
  <c r="L9" i="13"/>
  <c r="L7" i="13"/>
  <c r="L21" i="13"/>
  <c r="L26" i="13"/>
  <c r="L28" i="13"/>
  <c r="L16" i="13"/>
  <c r="L19" i="13"/>
  <c r="L23" i="13"/>
  <c r="L30" i="13"/>
  <c r="L37" i="13"/>
  <c r="L8" i="13"/>
  <c r="F10" i="13"/>
  <c r="F26" i="13"/>
  <c r="F28" i="13"/>
  <c r="F31" i="13"/>
  <c r="F11" i="13"/>
  <c r="F6" i="13"/>
  <c r="F4" i="13"/>
  <c r="L33" i="13"/>
  <c r="L20" i="13"/>
  <c r="AK32" i="13"/>
  <c r="F14" i="13"/>
  <c r="F13" i="13"/>
  <c r="D20" i="13"/>
  <c r="BZ29" i="13"/>
  <c r="BZ9" i="13"/>
  <c r="BZ28" i="13"/>
  <c r="BZ22" i="13"/>
  <c r="BQ22" i="13"/>
  <c r="AM37" i="13"/>
  <c r="AM10" i="13"/>
  <c r="E19" i="13"/>
  <c r="E25" i="13"/>
  <c r="E3" i="13"/>
  <c r="E26" i="13"/>
  <c r="E7" i="13"/>
  <c r="E20" i="13"/>
  <c r="CD18" i="13"/>
  <c r="CD28" i="13"/>
  <c r="CD22" i="13"/>
  <c r="CD16" i="13"/>
  <c r="CD11" i="13"/>
  <c r="CD36" i="13"/>
  <c r="CD26" i="13"/>
  <c r="CD8" i="13"/>
  <c r="CD21" i="13"/>
  <c r="CD7" i="13"/>
  <c r="CD37" i="13"/>
  <c r="CD29" i="13"/>
  <c r="CD31" i="13"/>
  <c r="CD34" i="13"/>
  <c r="CD15" i="13"/>
  <c r="CD14" i="13"/>
  <c r="CD27" i="13"/>
  <c r="CD35" i="13"/>
  <c r="CD25" i="13"/>
  <c r="CD32" i="13"/>
  <c r="BY26" i="13"/>
  <c r="BY14" i="13"/>
  <c r="BY34" i="13"/>
  <c r="BY13" i="13"/>
  <c r="BY29" i="13"/>
  <c r="BY3" i="13"/>
  <c r="BY9" i="13"/>
  <c r="BL31" i="13"/>
  <c r="BL18" i="13"/>
  <c r="BL28" i="13"/>
  <c r="BL5" i="13"/>
  <c r="BM6" i="13"/>
  <c r="BA27" i="13"/>
  <c r="BA25" i="13"/>
  <c r="BA37" i="13"/>
  <c r="AT24" i="13"/>
  <c r="AT23" i="13"/>
  <c r="CD17" i="13"/>
  <c r="J29" i="13"/>
  <c r="BU6" i="13"/>
  <c r="BU4" i="13"/>
  <c r="BU7" i="13"/>
  <c r="BQ37" i="13"/>
  <c r="BU8" i="13"/>
  <c r="BU25" i="13"/>
  <c r="BU9" i="13"/>
  <c r="BU3" i="13"/>
  <c r="BQ30" i="13"/>
  <c r="I113" i="20"/>
  <c r="BL37" i="13"/>
  <c r="BM29" i="13"/>
  <c r="M31" i="13"/>
  <c r="J8" i="13"/>
  <c r="F21" i="13"/>
  <c r="F34" i="13"/>
  <c r="F5" i="13"/>
  <c r="F32" i="13"/>
  <c r="F15" i="13"/>
  <c r="F8" i="13"/>
  <c r="F3" i="13"/>
  <c r="F24" i="13"/>
  <c r="F22" i="13"/>
  <c r="F12" i="13"/>
  <c r="N24" i="13"/>
  <c r="BA17" i="13"/>
  <c r="BA16" i="13"/>
  <c r="N12" i="13"/>
  <c r="N5" i="13"/>
  <c r="N10" i="13"/>
  <c r="N11" i="13"/>
  <c r="N37" i="13"/>
  <c r="BA14" i="13"/>
  <c r="BA13" i="13"/>
  <c r="BA10" i="13"/>
  <c r="BA34" i="13"/>
  <c r="BA15" i="13"/>
  <c r="BA3" i="13"/>
  <c r="BA26" i="13"/>
  <c r="BA22" i="13"/>
  <c r="BA35" i="13"/>
  <c r="N9" i="13"/>
  <c r="N27" i="13"/>
  <c r="N18" i="13"/>
  <c r="N6" i="13"/>
  <c r="N26" i="13"/>
  <c r="N8" i="13"/>
  <c r="N21" i="13"/>
  <c r="BA4" i="13"/>
  <c r="BA28" i="13"/>
  <c r="F27" i="13"/>
  <c r="F17" i="13"/>
  <c r="F23" i="13"/>
  <c r="F16" i="13"/>
  <c r="BA31" i="13"/>
  <c r="BA11" i="13"/>
  <c r="BA24" i="13"/>
  <c r="BA20" i="13"/>
  <c r="BA8" i="13"/>
  <c r="N36" i="13"/>
  <c r="N32" i="13"/>
  <c r="N4" i="13"/>
  <c r="N31" i="13"/>
  <c r="N16" i="13"/>
  <c r="BA29" i="13"/>
  <c r="AR20" i="13"/>
  <c r="C53" i="3"/>
  <c r="D215" i="20" s="1"/>
  <c r="G51" i="3"/>
  <c r="D231" i="20" s="1"/>
  <c r="AM35" i="13"/>
  <c r="U5" i="13"/>
  <c r="F7" i="13"/>
  <c r="F33" i="13"/>
  <c r="F19" i="13"/>
  <c r="F9" i="13"/>
  <c r="F36" i="13"/>
  <c r="F35" i="13"/>
  <c r="BL29" i="13"/>
  <c r="BL30" i="13"/>
  <c r="BG11" i="13"/>
  <c r="BG27" i="13"/>
  <c r="BG9" i="13"/>
  <c r="BG30" i="13"/>
  <c r="BG16" i="13"/>
  <c r="BG37" i="13"/>
  <c r="BG6" i="13"/>
  <c r="BG13" i="13"/>
  <c r="BG15" i="13"/>
  <c r="BG31" i="13"/>
  <c r="BG14" i="13"/>
  <c r="BG36" i="13"/>
  <c r="BG21" i="13"/>
  <c r="BG12" i="13"/>
  <c r="BG17" i="13"/>
  <c r="F25" i="13"/>
  <c r="BW10" i="13"/>
  <c r="BW6" i="13"/>
  <c r="F12" i="20"/>
  <c r="BY12" i="13"/>
  <c r="BY32" i="13"/>
  <c r="L25" i="13"/>
  <c r="L36" i="13"/>
  <c r="BY36" i="13"/>
  <c r="AS37" i="13"/>
  <c r="BW31" i="13"/>
  <c r="M3" i="13"/>
  <c r="J27" i="13"/>
  <c r="BW15" i="13"/>
  <c r="D25" i="13"/>
  <c r="BW32" i="13"/>
  <c r="C187" i="20"/>
  <c r="I22" i="3"/>
  <c r="D103" i="20" s="1"/>
  <c r="G61" i="3"/>
  <c r="G24" i="20" s="1"/>
  <c r="G125" i="3"/>
  <c r="J51" i="20" s="1"/>
  <c r="BC5" i="13"/>
  <c r="L17" i="13"/>
  <c r="AK11" i="13"/>
  <c r="AK8" i="13"/>
  <c r="U26" i="13"/>
  <c r="U20" i="13"/>
  <c r="U9" i="13"/>
  <c r="U32" i="13"/>
  <c r="U25" i="13"/>
  <c r="U14" i="13"/>
  <c r="U11" i="13"/>
  <c r="BW22" i="13"/>
  <c r="BW28" i="13"/>
  <c r="BW26" i="13"/>
  <c r="BW12" i="13"/>
  <c r="BW24" i="13"/>
  <c r="BW4" i="13"/>
  <c r="BW36" i="13"/>
  <c r="BW17" i="13"/>
  <c r="BW16" i="13"/>
  <c r="BW20" i="13"/>
  <c r="BW21" i="13"/>
  <c r="BW35" i="13"/>
  <c r="BW9" i="13"/>
  <c r="BW13" i="13"/>
  <c r="BW25" i="13"/>
  <c r="BW8" i="13"/>
  <c r="BW14" i="13"/>
  <c r="BW23" i="13"/>
  <c r="BW3" i="13"/>
  <c r="BW33" i="13"/>
  <c r="BW11" i="13"/>
  <c r="BW29" i="13"/>
  <c r="AO15" i="13"/>
  <c r="AK23" i="13"/>
  <c r="AM20" i="13"/>
  <c r="AM22" i="13"/>
  <c r="AK26" i="13"/>
  <c r="AK27" i="13"/>
  <c r="AK21" i="13"/>
  <c r="AK35" i="13"/>
  <c r="AK12" i="13"/>
  <c r="AK18" i="13"/>
  <c r="AK34" i="13"/>
  <c r="AK10" i="13"/>
  <c r="AK37" i="13"/>
  <c r="AK6" i="13"/>
  <c r="AK36" i="13"/>
  <c r="AK31" i="13"/>
  <c r="AK24" i="13"/>
  <c r="AK25" i="13"/>
  <c r="AK3" i="13"/>
  <c r="AK33" i="13"/>
  <c r="AK22" i="13"/>
  <c r="AK20" i="13"/>
  <c r="AK4" i="13"/>
  <c r="AK5" i="13"/>
  <c r="AK28" i="13"/>
  <c r="AK15" i="13"/>
  <c r="AK14" i="13"/>
  <c r="AK17" i="13"/>
  <c r="AK29" i="13"/>
  <c r="AK30" i="13"/>
  <c r="BC17" i="13"/>
  <c r="BC29" i="13"/>
  <c r="BC10" i="13"/>
  <c r="L4" i="13"/>
  <c r="I31" i="3"/>
  <c r="D148" i="20" s="1"/>
  <c r="BM22" i="13"/>
  <c r="E24" i="3"/>
  <c r="D87" i="20" s="1"/>
  <c r="I141" i="20"/>
  <c r="I125" i="20"/>
  <c r="K141" i="3"/>
  <c r="J157" i="20" s="1"/>
  <c r="I185" i="20"/>
  <c r="I97" i="20"/>
  <c r="K77" i="3"/>
  <c r="G112" i="20" s="1"/>
  <c r="E106" i="3"/>
  <c r="G222" i="20" s="1"/>
  <c r="I97" i="3"/>
  <c r="G195" i="20" s="1"/>
  <c r="F179" i="20"/>
  <c r="E140" i="3"/>
  <c r="J129" i="20" s="1"/>
  <c r="E132" i="3"/>
  <c r="J85" i="20" s="1"/>
  <c r="I196" i="3"/>
  <c r="M148" i="20" s="1"/>
  <c r="I180" i="3"/>
  <c r="M60" i="20" s="1"/>
  <c r="G235" i="3"/>
  <c r="P52" i="20" s="1"/>
  <c r="K215" i="3"/>
  <c r="M248" i="20" s="1"/>
  <c r="E240" i="3"/>
  <c r="P84" i="20" s="1"/>
  <c r="I201" i="20"/>
  <c r="F106" i="20"/>
  <c r="E40" i="3"/>
  <c r="D175" i="20" s="1"/>
  <c r="K241" i="3"/>
  <c r="P112" i="20" s="1"/>
  <c r="E8" i="3"/>
  <c r="D17" i="20" s="1"/>
  <c r="C7" i="3"/>
  <c r="D7" i="20" s="1"/>
  <c r="E206" i="3"/>
  <c r="M176" i="20" s="1"/>
  <c r="L144" i="20"/>
  <c r="O185" i="20"/>
  <c r="K86" i="3"/>
  <c r="G157" i="20" s="1"/>
  <c r="C51" i="20"/>
  <c r="BM23" i="13"/>
  <c r="BM19" i="13"/>
  <c r="BM36" i="13"/>
  <c r="BM18" i="13"/>
  <c r="BM21" i="13"/>
  <c r="BM17" i="13"/>
  <c r="BM15" i="13"/>
  <c r="BM25" i="13"/>
  <c r="BM30" i="13"/>
  <c r="BM9" i="13"/>
  <c r="BM27" i="13"/>
  <c r="BM3" i="13"/>
  <c r="BM33" i="13"/>
  <c r="BM10" i="13"/>
  <c r="BM16" i="13"/>
  <c r="BM14" i="13"/>
  <c r="BM12" i="13"/>
  <c r="BM7" i="13"/>
  <c r="BM26" i="13"/>
  <c r="BM8" i="13"/>
  <c r="BM37" i="13"/>
  <c r="BM34" i="13"/>
  <c r="BM35" i="13"/>
  <c r="BM24" i="13"/>
  <c r="BM13" i="13"/>
  <c r="BM31" i="13"/>
  <c r="BM4" i="13"/>
  <c r="BM28" i="13"/>
  <c r="BM5" i="13"/>
  <c r="BM32" i="13"/>
  <c r="D27" i="13"/>
  <c r="D15" i="13"/>
  <c r="D4" i="13"/>
  <c r="D24" i="13"/>
  <c r="D12" i="13"/>
  <c r="D7" i="13"/>
  <c r="D10" i="13"/>
  <c r="D16" i="13"/>
  <c r="D29" i="13"/>
  <c r="D11" i="13"/>
  <c r="D3" i="13"/>
  <c r="D13" i="13"/>
  <c r="D26" i="13"/>
  <c r="D8" i="13"/>
  <c r="D21" i="13"/>
  <c r="D32" i="13"/>
  <c r="D33" i="13"/>
  <c r="D19" i="13"/>
  <c r="D23" i="13"/>
  <c r="D6" i="13"/>
  <c r="D30" i="13"/>
  <c r="D36" i="13"/>
  <c r="D22" i="13"/>
  <c r="D17" i="13"/>
  <c r="D34" i="13"/>
  <c r="D18" i="13"/>
  <c r="D35" i="13"/>
  <c r="D31" i="13"/>
  <c r="BM20" i="13"/>
  <c r="BM11" i="13"/>
  <c r="D14" i="13"/>
  <c r="D5" i="13"/>
  <c r="BY15" i="13"/>
  <c r="BY19" i="13"/>
  <c r="BY8" i="13"/>
  <c r="BY21" i="13"/>
  <c r="BY6" i="13"/>
  <c r="BY37" i="13"/>
  <c r="BK25" i="13"/>
  <c r="BK6" i="13"/>
  <c r="BK30" i="13"/>
  <c r="BK15" i="13"/>
  <c r="BK33" i="13"/>
  <c r="BK21" i="13"/>
  <c r="AS28" i="13"/>
  <c r="AK19" i="13"/>
  <c r="J6" i="13"/>
  <c r="F30" i="13"/>
  <c r="F20" i="13"/>
  <c r="L24" i="13"/>
  <c r="L15" i="13"/>
  <c r="L12" i="13"/>
  <c r="L11" i="13"/>
  <c r="L27" i="13"/>
  <c r="L5" i="13"/>
  <c r="BW30" i="13"/>
  <c r="BW34" i="13"/>
  <c r="BW19" i="13"/>
  <c r="N17" i="13"/>
  <c r="N30" i="13"/>
  <c r="N7" i="13"/>
  <c r="N14" i="13"/>
  <c r="C270" i="3"/>
  <c r="P213" i="20" s="1"/>
  <c r="K199" i="3"/>
  <c r="M160" i="20" s="1"/>
  <c r="L72" i="20"/>
  <c r="E104" i="3"/>
  <c r="G220" i="20" s="1"/>
  <c r="I88" i="3"/>
  <c r="G150" i="20" s="1"/>
  <c r="C79" i="3"/>
  <c r="G78" i="20" s="1"/>
  <c r="F78" i="20"/>
  <c r="G77" i="3"/>
  <c r="G94" i="20" s="1"/>
  <c r="F94" i="20"/>
  <c r="I53" i="20"/>
  <c r="L188" i="20"/>
  <c r="G209" i="3"/>
  <c r="M188" i="20" s="1"/>
  <c r="C161" i="3"/>
  <c r="J213" i="20" s="1"/>
  <c r="F34" i="20"/>
  <c r="K125" i="3"/>
  <c r="J69" i="20" s="1"/>
  <c r="I69" i="20"/>
  <c r="I27" i="20"/>
  <c r="G119" i="3"/>
  <c r="J27" i="20" s="1"/>
  <c r="C219" i="20"/>
  <c r="E48" i="3"/>
  <c r="D219" i="20" s="1"/>
  <c r="C21" i="3"/>
  <c r="D75" i="20" s="1"/>
  <c r="C75" i="20"/>
  <c r="C35" i="20"/>
  <c r="I14" i="3"/>
  <c r="D59" i="20" s="1"/>
  <c r="C59" i="20"/>
  <c r="C31" i="20"/>
  <c r="C13" i="3"/>
  <c r="D31" i="20" s="1"/>
  <c r="C23" i="20"/>
  <c r="G5" i="3"/>
  <c r="D23" i="20" s="1"/>
  <c r="C3" i="3"/>
  <c r="D3" i="20" s="1"/>
  <c r="C3" i="20"/>
  <c r="K191" i="3"/>
  <c r="M116" i="20" s="1"/>
  <c r="L116" i="20"/>
  <c r="E116" i="3"/>
  <c r="J15" i="20" s="1"/>
  <c r="G109" i="3"/>
  <c r="G234" i="20" s="1"/>
  <c r="O40" i="20"/>
  <c r="L216" i="20"/>
  <c r="G243" i="3"/>
  <c r="P96" i="20" s="1"/>
  <c r="C254" i="3"/>
  <c r="P125" i="20" s="1"/>
  <c r="O125" i="20"/>
  <c r="I153" i="20"/>
  <c r="I146" i="3"/>
  <c r="J153" i="20" s="1"/>
  <c r="I57" i="20"/>
  <c r="I122" i="3"/>
  <c r="J57" i="20" s="1"/>
  <c r="K107" i="3"/>
  <c r="G250" i="20" s="1"/>
  <c r="F250" i="20"/>
  <c r="F27" i="20"/>
  <c r="K41" i="3"/>
  <c r="D203" i="20" s="1"/>
  <c r="O225" i="20"/>
  <c r="O14" i="20"/>
  <c r="L232" i="20"/>
  <c r="G217" i="3"/>
  <c r="M232" i="20" s="1"/>
  <c r="O80" i="20"/>
  <c r="C245" i="3"/>
  <c r="P80" i="20" s="1"/>
  <c r="O197" i="20"/>
  <c r="C13" i="20"/>
  <c r="CC21" i="13"/>
  <c r="CC5" i="13"/>
  <c r="CC11" i="13"/>
  <c r="CC30" i="13"/>
  <c r="CC6" i="13"/>
  <c r="CC24" i="13"/>
  <c r="CC34" i="13"/>
  <c r="CC9" i="13"/>
  <c r="CC29" i="13"/>
  <c r="G35" i="3"/>
  <c r="D143" i="20" s="1"/>
  <c r="C45" i="3"/>
  <c r="D171" i="20" s="1"/>
  <c r="C115" i="20"/>
  <c r="O243" i="20"/>
  <c r="K201" i="3"/>
  <c r="M162" i="20" s="1"/>
  <c r="E32" i="3"/>
  <c r="D131" i="20" s="1"/>
  <c r="I30" i="3"/>
  <c r="D147" i="20" s="1"/>
  <c r="E190" i="3"/>
  <c r="M88" i="20" s="1"/>
  <c r="C255" i="3"/>
  <c r="P126" i="20" s="1"/>
  <c r="L22" i="20"/>
  <c r="K146" i="3"/>
  <c r="J162" i="20" s="1"/>
  <c r="F158" i="20"/>
  <c r="C262" i="3"/>
  <c r="P169" i="20" s="1"/>
  <c r="I229" i="20"/>
  <c r="I225" i="20"/>
  <c r="K67" i="3"/>
  <c r="G66" i="20" s="1"/>
  <c r="F50" i="20"/>
  <c r="C187" i="3"/>
  <c r="M76" i="20" s="1"/>
  <c r="L32" i="20"/>
  <c r="G73" i="3"/>
  <c r="G54" i="20" s="1"/>
  <c r="L6" i="20"/>
  <c r="E174" i="3"/>
  <c r="M18" i="20" s="1"/>
  <c r="C39" i="20"/>
  <c r="C87" i="3"/>
  <c r="G122" i="20" s="1"/>
  <c r="I104" i="3"/>
  <c r="G238" i="20" s="1"/>
  <c r="F138" i="20"/>
  <c r="C22" i="20"/>
  <c r="F178" i="20"/>
  <c r="K91" i="3"/>
  <c r="G162" i="20" s="1"/>
  <c r="C6" i="3"/>
  <c r="D6" i="20" s="1"/>
  <c r="G9" i="3"/>
  <c r="D27" i="20" s="1"/>
  <c r="E82" i="3"/>
  <c r="G90" i="20" s="1"/>
  <c r="F166" i="20"/>
  <c r="C229" i="3"/>
  <c r="P9" i="20" s="1"/>
  <c r="O25" i="20"/>
  <c r="F210" i="20"/>
  <c r="E16" i="3"/>
  <c r="D43" i="20" s="1"/>
  <c r="G268" i="3"/>
  <c r="P229" i="20" s="1"/>
  <c r="I96" i="3"/>
  <c r="G194" i="20" s="1"/>
  <c r="BC4" i="13"/>
  <c r="V20" i="13"/>
  <c r="BC18" i="13"/>
  <c r="BC22" i="13"/>
  <c r="BC21" i="13"/>
  <c r="AM24" i="13"/>
  <c r="AM3" i="13"/>
  <c r="BC32" i="13"/>
  <c r="BC19" i="13"/>
  <c r="X20" i="13"/>
  <c r="X36" i="13"/>
  <c r="AM13" i="13"/>
  <c r="BJ29" i="13"/>
  <c r="AM12" i="13"/>
  <c r="W19" i="13"/>
  <c r="W6" i="13"/>
  <c r="W5" i="13"/>
  <c r="W11" i="13"/>
  <c r="V5" i="13"/>
  <c r="V21" i="13"/>
  <c r="V17" i="13"/>
  <c r="V15" i="13"/>
  <c r="V13" i="13"/>
  <c r="V32" i="13"/>
  <c r="X34" i="13"/>
  <c r="BC31" i="13"/>
  <c r="BC33" i="13"/>
  <c r="BC6" i="13"/>
  <c r="AM33" i="13"/>
  <c r="AM17" i="13"/>
  <c r="AM9" i="13"/>
  <c r="BC11" i="13"/>
  <c r="BC3" i="13"/>
  <c r="AM21" i="13"/>
  <c r="W33" i="13"/>
  <c r="W18" i="13"/>
  <c r="W17" i="13"/>
  <c r="W8" i="13"/>
  <c r="V9" i="13"/>
  <c r="V18" i="13"/>
  <c r="V14" i="13"/>
  <c r="V37" i="13"/>
  <c r="BC23" i="13"/>
  <c r="V16" i="13"/>
  <c r="BC30" i="13"/>
  <c r="BC14" i="13"/>
  <c r="AM34" i="13"/>
  <c r="AM8" i="13"/>
  <c r="AM11" i="13"/>
  <c r="BC20" i="13"/>
  <c r="BC35" i="13"/>
  <c r="X31" i="13"/>
  <c r="AM28" i="13"/>
  <c r="W26" i="13"/>
  <c r="W12" i="13"/>
  <c r="W7" i="13"/>
  <c r="W4" i="13"/>
  <c r="V6" i="13"/>
  <c r="V22" i="13"/>
  <c r="V19" i="13"/>
  <c r="V10" i="13"/>
  <c r="V36" i="13"/>
  <c r="V4" i="13"/>
  <c r="BV29" i="13"/>
  <c r="BC36" i="13"/>
  <c r="BC12" i="13"/>
  <c r="AM26" i="13"/>
  <c r="AM36" i="13"/>
  <c r="BC27" i="13"/>
  <c r="AM30" i="13"/>
  <c r="BB3" i="13"/>
  <c r="W9" i="13"/>
  <c r="BV16" i="13"/>
  <c r="W34" i="13"/>
  <c r="W10" i="13"/>
  <c r="W14" i="13"/>
  <c r="W31" i="13"/>
  <c r="BC34" i="13"/>
  <c r="BV26" i="13"/>
  <c r="V3" i="13"/>
  <c r="V23" i="13"/>
  <c r="V27" i="13"/>
  <c r="V35" i="13"/>
  <c r="BC16" i="13"/>
  <c r="BC28" i="13"/>
  <c r="BC9" i="13"/>
  <c r="BC15" i="13"/>
  <c r="BC8" i="13"/>
  <c r="BR18" i="13"/>
  <c r="X6" i="13"/>
  <c r="AM18" i="13"/>
  <c r="AM29" i="13"/>
  <c r="AM14" i="13"/>
  <c r="AM15" i="13"/>
  <c r="W32" i="13"/>
  <c r="W37" i="13"/>
  <c r="W27" i="13"/>
  <c r="W22" i="13"/>
  <c r="BC26" i="13"/>
  <c r="V7" i="13"/>
  <c r="V25" i="13"/>
  <c r="V26" i="13"/>
  <c r="V11" i="13"/>
  <c r="V34" i="13"/>
  <c r="BR35" i="13"/>
  <c r="V8" i="13"/>
  <c r="X35" i="13"/>
  <c r="BI5" i="13"/>
  <c r="BC24" i="13"/>
  <c r="BC7" i="13"/>
  <c r="BC13" i="13"/>
  <c r="AM6" i="13"/>
  <c r="AM25" i="13"/>
  <c r="BC25" i="13"/>
  <c r="BJ7" i="13"/>
  <c r="AM23" i="13"/>
  <c r="W23" i="13"/>
  <c r="W20" i="13"/>
  <c r="W30" i="13"/>
  <c r="W15" i="13"/>
  <c r="W16" i="13"/>
  <c r="BV22" i="13"/>
  <c r="V12" i="13"/>
  <c r="V31" i="13"/>
  <c r="AS6" i="13"/>
  <c r="G34" i="13"/>
  <c r="BH13" i="13"/>
  <c r="AS16" i="13"/>
  <c r="AS15" i="13"/>
  <c r="AS22" i="13"/>
  <c r="AS32" i="13"/>
  <c r="AS18" i="13"/>
  <c r="AS4" i="13"/>
  <c r="AS3" i="13"/>
  <c r="O21" i="13"/>
  <c r="AL35" i="13"/>
  <c r="AS17" i="13"/>
  <c r="AS8" i="13"/>
  <c r="AS12" i="13"/>
  <c r="AL8" i="13"/>
  <c r="AS11" i="13"/>
  <c r="AS19" i="13"/>
  <c r="AS9" i="13"/>
  <c r="AS36" i="13"/>
  <c r="AS10" i="13"/>
  <c r="AS5" i="13"/>
  <c r="AS14" i="13"/>
  <c r="AS23" i="13"/>
  <c r="G36" i="13"/>
  <c r="AS21" i="13"/>
  <c r="AS30" i="13"/>
  <c r="AS31" i="13"/>
  <c r="AS34" i="13"/>
  <c r="AL17" i="13"/>
  <c r="AS20" i="13"/>
  <c r="AS26" i="13"/>
  <c r="O33" i="13"/>
  <c r="O26" i="13"/>
  <c r="AS7" i="13"/>
  <c r="AL20" i="13"/>
  <c r="BH12" i="13"/>
  <c r="AS35" i="13"/>
  <c r="AS24" i="13"/>
  <c r="AS27" i="13"/>
  <c r="I246" i="3"/>
  <c r="P108" i="20" s="1"/>
  <c r="G273" i="3"/>
  <c r="P234" i="20" s="1"/>
  <c r="L95" i="20"/>
  <c r="G252" i="3"/>
  <c r="P141" i="20" s="1"/>
  <c r="L233" i="20"/>
  <c r="K250" i="3"/>
  <c r="P157" i="20" s="1"/>
  <c r="L124" i="20"/>
  <c r="C137" i="3"/>
  <c r="J81" i="20" s="1"/>
  <c r="C159" i="20"/>
  <c r="C113" i="3"/>
  <c r="J3" i="20" s="1"/>
  <c r="C247" i="20"/>
  <c r="K49" i="3"/>
  <c r="D247" i="20" s="1"/>
  <c r="C237" i="3"/>
  <c r="P36" i="20" s="1"/>
  <c r="C251" i="20"/>
  <c r="O105" i="20"/>
  <c r="I24" i="20"/>
  <c r="E94" i="3"/>
  <c r="G174" i="20" s="1"/>
  <c r="I189" i="3"/>
  <c r="M105" i="20" s="1"/>
  <c r="I204" i="3"/>
  <c r="M192" i="20" s="1"/>
  <c r="C95" i="20"/>
  <c r="F198" i="20"/>
  <c r="G189" i="3"/>
  <c r="M96" i="20" s="1"/>
  <c r="K207" i="3"/>
  <c r="M204" i="20" s="1"/>
  <c r="L44" i="20"/>
  <c r="C105" i="20"/>
  <c r="BB35" i="13"/>
  <c r="K21" i="13"/>
  <c r="K27" i="13"/>
  <c r="K7" i="13"/>
  <c r="K33" i="13"/>
  <c r="K5" i="13"/>
  <c r="K12" i="13"/>
  <c r="K15" i="13"/>
  <c r="K28" i="13"/>
  <c r="K23" i="13"/>
  <c r="K32" i="13"/>
  <c r="K20" i="13"/>
  <c r="K36" i="13"/>
  <c r="K26" i="13"/>
  <c r="K17" i="13"/>
  <c r="K6" i="13"/>
  <c r="K13" i="13"/>
  <c r="K8" i="13"/>
  <c r="K35" i="13"/>
  <c r="K30" i="13"/>
  <c r="K34" i="13"/>
  <c r="K25" i="13"/>
  <c r="K10" i="13"/>
  <c r="K14" i="13"/>
  <c r="K3" i="13"/>
  <c r="K24" i="13"/>
  <c r="K11" i="13"/>
  <c r="K22" i="13"/>
  <c r="K29" i="13"/>
  <c r="K19" i="13"/>
  <c r="K18" i="13"/>
  <c r="K4" i="13"/>
  <c r="K16" i="13"/>
  <c r="K31" i="13"/>
  <c r="K9" i="13"/>
  <c r="CC4" i="13"/>
  <c r="CC35" i="13"/>
  <c r="CC33" i="13"/>
  <c r="CC27" i="13"/>
  <c r="CC28" i="13"/>
  <c r="CC8" i="13"/>
  <c r="CC37" i="13"/>
  <c r="CC31" i="13"/>
  <c r="CC36" i="13"/>
  <c r="CC13" i="13"/>
  <c r="CC15" i="13"/>
  <c r="CC12" i="13"/>
  <c r="CC3" i="13"/>
  <c r="CC22" i="13"/>
  <c r="CC16" i="13"/>
  <c r="CC26" i="13"/>
  <c r="CC32" i="13"/>
  <c r="CC14" i="13"/>
  <c r="CC18" i="13"/>
  <c r="CC19" i="13"/>
  <c r="AJ19" i="13" s="1"/>
  <c r="CC25" i="13"/>
  <c r="CC7" i="13"/>
  <c r="CC10" i="13"/>
  <c r="CC23" i="13"/>
  <c r="CC20" i="13"/>
  <c r="CC17" i="13"/>
  <c r="AJ17" i="13" s="1"/>
  <c r="BB21" i="13"/>
  <c r="BB25" i="13"/>
  <c r="BB6" i="13"/>
  <c r="BB37" i="13"/>
  <c r="BB30" i="13"/>
  <c r="BB11" i="13"/>
  <c r="BB34" i="13"/>
  <c r="BB22" i="13"/>
  <c r="BB14" i="13"/>
  <c r="BB4" i="13"/>
  <c r="BB23" i="13"/>
  <c r="BB20" i="13"/>
  <c r="BB28" i="13"/>
  <c r="BB36" i="13"/>
  <c r="BB10" i="13"/>
  <c r="BB26" i="13"/>
  <c r="BB16" i="13"/>
  <c r="BB29" i="13"/>
  <c r="BB7" i="13"/>
  <c r="K37" i="13"/>
  <c r="BI28" i="13"/>
  <c r="BI19" i="13"/>
  <c r="BI23" i="13"/>
  <c r="BI13" i="13"/>
  <c r="BI3" i="13"/>
  <c r="BI36" i="13"/>
  <c r="BI21" i="13"/>
  <c r="BI27" i="13"/>
  <c r="BI4" i="13"/>
  <c r="BI31" i="13"/>
  <c r="BI8" i="13"/>
  <c r="BI20" i="13"/>
  <c r="BI17" i="13"/>
  <c r="BI16" i="13"/>
  <c r="BI15" i="13"/>
  <c r="BI33" i="13"/>
  <c r="BI22" i="13"/>
  <c r="BI10" i="13"/>
  <c r="BI24" i="13"/>
  <c r="BI37" i="13"/>
  <c r="BI26" i="13"/>
  <c r="BI9" i="13"/>
  <c r="BI29" i="13"/>
  <c r="BI6" i="13"/>
  <c r="BI30" i="13"/>
  <c r="BI25" i="13"/>
  <c r="BI34" i="13"/>
  <c r="BI35" i="13"/>
  <c r="BI18" i="13"/>
  <c r="BI32" i="13"/>
  <c r="BI12" i="13"/>
  <c r="AN27" i="13"/>
  <c r="AN3" i="13"/>
  <c r="AN19" i="13"/>
  <c r="AN4" i="13"/>
  <c r="AN20" i="13"/>
  <c r="AN24" i="13"/>
  <c r="AN16" i="13"/>
  <c r="AN22" i="13"/>
  <c r="AN13" i="13"/>
  <c r="Y10" i="13"/>
  <c r="Y4" i="13"/>
  <c r="Y25" i="13"/>
  <c r="BI11" i="13"/>
  <c r="Y51" i="13"/>
  <c r="AB51" i="13"/>
  <c r="AM7" i="13"/>
  <c r="N28" i="13"/>
  <c r="BX33" i="13"/>
  <c r="BX13" i="13"/>
  <c r="BX29" i="13"/>
  <c r="BX34" i="13"/>
  <c r="BX10" i="13"/>
  <c r="BX17" i="13"/>
  <c r="N34" i="13"/>
  <c r="BX8" i="13"/>
  <c r="BX24" i="13"/>
  <c r="N20" i="13"/>
  <c r="BX16" i="13"/>
  <c r="BX25" i="13"/>
  <c r="N23" i="13"/>
  <c r="AJ25" i="13" l="1"/>
  <c r="G3" i="13"/>
  <c r="AL33" i="13"/>
  <c r="AL4" i="13"/>
  <c r="AL9" i="13"/>
  <c r="G27" i="13"/>
  <c r="BV6" i="13"/>
  <c r="BV5" i="13"/>
  <c r="G35" i="13"/>
  <c r="BV21" i="13"/>
  <c r="BJ26" i="13"/>
  <c r="BV14" i="13"/>
  <c r="BV32" i="13"/>
  <c r="BV30" i="13"/>
  <c r="I58" i="20"/>
  <c r="F9" i="20"/>
  <c r="AR32" i="13"/>
  <c r="AR13" i="13"/>
  <c r="M5" i="13"/>
  <c r="BU19" i="13"/>
  <c r="BU23" i="13"/>
  <c r="BU20" i="13"/>
  <c r="BU12" i="13"/>
  <c r="BZ21" i="13"/>
  <c r="AR18" i="13"/>
  <c r="BV31" i="13"/>
  <c r="AR5" i="13"/>
  <c r="AR12" i="13"/>
  <c r="AR24" i="13"/>
  <c r="BU35" i="13"/>
  <c r="BU24" i="13"/>
  <c r="E4" i="13"/>
  <c r="Y9" i="13"/>
  <c r="Y7" i="13"/>
  <c r="Y8" i="13"/>
  <c r="M25" i="13"/>
  <c r="BU14" i="13"/>
  <c r="BU5" i="13"/>
  <c r="G30" i="13"/>
  <c r="BV36" i="13"/>
  <c r="BJ3" i="13"/>
  <c r="BV24" i="13"/>
  <c r="AR23" i="13"/>
  <c r="AR3" i="13"/>
  <c r="AR19" i="13"/>
  <c r="AR34" i="13"/>
  <c r="AR6" i="13"/>
  <c r="AR8" i="13"/>
  <c r="M32" i="13"/>
  <c r="I186" i="20"/>
  <c r="G22" i="13"/>
  <c r="G11" i="13"/>
  <c r="G16" i="13"/>
  <c r="BV33" i="13"/>
  <c r="BV28" i="13"/>
  <c r="BV10" i="13"/>
  <c r="BV8" i="13"/>
  <c r="BV12" i="13"/>
  <c r="AU12" i="13" s="1"/>
  <c r="BV20" i="13"/>
  <c r="G17" i="13"/>
  <c r="AR22" i="13"/>
  <c r="M17" i="13"/>
  <c r="BU16" i="13"/>
  <c r="BU15" i="13"/>
  <c r="BU31" i="13"/>
  <c r="BU13" i="13"/>
  <c r="AR7" i="13"/>
  <c r="AR26" i="13"/>
  <c r="AR29" i="13"/>
  <c r="AR9" i="13"/>
  <c r="BU17" i="13"/>
  <c r="BU28" i="13"/>
  <c r="AL18" i="13"/>
  <c r="AL22" i="13"/>
  <c r="G5" i="13"/>
  <c r="BV7" i="13"/>
  <c r="AU7" i="13" s="1"/>
  <c r="AL12" i="13"/>
  <c r="AL32" i="13"/>
  <c r="G24" i="13"/>
  <c r="BV35" i="13"/>
  <c r="BJ20" i="13"/>
  <c r="BV34" i="13"/>
  <c r="BV19" i="13"/>
  <c r="BV13" i="13"/>
  <c r="BJ34" i="13"/>
  <c r="BJ35" i="13"/>
  <c r="BV4" i="13"/>
  <c r="C204" i="20"/>
  <c r="G13" i="13"/>
  <c r="M22" i="13"/>
  <c r="AR21" i="13"/>
  <c r="M16" i="13"/>
  <c r="BU36" i="13"/>
  <c r="BU37" i="13"/>
  <c r="BU30" i="13"/>
  <c r="BU34" i="13"/>
  <c r="M30" i="13"/>
  <c r="BV25" i="13"/>
  <c r="AR11" i="13"/>
  <c r="AR4" i="13"/>
  <c r="AR35" i="13"/>
  <c r="AR28" i="13"/>
  <c r="BU11" i="13"/>
  <c r="BU21" i="13"/>
  <c r="AR15" i="13"/>
  <c r="AR10" i="13"/>
  <c r="BV27" i="13"/>
  <c r="BV17" i="13"/>
  <c r="BV11" i="13"/>
  <c r="G14" i="13"/>
  <c r="AL29" i="13"/>
  <c r="AL27" i="13"/>
  <c r="AL37" i="13"/>
  <c r="BJ24" i="13"/>
  <c r="BV9" i="13"/>
  <c r="BV15" i="13"/>
  <c r="AU15" i="13" s="1"/>
  <c r="BJ22" i="13"/>
  <c r="BJ23" i="13"/>
  <c r="BV23" i="13"/>
  <c r="G128" i="3"/>
  <c r="J54" i="20" s="1"/>
  <c r="AR14" i="13"/>
  <c r="BU22" i="13"/>
  <c r="BU32" i="13"/>
  <c r="BU27" i="13"/>
  <c r="BU33" i="13"/>
  <c r="BV3" i="13"/>
  <c r="AR17" i="13"/>
  <c r="BU18" i="13"/>
  <c r="AJ26" i="13"/>
  <c r="F197" i="20"/>
  <c r="E109" i="3"/>
  <c r="G225" i="20" s="1"/>
  <c r="AO23" i="13"/>
  <c r="AO33" i="13"/>
  <c r="Y31" i="13"/>
  <c r="Y13" i="13"/>
  <c r="Y12" i="13"/>
  <c r="Y11" i="13"/>
  <c r="P17" i="13"/>
  <c r="P18" i="13"/>
  <c r="Z8" i="13"/>
  <c r="Z7" i="13"/>
  <c r="F53" i="20"/>
  <c r="AL14" i="13"/>
  <c r="BJ15" i="13"/>
  <c r="BJ25" i="13"/>
  <c r="BJ21" i="13"/>
  <c r="G96" i="3"/>
  <c r="G185" i="20" s="1"/>
  <c r="U30" i="13"/>
  <c r="U23" i="13"/>
  <c r="C138" i="20"/>
  <c r="M6" i="13"/>
  <c r="M19" i="13"/>
  <c r="E23" i="13"/>
  <c r="E22" i="13"/>
  <c r="AT20" i="13"/>
  <c r="E6" i="13"/>
  <c r="BJ10" i="13"/>
  <c r="AN5" i="13"/>
  <c r="AN33" i="13"/>
  <c r="X22" i="13"/>
  <c r="X14" i="13"/>
  <c r="G26" i="13"/>
  <c r="G20" i="13"/>
  <c r="G21" i="13"/>
  <c r="BJ6" i="13"/>
  <c r="BJ14" i="13"/>
  <c r="BJ19" i="13"/>
  <c r="O204" i="20"/>
  <c r="O160" i="20"/>
  <c r="E27" i="3"/>
  <c r="D90" i="20" s="1"/>
  <c r="U3" i="13"/>
  <c r="U24" i="13"/>
  <c r="U37" i="13"/>
  <c r="M23" i="13"/>
  <c r="AL34" i="13"/>
  <c r="M21" i="13"/>
  <c r="M11" i="13"/>
  <c r="BJ9" i="13"/>
  <c r="M33" i="13"/>
  <c r="E14" i="13"/>
  <c r="E29" i="13"/>
  <c r="BX18" i="13"/>
  <c r="AT30" i="13"/>
  <c r="AT8" i="13"/>
  <c r="BX5" i="13"/>
  <c r="M14" i="13"/>
  <c r="AP7" i="13"/>
  <c r="AP33" i="13"/>
  <c r="K244" i="3"/>
  <c r="P115" i="20" s="1"/>
  <c r="L9" i="20"/>
  <c r="I192" i="20"/>
  <c r="BX7" i="13"/>
  <c r="BX11" i="13"/>
  <c r="BX20" i="13"/>
  <c r="BB33" i="13"/>
  <c r="BB15" i="13"/>
  <c r="BB32" i="13"/>
  <c r="BB19" i="13"/>
  <c r="AL13" i="13"/>
  <c r="AL11" i="13"/>
  <c r="AL10" i="13"/>
  <c r="BJ16" i="13"/>
  <c r="BJ8" i="13"/>
  <c r="BJ32" i="13"/>
  <c r="BJ12" i="13"/>
  <c r="BJ5" i="13"/>
  <c r="BJ17" i="13"/>
  <c r="E61" i="3"/>
  <c r="G15" i="20" s="1"/>
  <c r="E268" i="3"/>
  <c r="P220" i="20" s="1"/>
  <c r="U22" i="13"/>
  <c r="U15" i="13"/>
  <c r="U28" i="13"/>
  <c r="BX15" i="13"/>
  <c r="M20" i="13"/>
  <c r="M4" i="13"/>
  <c r="BX32" i="13"/>
  <c r="E24" i="13"/>
  <c r="E27" i="13"/>
  <c r="E30" i="13"/>
  <c r="U36" i="13"/>
  <c r="AT37" i="13"/>
  <c r="BX30" i="13"/>
  <c r="M37" i="13"/>
  <c r="C62" i="20"/>
  <c r="BB27" i="13"/>
  <c r="BB12" i="13"/>
  <c r="BB9" i="13"/>
  <c r="BB8" i="13"/>
  <c r="I250" i="3"/>
  <c r="P148" i="20" s="1"/>
  <c r="AL31" i="13"/>
  <c r="AL36" i="13"/>
  <c r="AL23" i="13"/>
  <c r="P24" i="13"/>
  <c r="BB13" i="13"/>
  <c r="BJ13" i="13"/>
  <c r="BJ11" i="13"/>
  <c r="E135" i="3"/>
  <c r="J88" i="20" s="1"/>
  <c r="U18" i="13"/>
  <c r="U13" i="13"/>
  <c r="M35" i="13"/>
  <c r="AL16" i="13"/>
  <c r="M36" i="13"/>
  <c r="M24" i="13"/>
  <c r="BX36" i="13"/>
  <c r="AL7" i="13"/>
  <c r="E21" i="13"/>
  <c r="E35" i="13"/>
  <c r="E8" i="13"/>
  <c r="AT10" i="13"/>
  <c r="U4" i="13"/>
  <c r="AT32" i="13"/>
  <c r="BX35" i="13"/>
  <c r="AL6" i="13"/>
  <c r="AR31" i="13"/>
  <c r="AR33" i="13"/>
  <c r="O16" i="20"/>
  <c r="BX28" i="13"/>
  <c r="BX14" i="13"/>
  <c r="BX21" i="13"/>
  <c r="BX37" i="13"/>
  <c r="BX4" i="13"/>
  <c r="BB31" i="13"/>
  <c r="BB17" i="13"/>
  <c r="BB5" i="13"/>
  <c r="BB18" i="13"/>
  <c r="AJ18" i="13"/>
  <c r="F229" i="20"/>
  <c r="AL15" i="13"/>
  <c r="AL30" i="13"/>
  <c r="AL5" i="13"/>
  <c r="AL28" i="13"/>
  <c r="BJ18" i="13"/>
  <c r="BJ30" i="13"/>
  <c r="BJ36" i="13"/>
  <c r="BJ33" i="13"/>
  <c r="H5" i="13"/>
  <c r="BJ37" i="13"/>
  <c r="I133" i="3"/>
  <c r="J104" i="20" s="1"/>
  <c r="BJ28" i="13"/>
  <c r="U6" i="13"/>
  <c r="U17" i="13"/>
  <c r="M34" i="13"/>
  <c r="M27" i="13"/>
  <c r="M29" i="13"/>
  <c r="BX22" i="13"/>
  <c r="AT25" i="13"/>
  <c r="E37" i="13"/>
  <c r="E32" i="13"/>
  <c r="E31" i="13"/>
  <c r="AT21" i="13"/>
  <c r="BX27" i="13"/>
  <c r="AT26" i="13"/>
  <c r="E15" i="13"/>
  <c r="E12" i="13"/>
  <c r="I132" i="20"/>
  <c r="Q14" i="13"/>
  <c r="I204" i="20"/>
  <c r="AU13" i="13"/>
  <c r="E169" i="3"/>
  <c r="M13" i="20" s="1"/>
  <c r="K144" i="3"/>
  <c r="J160" i="20" s="1"/>
  <c r="O248" i="20"/>
  <c r="AU8" i="13"/>
  <c r="G22" i="3"/>
  <c r="D94" i="20" s="1"/>
  <c r="K52" i="3"/>
  <c r="D250" i="20" s="1"/>
  <c r="E209" i="3"/>
  <c r="M179" i="20" s="1"/>
  <c r="I241" i="3"/>
  <c r="P103" i="20" s="1"/>
  <c r="K78" i="3"/>
  <c r="G113" i="20" s="1"/>
  <c r="C198" i="3"/>
  <c r="M123" i="20" s="1"/>
  <c r="F141" i="20"/>
  <c r="O144" i="20"/>
  <c r="K178" i="3"/>
  <c r="M67" i="20" s="1"/>
  <c r="L151" i="20"/>
  <c r="I188" i="20"/>
  <c r="I107" i="3"/>
  <c r="G241" i="20" s="1"/>
  <c r="AS25" i="13"/>
  <c r="BW27" i="13"/>
  <c r="BA5" i="13"/>
  <c r="P25" i="13"/>
  <c r="P19" i="13"/>
  <c r="AX12" i="13"/>
  <c r="AX13" i="13"/>
  <c r="Q22" i="13"/>
  <c r="Q21" i="13"/>
  <c r="Q7" i="13"/>
  <c r="O188" i="20"/>
  <c r="I215" i="3"/>
  <c r="M239" i="20" s="1"/>
  <c r="C40" i="3"/>
  <c r="D166" i="20" s="1"/>
  <c r="F125" i="20"/>
  <c r="C58" i="3"/>
  <c r="G3" i="20" s="1"/>
  <c r="C24" i="3"/>
  <c r="D78" i="20" s="1"/>
  <c r="AP14" i="13"/>
  <c r="K236" i="3"/>
  <c r="P71" i="20" s="1"/>
  <c r="E35" i="3"/>
  <c r="D134" i="20" s="1"/>
  <c r="E85" i="3"/>
  <c r="G129" i="20" s="1"/>
  <c r="I48" i="20"/>
  <c r="C8" i="3"/>
  <c r="D8" i="20" s="1"/>
  <c r="AX16" i="13"/>
  <c r="L79" i="20"/>
  <c r="I120" i="20"/>
  <c r="G80" i="3"/>
  <c r="G97" i="20" s="1"/>
  <c r="G180" i="3"/>
  <c r="M51" i="20" s="1"/>
  <c r="I141" i="3"/>
  <c r="J148" i="20" s="1"/>
  <c r="L63" i="20"/>
  <c r="K128" i="3"/>
  <c r="J72" i="20" s="1"/>
  <c r="I191" i="3"/>
  <c r="M107" i="20" s="1"/>
  <c r="O120" i="20"/>
  <c r="C32" i="3"/>
  <c r="D122" i="20" s="1"/>
  <c r="C116" i="3"/>
  <c r="J6" i="20" s="1"/>
  <c r="F41" i="20"/>
  <c r="AM27" i="13"/>
  <c r="AM31" i="13"/>
  <c r="AM32" i="13"/>
  <c r="AL3" i="13"/>
  <c r="AL25" i="13"/>
  <c r="AL24" i="13"/>
  <c r="AL26" i="13"/>
  <c r="AL21" i="13"/>
  <c r="U29" i="13"/>
  <c r="U12" i="13"/>
  <c r="CB35" i="13"/>
  <c r="O216" i="20"/>
  <c r="C164" i="3"/>
  <c r="J216" i="20" s="1"/>
  <c r="K12" i="3"/>
  <c r="D66" i="20" s="1"/>
  <c r="CB30" i="13"/>
  <c r="E252" i="3"/>
  <c r="P132" i="20" s="1"/>
  <c r="I33" i="3"/>
  <c r="D150" i="20" s="1"/>
  <c r="CB17" i="13"/>
  <c r="Q17" i="13"/>
  <c r="O75" i="20"/>
  <c r="L211" i="20"/>
  <c r="K218" i="3"/>
  <c r="M251" i="20" s="1"/>
  <c r="L135" i="20"/>
  <c r="C238" i="20"/>
  <c r="O59" i="20"/>
  <c r="L223" i="20"/>
  <c r="E43" i="3"/>
  <c r="D178" i="20" s="1"/>
  <c r="F85" i="20"/>
  <c r="L139" i="20"/>
  <c r="O87" i="20"/>
  <c r="C98" i="3"/>
  <c r="G169" i="20" s="1"/>
  <c r="O232" i="20"/>
  <c r="K70" i="3"/>
  <c r="G69" i="20" s="1"/>
  <c r="O4" i="20"/>
  <c r="K36" i="3"/>
  <c r="D162" i="20" s="1"/>
  <c r="K210" i="3"/>
  <c r="M207" i="20" s="1"/>
  <c r="L195" i="20"/>
  <c r="E51" i="3"/>
  <c r="D222" i="20" s="1"/>
  <c r="I76" i="20"/>
  <c r="O176" i="20"/>
  <c r="C232" i="3"/>
  <c r="P31" i="20" s="1"/>
  <c r="L111" i="20"/>
  <c r="I116" i="20"/>
  <c r="I60" i="20"/>
  <c r="I91" i="3"/>
  <c r="G153" i="20" s="1"/>
  <c r="BA9" i="13"/>
  <c r="AG9" i="13" s="1"/>
  <c r="Q5" i="13"/>
  <c r="E235" i="3"/>
  <c r="P43" i="20" s="1"/>
  <c r="O192" i="20"/>
  <c r="C206" i="20"/>
  <c r="I220" i="20"/>
  <c r="C82" i="3"/>
  <c r="G81" i="20" s="1"/>
  <c r="I25" i="3"/>
  <c r="D106" i="20" s="1"/>
  <c r="I144" i="20"/>
  <c r="E5" i="3"/>
  <c r="D14" i="20" s="1"/>
  <c r="I41" i="3"/>
  <c r="D194" i="20" s="1"/>
  <c r="C182" i="3"/>
  <c r="M35" i="20" s="1"/>
  <c r="L39" i="20"/>
  <c r="I44" i="20"/>
  <c r="G14" i="3"/>
  <c r="D50" i="20" s="1"/>
  <c r="G54" i="3"/>
  <c r="D234" i="20" s="1"/>
  <c r="C48" i="3"/>
  <c r="D210" i="20" s="1"/>
  <c r="G204" i="3"/>
  <c r="M183" i="20" s="1"/>
  <c r="O99" i="20"/>
  <c r="F57" i="20"/>
  <c r="L25" i="20"/>
  <c r="G162" i="3"/>
  <c r="J232" i="20" s="1"/>
  <c r="K160" i="3"/>
  <c r="J248" i="20" s="1"/>
  <c r="I32" i="20"/>
  <c r="E119" i="3"/>
  <c r="J18" i="20" s="1"/>
  <c r="C106" i="3"/>
  <c r="G213" i="20" s="1"/>
  <c r="AJ12" i="13"/>
  <c r="AW17" i="13"/>
  <c r="AW34" i="13"/>
  <c r="AW18" i="13"/>
  <c r="AW19" i="13"/>
  <c r="O23" i="13"/>
  <c r="O25" i="13"/>
  <c r="N29" i="13"/>
  <c r="N13" i="13"/>
  <c r="N15" i="13"/>
  <c r="AT22" i="13"/>
  <c r="AT4" i="13"/>
  <c r="AT5" i="13"/>
  <c r="AT6" i="13"/>
  <c r="AT7" i="13"/>
  <c r="E34" i="13"/>
  <c r="E17" i="13"/>
  <c r="E18" i="13"/>
  <c r="L35" i="13"/>
  <c r="L13" i="13"/>
  <c r="L14" i="13"/>
  <c r="AU17" i="13"/>
  <c r="AY19" i="13"/>
  <c r="AY17" i="13"/>
  <c r="AY34" i="13"/>
  <c r="AY18" i="13"/>
  <c r="AY35" i="13"/>
  <c r="AY36" i="13"/>
  <c r="AY11" i="13"/>
  <c r="AX17" i="13"/>
  <c r="AX18" i="13"/>
  <c r="AX19" i="13"/>
  <c r="Q6" i="13"/>
  <c r="K258" i="3"/>
  <c r="P201" i="20" s="1"/>
  <c r="O13" i="20"/>
  <c r="O68" i="20"/>
  <c r="AQ51" i="13"/>
  <c r="AN9" i="13"/>
  <c r="G18" i="13"/>
  <c r="O14" i="13"/>
  <c r="O9" i="13"/>
  <c r="G15" i="13"/>
  <c r="O5" i="13"/>
  <c r="X29" i="13"/>
  <c r="X37" i="13"/>
  <c r="G62" i="3"/>
  <c r="G25" i="20" s="1"/>
  <c r="G23" i="13"/>
  <c r="O19" i="13"/>
  <c r="O16" i="13"/>
  <c r="G19" i="13"/>
  <c r="X24" i="13"/>
  <c r="O18" i="13"/>
  <c r="X7" i="13"/>
  <c r="L77" i="20"/>
  <c r="BL20" i="13"/>
  <c r="BL16" i="13"/>
  <c r="BZ37" i="13"/>
  <c r="BZ30" i="13"/>
  <c r="BZ12" i="13"/>
  <c r="AI12" i="13" s="1"/>
  <c r="BZ3" i="13"/>
  <c r="AI3" i="13" s="1"/>
  <c r="BD8" i="13"/>
  <c r="AC8" i="13" s="1"/>
  <c r="C48" i="20"/>
  <c r="AN7" i="13"/>
  <c r="G8" i="13"/>
  <c r="X28" i="13"/>
  <c r="X5" i="13"/>
  <c r="I246" i="20"/>
  <c r="BL6" i="13"/>
  <c r="BZ4" i="13"/>
  <c r="BZ23" i="13"/>
  <c r="BZ35" i="13"/>
  <c r="AN28" i="13"/>
  <c r="AN21" i="13"/>
  <c r="O34" i="13"/>
  <c r="G6" i="13"/>
  <c r="G7" i="13"/>
  <c r="X8" i="13"/>
  <c r="O57" i="20"/>
  <c r="C216" i="20"/>
  <c r="X21" i="13"/>
  <c r="E91" i="3"/>
  <c r="G135" i="20" s="1"/>
  <c r="I81" i="3"/>
  <c r="G107" i="20" s="1"/>
  <c r="E17" i="3"/>
  <c r="D44" i="20" s="1"/>
  <c r="F111" i="20"/>
  <c r="C271" i="3"/>
  <c r="P214" i="20" s="1"/>
  <c r="G31" i="13"/>
  <c r="X15" i="13"/>
  <c r="X26" i="13"/>
  <c r="C122" i="3"/>
  <c r="J30" i="20" s="1"/>
  <c r="C188" i="20"/>
  <c r="L193" i="20"/>
  <c r="X4" i="13"/>
  <c r="L189" i="20"/>
  <c r="G86" i="3"/>
  <c r="G139" i="20" s="1"/>
  <c r="I39" i="3"/>
  <c r="D192" i="20" s="1"/>
  <c r="C14" i="3"/>
  <c r="D32" i="20" s="1"/>
  <c r="K26" i="3"/>
  <c r="D116" i="20" s="1"/>
  <c r="BL24" i="13"/>
  <c r="BZ24" i="13"/>
  <c r="BZ19" i="13"/>
  <c r="AI19" i="13" s="1"/>
  <c r="BZ36" i="13"/>
  <c r="AI36" i="13" s="1"/>
  <c r="BZ32" i="13"/>
  <c r="BD21" i="13"/>
  <c r="AC21" i="13" s="1"/>
  <c r="BD9" i="13"/>
  <c r="AC9" i="13" s="1"/>
  <c r="J51" i="13"/>
  <c r="F51" i="20"/>
  <c r="F251" i="20"/>
  <c r="E33" i="3"/>
  <c r="D132" i="20" s="1"/>
  <c r="I197" i="3"/>
  <c r="M149" i="20" s="1"/>
  <c r="BZ34" i="13"/>
  <c r="AI34" i="13" s="1"/>
  <c r="BZ31" i="13"/>
  <c r="AN14" i="13"/>
  <c r="AN15" i="13"/>
  <c r="I155" i="3"/>
  <c r="J198" i="20" s="1"/>
  <c r="G33" i="13"/>
  <c r="X19" i="13"/>
  <c r="BE5" i="13"/>
  <c r="AH5" i="13" s="1"/>
  <c r="AN23" i="13"/>
  <c r="AN18" i="13"/>
  <c r="AN34" i="13"/>
  <c r="AN36" i="13"/>
  <c r="O8" i="13"/>
  <c r="O4" i="13"/>
  <c r="G10" i="13"/>
  <c r="O22" i="13"/>
  <c r="G25" i="13"/>
  <c r="X23" i="13"/>
  <c r="F223" i="20"/>
  <c r="E141" i="3"/>
  <c r="J130" i="20" s="1"/>
  <c r="G29" i="13"/>
  <c r="AN12" i="13"/>
  <c r="AN31" i="13"/>
  <c r="AN8" i="13"/>
  <c r="AN29" i="13"/>
  <c r="K18" i="3"/>
  <c r="D72" i="20" s="1"/>
  <c r="O27" i="13"/>
  <c r="O31" i="13"/>
  <c r="O15" i="13"/>
  <c r="O13" i="13"/>
  <c r="O12" i="13"/>
  <c r="O36" i="13"/>
  <c r="O28" i="13"/>
  <c r="X30" i="13"/>
  <c r="X32" i="13"/>
  <c r="O30" i="13"/>
  <c r="K68" i="3"/>
  <c r="G67" i="20" s="1"/>
  <c r="O85" i="20"/>
  <c r="E67" i="3"/>
  <c r="G39" i="20" s="1"/>
  <c r="E49" i="3"/>
  <c r="D220" i="20" s="1"/>
  <c r="C180" i="3"/>
  <c r="M33" i="20" s="1"/>
  <c r="C16" i="20"/>
  <c r="I23" i="3"/>
  <c r="D104" i="20" s="1"/>
  <c r="AM4" i="13"/>
  <c r="I15" i="3"/>
  <c r="D60" i="20" s="1"/>
  <c r="F37" i="13"/>
  <c r="N33" i="13"/>
  <c r="N25" i="13"/>
  <c r="F29" i="13"/>
  <c r="BY23" i="13"/>
  <c r="BL12" i="13"/>
  <c r="AA12" i="13" s="1"/>
  <c r="BZ26" i="13"/>
  <c r="AI26" i="13" s="1"/>
  <c r="BZ20" i="13"/>
  <c r="AI20" i="13" s="1"/>
  <c r="W36" i="13"/>
  <c r="BK37" i="13"/>
  <c r="BZ25" i="13"/>
  <c r="BZ13" i="13"/>
  <c r="AI13" i="13" s="1"/>
  <c r="BK8" i="13"/>
  <c r="BK20" i="13"/>
  <c r="BD32" i="13"/>
  <c r="AC32" i="13" s="1"/>
  <c r="X18" i="13"/>
  <c r="X12" i="13"/>
  <c r="X13" i="13"/>
  <c r="F167" i="20"/>
  <c r="X25" i="13"/>
  <c r="AN6" i="13"/>
  <c r="AN17" i="13"/>
  <c r="G36" i="3"/>
  <c r="D144" i="20" s="1"/>
  <c r="G32" i="13"/>
  <c r="G12" i="13"/>
  <c r="O20" i="13"/>
  <c r="O37" i="13"/>
  <c r="O3" i="13"/>
  <c r="O7" i="13"/>
  <c r="O32" i="13"/>
  <c r="X9" i="13"/>
  <c r="X11" i="13"/>
  <c r="AU14" i="13"/>
  <c r="X16" i="13"/>
  <c r="X10" i="13"/>
  <c r="E117" i="3"/>
  <c r="J16" i="20" s="1"/>
  <c r="E125" i="3"/>
  <c r="J42" i="20" s="1"/>
  <c r="E25" i="3"/>
  <c r="D88" i="20" s="1"/>
  <c r="F13" i="20"/>
  <c r="C176" i="20"/>
  <c r="L89" i="20"/>
  <c r="L45" i="20"/>
  <c r="F95" i="20"/>
  <c r="C76" i="20"/>
  <c r="BL14" i="13"/>
  <c r="AV14" i="13" s="1"/>
  <c r="BZ5" i="13"/>
  <c r="BZ10" i="13"/>
  <c r="BZ33" i="13"/>
  <c r="BZ27" i="13"/>
  <c r="AY21" i="13"/>
  <c r="AY13" i="13"/>
  <c r="AN10" i="13"/>
  <c r="AN30" i="13"/>
  <c r="O29" i="13"/>
  <c r="O11" i="13"/>
  <c r="X17" i="13"/>
  <c r="AN11" i="13"/>
  <c r="AN37" i="13"/>
  <c r="AN35" i="13"/>
  <c r="AN32" i="13"/>
  <c r="AN26" i="13"/>
  <c r="AN25" i="13"/>
  <c r="O35" i="13"/>
  <c r="G28" i="13"/>
  <c r="G4" i="13"/>
  <c r="O6" i="13"/>
  <c r="G37" i="13"/>
  <c r="O17" i="13"/>
  <c r="O24" i="13"/>
  <c r="X27" i="13"/>
  <c r="X33" i="13"/>
  <c r="X3" i="13"/>
  <c r="O10" i="13"/>
  <c r="G52" i="3"/>
  <c r="D232" i="20" s="1"/>
  <c r="C30" i="3"/>
  <c r="D120" i="20" s="1"/>
  <c r="F63" i="20"/>
  <c r="F123" i="20"/>
  <c r="BL3" i="13"/>
  <c r="BL35" i="13"/>
  <c r="BZ18" i="13"/>
  <c r="BZ11" i="13"/>
  <c r="BZ17" i="13"/>
  <c r="BZ15" i="13"/>
  <c r="AX10" i="13"/>
  <c r="L167" i="20"/>
  <c r="L177" i="20"/>
  <c r="C195" i="3"/>
  <c r="M120" i="20" s="1"/>
  <c r="BK29" i="13"/>
  <c r="AV29" i="13" s="1"/>
  <c r="BZ7" i="13"/>
  <c r="BK16" i="13"/>
  <c r="AV16" i="13" s="1"/>
  <c r="N3" i="13"/>
  <c r="Z36" i="13"/>
  <c r="Z35" i="13"/>
  <c r="C63" i="3"/>
  <c r="G8" i="20" s="1"/>
  <c r="U7" i="13"/>
  <c r="M12" i="13"/>
  <c r="M8" i="13"/>
  <c r="BX12" i="13"/>
  <c r="AV12" i="13" s="1"/>
  <c r="AT31" i="13"/>
  <c r="E28" i="13"/>
  <c r="E9" i="13"/>
  <c r="AT17" i="13"/>
  <c r="AT28" i="13"/>
  <c r="BX9" i="13"/>
  <c r="AT15" i="13"/>
  <c r="M28" i="13"/>
  <c r="M18" i="13"/>
  <c r="BJ4" i="13"/>
  <c r="M10" i="13"/>
  <c r="M13" i="13"/>
  <c r="BJ27" i="13"/>
  <c r="E5" i="13"/>
  <c r="E16" i="13"/>
  <c r="E13" i="13"/>
  <c r="AT34" i="13"/>
  <c r="AT14" i="13"/>
  <c r="AT13" i="13"/>
  <c r="AT9" i="13"/>
  <c r="AT3" i="13"/>
  <c r="BX26" i="13"/>
  <c r="U27" i="13"/>
  <c r="M26" i="13"/>
  <c r="M15" i="13"/>
  <c r="BX6" i="13"/>
  <c r="AT27" i="13"/>
  <c r="AT19" i="13"/>
  <c r="AT18" i="13"/>
  <c r="BX19" i="13"/>
  <c r="E36" i="13"/>
  <c r="M7" i="13"/>
  <c r="AJ30" i="13"/>
  <c r="O178" i="20"/>
  <c r="I197" i="20"/>
  <c r="I162" i="3"/>
  <c r="J241" i="20" s="1"/>
  <c r="I169" i="20"/>
  <c r="AU32" i="13"/>
  <c r="AU34" i="13"/>
  <c r="L220" i="20"/>
  <c r="AV51" i="13"/>
  <c r="AU33" i="13"/>
  <c r="AX51" i="13"/>
  <c r="I271" i="3"/>
  <c r="P241" i="20" s="1"/>
  <c r="F79" i="20"/>
  <c r="F207" i="20"/>
  <c r="I89" i="3"/>
  <c r="G151" i="20" s="1"/>
  <c r="BE51" i="13"/>
  <c r="E20" i="15"/>
  <c r="AH51" i="13"/>
  <c r="AM16" i="13"/>
  <c r="AM5" i="13"/>
  <c r="AB30" i="13"/>
  <c r="BP4" i="13"/>
  <c r="BP12" i="13"/>
  <c r="BP20" i="13"/>
  <c r="BP28" i="13"/>
  <c r="BP36" i="13"/>
  <c r="BT36" i="13" s="1"/>
  <c r="AZ36" i="13" s="1"/>
  <c r="BP5" i="13"/>
  <c r="BP13" i="13"/>
  <c r="BP21" i="13"/>
  <c r="BP29" i="13"/>
  <c r="BP37" i="13"/>
  <c r="BP6" i="13"/>
  <c r="BP14" i="13"/>
  <c r="BP22" i="13"/>
  <c r="BP30" i="13"/>
  <c r="BP3" i="13"/>
  <c r="BP17" i="13"/>
  <c r="BP25" i="13"/>
  <c r="BP34" i="13"/>
  <c r="BP27" i="13"/>
  <c r="BP7" i="13"/>
  <c r="BP15" i="13"/>
  <c r="BP23" i="13"/>
  <c r="BP31" i="13"/>
  <c r="BP33" i="13"/>
  <c r="BP19" i="13"/>
  <c r="BP35" i="13"/>
  <c r="BP8" i="13"/>
  <c r="BP16" i="13"/>
  <c r="BP24" i="13"/>
  <c r="BP32" i="13"/>
  <c r="BP26" i="13"/>
  <c r="BP9" i="13"/>
  <c r="BP10" i="13"/>
  <c r="BP18" i="13"/>
  <c r="BT18" i="13" s="1"/>
  <c r="AZ18" i="13" s="1"/>
  <c r="BP11" i="13"/>
  <c r="AU51" i="13"/>
  <c r="AB32" i="13"/>
  <c r="AB23" i="13"/>
  <c r="AB35" i="13"/>
  <c r="AA3" i="13"/>
  <c r="AB8" i="13"/>
  <c r="AB3" i="13"/>
  <c r="AJ10" i="13"/>
  <c r="AB36" i="13"/>
  <c r="AB34" i="13"/>
  <c r="AB28" i="13"/>
  <c r="AA28" i="13"/>
  <c r="AB17" i="13"/>
  <c r="AB6" i="13"/>
  <c r="I188" i="3"/>
  <c r="M104" i="20" s="1"/>
  <c r="R51" i="13"/>
  <c r="AB14" i="13"/>
  <c r="AB33" i="13"/>
  <c r="AB15" i="13"/>
  <c r="AB16" i="13"/>
  <c r="AB13" i="13"/>
  <c r="AB12" i="13"/>
  <c r="AP51" i="13"/>
  <c r="AB19" i="13"/>
  <c r="AB21" i="13"/>
  <c r="AB20" i="13"/>
  <c r="AB18" i="13"/>
  <c r="AB26" i="13"/>
  <c r="AB31" i="13"/>
  <c r="AB22" i="13"/>
  <c r="AB24" i="13"/>
  <c r="AB25" i="13"/>
  <c r="AB9" i="13"/>
  <c r="AB11" i="13"/>
  <c r="AB29" i="13"/>
  <c r="AB27" i="13"/>
  <c r="AB5" i="13"/>
  <c r="AB10" i="13"/>
  <c r="AB7" i="13"/>
  <c r="AB4" i="13"/>
  <c r="F61" i="2"/>
  <c r="E26" i="2"/>
  <c r="F26" i="2" s="1"/>
  <c r="G26" i="2" s="1"/>
  <c r="F54" i="2"/>
  <c r="G54" i="2" s="1"/>
  <c r="E32" i="2"/>
  <c r="F32" i="2" s="1"/>
  <c r="G32" i="2" s="1"/>
  <c r="E80" i="3"/>
  <c r="G88" i="20" s="1"/>
  <c r="O81" i="20"/>
  <c r="O113" i="20"/>
  <c r="L23" i="20"/>
  <c r="L237" i="20"/>
  <c r="K200" i="3"/>
  <c r="M161" i="20" s="1"/>
  <c r="G253" i="3"/>
  <c r="P142" i="20" s="1"/>
  <c r="I174" i="20"/>
  <c r="L158" i="20"/>
  <c r="C229" i="20"/>
  <c r="L249" i="20"/>
  <c r="I214" i="20"/>
  <c r="K259" i="3"/>
  <c r="P202" i="20" s="1"/>
  <c r="L49" i="20"/>
  <c r="C227" i="3"/>
  <c r="P7" i="20" s="1"/>
  <c r="K267" i="3"/>
  <c r="P246" i="20" s="1"/>
  <c r="F192" i="20"/>
  <c r="I9" i="20"/>
  <c r="I98" i="20"/>
  <c r="F18" i="20"/>
  <c r="G67" i="3"/>
  <c r="G48" i="20" s="1"/>
  <c r="I272" i="3"/>
  <c r="P242" i="20" s="1"/>
  <c r="K192" i="3"/>
  <c r="M117" i="20" s="1"/>
  <c r="C157" i="20"/>
  <c r="C204" i="3"/>
  <c r="M165" i="20" s="1"/>
  <c r="F211" i="20"/>
  <c r="G41" i="3"/>
  <c r="D185" i="20" s="1"/>
  <c r="F183" i="20"/>
  <c r="L205" i="20"/>
  <c r="I78" i="3"/>
  <c r="G104" i="20" s="1"/>
  <c r="L246" i="20"/>
  <c r="C146" i="3"/>
  <c r="J126" i="20" s="1"/>
  <c r="O174" i="20"/>
  <c r="K126" i="3"/>
  <c r="J70" i="20" s="1"/>
  <c r="E250" i="3"/>
  <c r="P130" i="20" s="1"/>
  <c r="G269" i="3"/>
  <c r="P230" i="20" s="1"/>
  <c r="C35" i="3"/>
  <c r="D125" i="20" s="1"/>
  <c r="L121" i="20"/>
  <c r="L133" i="20"/>
  <c r="L61" i="20"/>
  <c r="G17" i="3"/>
  <c r="D53" i="20" s="1"/>
  <c r="G144" i="3"/>
  <c r="J142" i="20" s="1"/>
  <c r="E114" i="3"/>
  <c r="J13" i="20" s="1"/>
  <c r="C263" i="3"/>
  <c r="P170" i="20" s="1"/>
  <c r="L114" i="20"/>
  <c r="K134" i="3"/>
  <c r="J114" i="20" s="1"/>
  <c r="I202" i="20"/>
  <c r="K234" i="3"/>
  <c r="P69" i="20" s="1"/>
  <c r="K251" i="3"/>
  <c r="P158" i="20" s="1"/>
  <c r="O186" i="20"/>
  <c r="L221" i="20"/>
  <c r="O198" i="20"/>
  <c r="O41" i="20"/>
  <c r="F239" i="20"/>
  <c r="G91" i="3"/>
  <c r="G144" i="20" s="1"/>
  <c r="L58" i="20"/>
  <c r="C241" i="20"/>
  <c r="G244" i="3"/>
  <c r="P97" i="20" s="1"/>
  <c r="G236" i="3"/>
  <c r="P53" i="20" s="1"/>
  <c r="L142" i="20"/>
  <c r="G207" i="3"/>
  <c r="M186" i="20" s="1"/>
  <c r="L242" i="20"/>
  <c r="I170" i="20"/>
  <c r="L7" i="20"/>
  <c r="C43" i="3"/>
  <c r="D169" i="20" s="1"/>
  <c r="G186" i="3"/>
  <c r="M93" i="20" s="1"/>
  <c r="I251" i="20"/>
  <c r="I190" i="3"/>
  <c r="M106" i="20" s="1"/>
  <c r="O251" i="20"/>
  <c r="G233" i="3"/>
  <c r="P50" i="20" s="1"/>
  <c r="C231" i="3"/>
  <c r="P30" i="20" s="1"/>
  <c r="I86" i="3"/>
  <c r="G148" i="20" s="1"/>
  <c r="C235" i="3"/>
  <c r="P34" i="20" s="1"/>
  <c r="C127" i="3"/>
  <c r="J35" i="20" s="1"/>
  <c r="I123" i="20"/>
  <c r="I160" i="3"/>
  <c r="J239" i="20" s="1"/>
  <c r="C141" i="20"/>
  <c r="I107" i="20"/>
  <c r="E246" i="3"/>
  <c r="P90" i="20" s="1"/>
  <c r="I111" i="20"/>
  <c r="F22" i="20"/>
  <c r="K89" i="3"/>
  <c r="G160" i="20" s="1"/>
  <c r="I12" i="3"/>
  <c r="D57" i="20" s="1"/>
  <c r="C69" i="3"/>
  <c r="G32" i="20" s="1"/>
  <c r="I151" i="20"/>
  <c r="C201" i="3"/>
  <c r="M126" i="20" s="1"/>
  <c r="G225" i="3"/>
  <c r="P23" i="20" s="1"/>
  <c r="C77" i="3"/>
  <c r="G76" i="20" s="1"/>
  <c r="L98" i="20"/>
  <c r="G241" i="3"/>
  <c r="P94" i="20" s="1"/>
  <c r="O106" i="20"/>
  <c r="G149" i="3"/>
  <c r="J183" i="20" s="1"/>
  <c r="F216" i="20"/>
  <c r="L54" i="20"/>
  <c r="C51" i="3"/>
  <c r="D213" i="20" s="1"/>
  <c r="I211" i="20"/>
  <c r="K231" i="3"/>
  <c r="P66" i="20" s="1"/>
  <c r="O58" i="20"/>
  <c r="L230" i="20"/>
  <c r="L214" i="20"/>
  <c r="L202" i="20"/>
  <c r="E263" i="3"/>
  <c r="P179" i="20" s="1"/>
  <c r="E162" i="3"/>
  <c r="J223" i="20" s="1"/>
  <c r="E34" i="3"/>
  <c r="D133" i="20" s="1"/>
  <c r="I135" i="20"/>
  <c r="C169" i="3"/>
  <c r="M4" i="20" s="1"/>
  <c r="E96" i="3"/>
  <c r="G176" i="20" s="1"/>
  <c r="C69" i="20"/>
  <c r="C153" i="20"/>
  <c r="O62" i="20"/>
  <c r="I210" i="3"/>
  <c r="M198" i="20" s="1"/>
  <c r="I253" i="3"/>
  <c r="P151" i="20" s="1"/>
  <c r="C181" i="3"/>
  <c r="M34" i="20" s="1"/>
  <c r="C85" i="20"/>
  <c r="C97" i="20"/>
  <c r="E226" i="3"/>
  <c r="P15" i="20" s="1"/>
  <c r="O195" i="20"/>
  <c r="F132" i="20"/>
  <c r="K73" i="3"/>
  <c r="G72" i="20" s="1"/>
  <c r="L8" i="20"/>
  <c r="C260" i="3"/>
  <c r="P167" i="20" s="1"/>
  <c r="K181" i="3"/>
  <c r="M70" i="20" s="1"/>
  <c r="I179" i="20"/>
  <c r="K123" i="3"/>
  <c r="J67" i="20" s="1"/>
  <c r="C197" i="20"/>
  <c r="E180" i="3"/>
  <c r="M42" i="20" s="1"/>
  <c r="G45" i="3"/>
  <c r="D189" i="20" s="1"/>
  <c r="BI14" i="13"/>
  <c r="L130" i="20"/>
  <c r="O223" i="20"/>
  <c r="I195" i="20"/>
  <c r="G133" i="3"/>
  <c r="J95" i="20" s="1"/>
  <c r="C201" i="20"/>
  <c r="I128" i="3"/>
  <c r="J63" i="20" s="1"/>
  <c r="K105" i="3"/>
  <c r="G248" i="20" s="1"/>
  <c r="C5" i="20"/>
  <c r="F124" i="20"/>
  <c r="K81" i="3"/>
  <c r="G116" i="20" s="1"/>
  <c r="I25" i="20"/>
  <c r="E255" i="3"/>
  <c r="P135" i="20" s="1"/>
  <c r="O139" i="20"/>
  <c r="F232" i="20"/>
  <c r="C135" i="3"/>
  <c r="J79" i="20" s="1"/>
  <c r="L150" i="20"/>
  <c r="C113" i="20"/>
  <c r="L170" i="20"/>
  <c r="E72" i="3"/>
  <c r="G44" i="20" s="1"/>
  <c r="O207" i="20"/>
  <c r="L90" i="20"/>
  <c r="I175" i="20"/>
  <c r="I186" i="3"/>
  <c r="M102" i="20" s="1"/>
  <c r="C243" i="3"/>
  <c r="P78" i="20" s="1"/>
  <c r="C151" i="3"/>
  <c r="J167" i="20" s="1"/>
  <c r="G99" i="3"/>
  <c r="G188" i="20" s="1"/>
  <c r="E172" i="3"/>
  <c r="M16" i="20" s="1"/>
  <c r="F60" i="20"/>
  <c r="C61" i="3"/>
  <c r="G6" i="20" s="1"/>
  <c r="K153" i="3"/>
  <c r="J205" i="20" s="1"/>
  <c r="G97" i="3"/>
  <c r="G186" i="20" s="1"/>
  <c r="E152" i="3"/>
  <c r="J177" i="20" s="1"/>
  <c r="O21" i="20"/>
  <c r="I108" i="3"/>
  <c r="G242" i="20" s="1"/>
  <c r="G40" i="15"/>
  <c r="E160" i="3"/>
  <c r="J221" i="20" s="1"/>
  <c r="I76" i="3"/>
  <c r="G102" i="20" s="1"/>
  <c r="G89" i="3"/>
  <c r="G142" i="20" s="1"/>
  <c r="I142" i="3"/>
  <c r="J149" i="20" s="1"/>
  <c r="L26" i="20"/>
  <c r="L112" i="20"/>
  <c r="E78" i="3"/>
  <c r="G86" i="20" s="1"/>
  <c r="G31" i="3"/>
  <c r="D139" i="20" s="1"/>
  <c r="O221" i="20"/>
  <c r="O129" i="20"/>
  <c r="O153" i="20"/>
  <c r="E128" i="3"/>
  <c r="J45" i="20" s="1"/>
  <c r="L196" i="20"/>
  <c r="K270" i="3"/>
  <c r="P249" i="20" s="1"/>
  <c r="I121" i="20"/>
  <c r="C59" i="3"/>
  <c r="G4" i="20" s="1"/>
  <c r="C241" i="3"/>
  <c r="P76" i="20" s="1"/>
  <c r="F16" i="20"/>
  <c r="L108" i="20"/>
  <c r="C49" i="3"/>
  <c r="D211" i="20" s="1"/>
  <c r="I158" i="3"/>
  <c r="J237" i="20" s="1"/>
  <c r="F202" i="20"/>
  <c r="I234" i="3"/>
  <c r="P60" i="20" s="1"/>
  <c r="I89" i="20"/>
  <c r="E52" i="3"/>
  <c r="D223" i="20" s="1"/>
  <c r="G205" i="3"/>
  <c r="M184" i="20" s="1"/>
  <c r="O165" i="20"/>
  <c r="O32" i="20"/>
  <c r="C179" i="20"/>
  <c r="E144" i="3"/>
  <c r="J133" i="20" s="1"/>
  <c r="I105" i="20"/>
  <c r="I269" i="3"/>
  <c r="P239" i="20" s="1"/>
  <c r="C252" i="3"/>
  <c r="P123" i="20" s="1"/>
  <c r="O183" i="20"/>
  <c r="E188" i="3"/>
  <c r="M86" i="20" s="1"/>
  <c r="E73" i="3"/>
  <c r="G45" i="20" s="1"/>
  <c r="I207" i="20"/>
  <c r="I39" i="20"/>
  <c r="O211" i="20"/>
  <c r="I153" i="3"/>
  <c r="J196" i="20" s="1"/>
  <c r="O228" i="20"/>
  <c r="G305" i="15"/>
  <c r="I152" i="15"/>
  <c r="I140" i="20"/>
  <c r="I187" i="3"/>
  <c r="M103" i="20" s="1"/>
  <c r="E105" i="3"/>
  <c r="G221" i="20" s="1"/>
  <c r="F149" i="20"/>
  <c r="L115" i="20"/>
  <c r="C128" i="3"/>
  <c r="J36" i="20" s="1"/>
  <c r="Y24" i="13"/>
  <c r="BH9" i="13"/>
  <c r="AE9" i="13" s="1"/>
  <c r="BH33" i="13"/>
  <c r="AE33" i="13" s="1"/>
  <c r="BH36" i="13"/>
  <c r="AE36" i="13" s="1"/>
  <c r="P7" i="13"/>
  <c r="P35" i="13"/>
  <c r="I35" i="3"/>
  <c r="D152" i="20" s="1"/>
  <c r="C174" i="20"/>
  <c r="AJ11" i="13"/>
  <c r="I103" i="3"/>
  <c r="G237" i="20" s="1"/>
  <c r="J26" i="13"/>
  <c r="O35" i="20"/>
  <c r="J13" i="13"/>
  <c r="J22" i="13"/>
  <c r="BQ35" i="13"/>
  <c r="BQ4" i="13"/>
  <c r="L32" i="13"/>
  <c r="L18" i="13"/>
  <c r="AY37" i="13"/>
  <c r="AY29" i="13"/>
  <c r="AY3" i="13"/>
  <c r="BH37" i="13"/>
  <c r="AA37" i="13" s="1"/>
  <c r="D9" i="13"/>
  <c r="J4" i="13"/>
  <c r="AW23" i="13"/>
  <c r="AY9" i="13"/>
  <c r="J35" i="13"/>
  <c r="AY7" i="13"/>
  <c r="BQ3" i="13"/>
  <c r="Y17" i="13"/>
  <c r="Y34" i="13"/>
  <c r="I240" i="20"/>
  <c r="I250" i="20"/>
  <c r="K271" i="3"/>
  <c r="P250" i="20" s="1"/>
  <c r="BH23" i="13"/>
  <c r="BH7" i="13"/>
  <c r="AA7" i="13" s="1"/>
  <c r="BH32" i="13"/>
  <c r="AE32" i="13" s="1"/>
  <c r="BH8" i="13"/>
  <c r="P8" i="13"/>
  <c r="BR8" i="13"/>
  <c r="H36" i="13"/>
  <c r="I8" i="20"/>
  <c r="G34" i="3"/>
  <c r="D142" i="20" s="1"/>
  <c r="C18" i="3"/>
  <c r="D36" i="20" s="1"/>
  <c r="K106" i="3"/>
  <c r="G249" i="20" s="1"/>
  <c r="J7" i="13"/>
  <c r="L231" i="20"/>
  <c r="AO13" i="13"/>
  <c r="J19" i="13"/>
  <c r="J37" i="13"/>
  <c r="J36" i="13"/>
  <c r="BQ21" i="13"/>
  <c r="BQ29" i="13"/>
  <c r="BQ11" i="13"/>
  <c r="J31" i="13"/>
  <c r="AY16" i="13"/>
  <c r="AY12" i="13"/>
  <c r="AY5" i="13"/>
  <c r="AY22" i="13"/>
  <c r="BH35" i="13"/>
  <c r="J18" i="13"/>
  <c r="BH31" i="13"/>
  <c r="AA31" i="13" s="1"/>
  <c r="J11" i="13"/>
  <c r="AY30" i="13"/>
  <c r="AY8" i="13"/>
  <c r="BH24" i="13"/>
  <c r="AA24" i="13" s="1"/>
  <c r="Y28" i="13"/>
  <c r="E231" i="3"/>
  <c r="P39" i="20" s="1"/>
  <c r="CA8" i="13"/>
  <c r="BH29" i="13"/>
  <c r="AA29" i="13" s="1"/>
  <c r="BH18" i="13"/>
  <c r="AA18" i="13" s="1"/>
  <c r="BR9" i="13"/>
  <c r="H17" i="13"/>
  <c r="I124" i="20"/>
  <c r="AI37" i="13"/>
  <c r="J9" i="13"/>
  <c r="J23" i="13"/>
  <c r="J15" i="13"/>
  <c r="BQ19" i="13"/>
  <c r="BQ10" i="13"/>
  <c r="BQ9" i="13"/>
  <c r="J34" i="13"/>
  <c r="AY32" i="13"/>
  <c r="AY24" i="13"/>
  <c r="AY23" i="13"/>
  <c r="AY28" i="13"/>
  <c r="J3" i="13"/>
  <c r="BH21" i="13"/>
  <c r="AE21" i="13" s="1"/>
  <c r="Y18" i="13"/>
  <c r="AJ23" i="13"/>
  <c r="I108" i="20"/>
  <c r="BH27" i="13"/>
  <c r="BH34" i="13"/>
  <c r="AE34" i="13" s="1"/>
  <c r="C178" i="3"/>
  <c r="M31" i="20" s="1"/>
  <c r="I212" i="20"/>
  <c r="F23" i="20"/>
  <c r="C44" i="3"/>
  <c r="D170" i="20" s="1"/>
  <c r="J17" i="13"/>
  <c r="J33" i="13"/>
  <c r="BQ27" i="13"/>
  <c r="BQ20" i="13"/>
  <c r="BQ5" i="13"/>
  <c r="BQ13" i="13"/>
  <c r="J24" i="13"/>
  <c r="AY26" i="13"/>
  <c r="AY14" i="13"/>
  <c r="AY27" i="13"/>
  <c r="AY25" i="13"/>
  <c r="J28" i="13"/>
  <c r="BH25" i="13"/>
  <c r="AE25" i="13" s="1"/>
  <c r="J25" i="13"/>
  <c r="BQ32" i="13"/>
  <c r="J32" i="13"/>
  <c r="BH20" i="13"/>
  <c r="BH14" i="13"/>
  <c r="BH30" i="13"/>
  <c r="AA30" i="13" s="1"/>
  <c r="L87" i="20"/>
  <c r="G158" i="3"/>
  <c r="J228" i="20" s="1"/>
  <c r="C78" i="3"/>
  <c r="G77" i="20" s="1"/>
  <c r="J12" i="13"/>
  <c r="J20" i="13"/>
  <c r="BQ23" i="13"/>
  <c r="BQ31" i="13"/>
  <c r="BQ34" i="13"/>
  <c r="BQ36" i="13"/>
  <c r="J16" i="13"/>
  <c r="BH5" i="13"/>
  <c r="AA5" i="13" s="1"/>
  <c r="AY20" i="13"/>
  <c r="AY4" i="13"/>
  <c r="AU23" i="13"/>
  <c r="AX23" i="13"/>
  <c r="BQ14" i="13"/>
  <c r="J21" i="13"/>
  <c r="BH6" i="13"/>
  <c r="BH22" i="13"/>
  <c r="AE22" i="13" s="1"/>
  <c r="J30" i="13"/>
  <c r="L171" i="20"/>
  <c r="BH11" i="13"/>
  <c r="AE11" i="13" s="1"/>
  <c r="BH10" i="13"/>
  <c r="AE10" i="13" s="1"/>
  <c r="BH19" i="13"/>
  <c r="P6" i="13"/>
  <c r="BH17" i="13"/>
  <c r="AE17" i="13" s="1"/>
  <c r="BH26" i="13"/>
  <c r="AE26" i="13" s="1"/>
  <c r="BH4" i="13"/>
  <c r="AE4" i="13" s="1"/>
  <c r="BH16" i="13"/>
  <c r="BH15" i="13"/>
  <c r="P29" i="13"/>
  <c r="H6" i="13"/>
  <c r="L75" i="20"/>
  <c r="J14" i="13"/>
  <c r="I180" i="20"/>
  <c r="G100" i="3"/>
  <c r="G189" i="20" s="1"/>
  <c r="C4" i="3"/>
  <c r="D4" i="20" s="1"/>
  <c r="C70" i="20"/>
  <c r="BQ26" i="13"/>
  <c r="BQ12" i="13"/>
  <c r="BQ15" i="13"/>
  <c r="BQ24" i="13"/>
  <c r="AY33" i="13"/>
  <c r="C136" i="3"/>
  <c r="J80" i="20" s="1"/>
  <c r="I152" i="20"/>
  <c r="K240" i="3"/>
  <c r="P111" i="20" s="1"/>
  <c r="C24" i="20"/>
  <c r="K48" i="3"/>
  <c r="D246" i="20" s="1"/>
  <c r="O196" i="20"/>
  <c r="O168" i="20"/>
  <c r="L203" i="20"/>
  <c r="E223" i="3"/>
  <c r="P12" i="20" s="1"/>
  <c r="L219" i="20"/>
  <c r="O79" i="20"/>
  <c r="E9" i="3"/>
  <c r="D18" i="20" s="1"/>
  <c r="C52" i="3"/>
  <c r="D214" i="20" s="1"/>
  <c r="G200" i="3"/>
  <c r="M143" i="20" s="1"/>
  <c r="O107" i="20"/>
  <c r="G242" i="3"/>
  <c r="P95" i="20" s="1"/>
  <c r="K249" i="3"/>
  <c r="P156" i="20" s="1"/>
  <c r="O140" i="20"/>
  <c r="I26" i="20"/>
  <c r="G108" i="3"/>
  <c r="G233" i="20" s="1"/>
  <c r="G134" i="3"/>
  <c r="J96" i="20" s="1"/>
  <c r="K273" i="3"/>
  <c r="P252" i="20" s="1"/>
  <c r="L243" i="20"/>
  <c r="G234" i="3"/>
  <c r="P51" i="20" s="1"/>
  <c r="E31" i="3"/>
  <c r="D130" i="20" s="1"/>
  <c r="K98" i="3"/>
  <c r="G205" i="20" s="1"/>
  <c r="I45" i="3"/>
  <c r="D198" i="20" s="1"/>
  <c r="E265" i="15"/>
  <c r="K213" i="15"/>
  <c r="G182" i="15"/>
  <c r="C62" i="3"/>
  <c r="G7" i="20" s="1"/>
  <c r="E173" i="3"/>
  <c r="M17" i="20" s="1"/>
  <c r="O124" i="20"/>
  <c r="E272" i="3"/>
  <c r="P224" i="20" s="1"/>
  <c r="L71" i="20"/>
  <c r="L59" i="20"/>
  <c r="I52" i="20"/>
  <c r="G150" i="3"/>
  <c r="J184" i="20" s="1"/>
  <c r="C228" i="3"/>
  <c r="P8" i="20" s="1"/>
  <c r="C230" i="20"/>
  <c r="I112" i="20"/>
  <c r="F177" i="20"/>
  <c r="K32" i="3"/>
  <c r="D158" i="20" s="1"/>
  <c r="E131" i="3"/>
  <c r="J84" i="20" s="1"/>
  <c r="E181" i="3"/>
  <c r="M43" i="20" s="1"/>
  <c r="C152" i="3"/>
  <c r="J168" i="20" s="1"/>
  <c r="E163" i="3"/>
  <c r="J224" i="20" s="1"/>
  <c r="O184" i="20"/>
  <c r="O180" i="20"/>
  <c r="C242" i="20"/>
  <c r="L159" i="20"/>
  <c r="C218" i="3"/>
  <c r="M215" i="20" s="1"/>
  <c r="K214" i="3"/>
  <c r="M247" i="20" s="1"/>
  <c r="G76" i="3"/>
  <c r="G93" i="20" s="1"/>
  <c r="C70" i="3"/>
  <c r="G33" i="20" s="1"/>
  <c r="F49" i="20"/>
  <c r="F121" i="20"/>
  <c r="F193" i="20"/>
  <c r="I237" i="3"/>
  <c r="P63" i="20" s="1"/>
  <c r="K82" i="3"/>
  <c r="G117" i="20" s="1"/>
  <c r="G18" i="3"/>
  <c r="D54" i="20" s="1"/>
  <c r="C94" i="3"/>
  <c r="G165" i="20" s="1"/>
  <c r="I252" i="20"/>
  <c r="E197" i="3"/>
  <c r="M131" i="20" s="1"/>
  <c r="G192" i="3"/>
  <c r="M99" i="20" s="1"/>
  <c r="K40" i="3"/>
  <c r="D202" i="20" s="1"/>
  <c r="O212" i="20"/>
  <c r="L21" i="20"/>
  <c r="K140" i="3"/>
  <c r="J156" i="20" s="1"/>
  <c r="C170" i="3"/>
  <c r="M5" i="20" s="1"/>
  <c r="F133" i="20"/>
  <c r="F61" i="20"/>
  <c r="O152" i="20"/>
  <c r="E15" i="3"/>
  <c r="D42" i="20" s="1"/>
  <c r="I79" i="3"/>
  <c r="G105" i="20" s="1"/>
  <c r="L147" i="20"/>
  <c r="O24" i="20"/>
  <c r="C30" i="20"/>
  <c r="C58" i="20"/>
  <c r="K90" i="3"/>
  <c r="G161" i="20" s="1"/>
  <c r="E81" i="3"/>
  <c r="G89" i="20" s="1"/>
  <c r="I21" i="3"/>
  <c r="D102" i="20" s="1"/>
  <c r="G123" i="3"/>
  <c r="J49" i="20" s="1"/>
  <c r="C225" i="3"/>
  <c r="P5" i="20" s="1"/>
  <c r="I233" i="20"/>
  <c r="K71" i="3"/>
  <c r="G70" i="20" s="1"/>
  <c r="E261" i="3"/>
  <c r="P177" i="20" s="1"/>
  <c r="O116" i="20"/>
  <c r="L52" i="20"/>
  <c r="E244" i="3"/>
  <c r="P88" i="20" s="1"/>
  <c r="E36" i="3"/>
  <c r="D135" i="20" s="1"/>
  <c r="K179" i="3"/>
  <c r="M68" i="20" s="1"/>
  <c r="C133" i="3"/>
  <c r="J77" i="20" s="1"/>
  <c r="K137" i="3"/>
  <c r="J117" i="20" s="1"/>
  <c r="E178" i="3"/>
  <c r="M40" i="20" s="1"/>
  <c r="F246" i="20"/>
  <c r="K79" i="3"/>
  <c r="G114" i="20" s="1"/>
  <c r="L212" i="20"/>
  <c r="O104" i="20"/>
  <c r="L152" i="20"/>
  <c r="I126" i="3"/>
  <c r="J61" i="20" s="1"/>
  <c r="F214" i="20"/>
  <c r="C275" i="15"/>
  <c r="I223" i="15"/>
  <c r="G155" i="3"/>
  <c r="J189" i="20" s="1"/>
  <c r="K161" i="3"/>
  <c r="J249" i="20" s="1"/>
  <c r="G81" i="3"/>
  <c r="G98" i="20" s="1"/>
  <c r="F130" i="20"/>
  <c r="O189" i="20"/>
  <c r="I251" i="3"/>
  <c r="P149" i="20" s="1"/>
  <c r="O233" i="20"/>
  <c r="L228" i="20"/>
  <c r="C250" i="3"/>
  <c r="P121" i="20" s="1"/>
  <c r="E210" i="3"/>
  <c r="M180" i="20" s="1"/>
  <c r="C191" i="3"/>
  <c r="M80" i="20" s="1"/>
  <c r="K13" i="3"/>
  <c r="D67" i="20" s="1"/>
  <c r="F58" i="20"/>
  <c r="G39" i="3"/>
  <c r="D183" i="20" s="1"/>
  <c r="C111" i="15"/>
  <c r="K50" i="15"/>
  <c r="I40" i="15"/>
  <c r="C40" i="15"/>
  <c r="E253" i="3"/>
  <c r="P133" i="20" s="1"/>
  <c r="C183" i="3"/>
  <c r="M36" i="20" s="1"/>
  <c r="G131" i="3"/>
  <c r="J93" i="20" s="1"/>
  <c r="L84" i="20"/>
  <c r="L156" i="20"/>
  <c r="C151" i="20"/>
  <c r="L240" i="20"/>
  <c r="C195" i="20"/>
  <c r="L224" i="20"/>
  <c r="E70" i="3"/>
  <c r="G42" i="20" s="1"/>
  <c r="C125" i="3"/>
  <c r="J33" i="20" s="1"/>
  <c r="C67" i="3"/>
  <c r="G30" i="20" s="1"/>
  <c r="I161" i="20"/>
  <c r="C41" i="3"/>
  <c r="D167" i="20" s="1"/>
  <c r="O48" i="20"/>
  <c r="E170" i="3"/>
  <c r="M14" i="20" s="1"/>
  <c r="F170" i="20"/>
  <c r="G105" i="3"/>
  <c r="G230" i="20" s="1"/>
  <c r="O193" i="20"/>
  <c r="I23" i="20"/>
  <c r="I193" i="20"/>
  <c r="L252" i="20"/>
  <c r="E228" i="3"/>
  <c r="P17" i="20" s="1"/>
  <c r="K237" i="3"/>
  <c r="P72" i="20" s="1"/>
  <c r="K21" i="3"/>
  <c r="D111" i="20" s="1"/>
  <c r="C149" i="3"/>
  <c r="J165" i="20" s="1"/>
  <c r="C207" i="20"/>
  <c r="O205" i="20"/>
  <c r="O237" i="20"/>
  <c r="E236" i="3"/>
  <c r="P44" i="20" s="1"/>
  <c r="I50" i="3"/>
  <c r="D239" i="20" s="1"/>
  <c r="CB12" i="13"/>
  <c r="CB15" i="13"/>
  <c r="CB20" i="13"/>
  <c r="Z4" i="13"/>
  <c r="Z16" i="13"/>
  <c r="Z23" i="13"/>
  <c r="Z12" i="13"/>
  <c r="Z19" i="13"/>
  <c r="Z11" i="13"/>
  <c r="Z5" i="13"/>
  <c r="Z14" i="13"/>
  <c r="Z28" i="13"/>
  <c r="Z22" i="13"/>
  <c r="CB26" i="13"/>
  <c r="AP20" i="13"/>
  <c r="Y35" i="13"/>
  <c r="E270" i="3"/>
  <c r="P222" i="20" s="1"/>
  <c r="O222" i="20"/>
  <c r="O206" i="20"/>
  <c r="K263" i="3"/>
  <c r="P206" i="20" s="1"/>
  <c r="E254" i="3"/>
  <c r="P134" i="20" s="1"/>
  <c r="O134" i="20"/>
  <c r="G174" i="3"/>
  <c r="M27" i="20" s="1"/>
  <c r="L27" i="20"/>
  <c r="L3" i="20"/>
  <c r="C168" i="3"/>
  <c r="M3" i="20" s="1"/>
  <c r="I178" i="20"/>
  <c r="E153" i="3"/>
  <c r="J178" i="20" s="1"/>
  <c r="I194" i="20"/>
  <c r="I151" i="3"/>
  <c r="J194" i="20" s="1"/>
  <c r="K122" i="3"/>
  <c r="J66" i="20" s="1"/>
  <c r="I66" i="20"/>
  <c r="C108" i="3"/>
  <c r="G215" i="20" s="1"/>
  <c r="F215" i="20"/>
  <c r="F203" i="20"/>
  <c r="K96" i="3"/>
  <c r="G203" i="20" s="1"/>
  <c r="F159" i="20"/>
  <c r="K88" i="3"/>
  <c r="G159" i="20" s="1"/>
  <c r="C252" i="20"/>
  <c r="K54" i="3"/>
  <c r="D252" i="20" s="1"/>
  <c r="E53" i="3"/>
  <c r="D224" i="20" s="1"/>
  <c r="C224" i="20"/>
  <c r="C184" i="20"/>
  <c r="G40" i="3"/>
  <c r="D184" i="20" s="1"/>
  <c r="Q23" i="13"/>
  <c r="Q34" i="13"/>
  <c r="Q16" i="13"/>
  <c r="Y14" i="13"/>
  <c r="Z20" i="13"/>
  <c r="CB21" i="13"/>
  <c r="CB32" i="13"/>
  <c r="CB31" i="13"/>
  <c r="CB11" i="13"/>
  <c r="Y23" i="13"/>
  <c r="Y26" i="13"/>
  <c r="Y37" i="13"/>
  <c r="Q29" i="13"/>
  <c r="Q36" i="13"/>
  <c r="Q35" i="13"/>
  <c r="CB29" i="13"/>
  <c r="Q10" i="13"/>
  <c r="CA18" i="13"/>
  <c r="CA9" i="13"/>
  <c r="H10" i="13"/>
  <c r="BR19" i="13"/>
  <c r="P10" i="13"/>
  <c r="H37" i="13"/>
  <c r="O22" i="20"/>
  <c r="I214" i="3"/>
  <c r="M238" i="20" s="1"/>
  <c r="C163" i="3"/>
  <c r="J215" i="20" s="1"/>
  <c r="O18" i="20"/>
  <c r="G103" i="3"/>
  <c r="G228" i="20" s="1"/>
  <c r="I27" i="13"/>
  <c r="Z21" i="13"/>
  <c r="F40" i="20"/>
  <c r="AX4" i="13"/>
  <c r="BE26" i="13"/>
  <c r="AH26" i="13" s="1"/>
  <c r="BE32" i="13"/>
  <c r="AH32" i="13" s="1"/>
  <c r="BE36" i="13"/>
  <c r="AH36" i="13" s="1"/>
  <c r="Q25" i="13"/>
  <c r="Q27" i="13"/>
  <c r="C272" i="3"/>
  <c r="P215" i="20" s="1"/>
  <c r="O215" i="20"/>
  <c r="O231" i="20"/>
  <c r="G270" i="3"/>
  <c r="P231" i="20" s="1"/>
  <c r="K268" i="3"/>
  <c r="P247" i="20" s="1"/>
  <c r="O247" i="20"/>
  <c r="O219" i="20"/>
  <c r="E267" i="3"/>
  <c r="P219" i="20" s="1"/>
  <c r="C264" i="3"/>
  <c r="P171" i="20" s="1"/>
  <c r="O171" i="20"/>
  <c r="K260" i="3"/>
  <c r="P203" i="20" s="1"/>
  <c r="O203" i="20"/>
  <c r="O175" i="20"/>
  <c r="E259" i="3"/>
  <c r="P175" i="20" s="1"/>
  <c r="O143" i="20"/>
  <c r="G254" i="3"/>
  <c r="P143" i="20" s="1"/>
  <c r="O131" i="20"/>
  <c r="E251" i="3"/>
  <c r="P131" i="20" s="1"/>
  <c r="O147" i="20"/>
  <c r="I249" i="3"/>
  <c r="P147" i="20" s="1"/>
  <c r="G245" i="3"/>
  <c r="P98" i="20" s="1"/>
  <c r="O98" i="20"/>
  <c r="O114" i="20"/>
  <c r="K243" i="3"/>
  <c r="P114" i="20" s="1"/>
  <c r="E242" i="3"/>
  <c r="P86" i="20" s="1"/>
  <c r="O86" i="20"/>
  <c r="G237" i="3"/>
  <c r="P54" i="20" s="1"/>
  <c r="O54" i="20"/>
  <c r="O70" i="20"/>
  <c r="K235" i="3"/>
  <c r="P70" i="20" s="1"/>
  <c r="O42" i="20"/>
  <c r="E234" i="3"/>
  <c r="P42" i="20" s="1"/>
  <c r="O27" i="20"/>
  <c r="G229" i="3"/>
  <c r="P27" i="20" s="1"/>
  <c r="O3" i="20"/>
  <c r="C223" i="3"/>
  <c r="P3" i="20" s="1"/>
  <c r="G219" i="3"/>
  <c r="M234" i="20" s="1"/>
  <c r="L234" i="20"/>
  <c r="L222" i="20"/>
  <c r="E216" i="3"/>
  <c r="M222" i="20" s="1"/>
  <c r="C213" i="3"/>
  <c r="M210" i="20" s="1"/>
  <c r="L210" i="20"/>
  <c r="L206" i="20"/>
  <c r="K209" i="3"/>
  <c r="M206" i="20" s="1"/>
  <c r="L178" i="20"/>
  <c r="E208" i="3"/>
  <c r="M178" i="20" s="1"/>
  <c r="I206" i="3"/>
  <c r="M194" i="20" s="1"/>
  <c r="L194" i="20"/>
  <c r="E200" i="3"/>
  <c r="M134" i="20" s="1"/>
  <c r="L134" i="20"/>
  <c r="G195" i="3"/>
  <c r="M138" i="20" s="1"/>
  <c r="L138" i="20"/>
  <c r="L50" i="20"/>
  <c r="G179" i="3"/>
  <c r="M50" i="20" s="1"/>
  <c r="L66" i="20"/>
  <c r="K177" i="3"/>
  <c r="M66" i="20" s="1"/>
  <c r="G171" i="3"/>
  <c r="M24" i="20" s="1"/>
  <c r="L24" i="20"/>
  <c r="L12" i="20"/>
  <c r="E168" i="3"/>
  <c r="M12" i="20" s="1"/>
  <c r="I243" i="20"/>
  <c r="I164" i="3"/>
  <c r="J243" i="20" s="1"/>
  <c r="G161" i="3"/>
  <c r="J231" i="20" s="1"/>
  <c r="I231" i="20"/>
  <c r="I247" i="20"/>
  <c r="K159" i="3"/>
  <c r="J247" i="20" s="1"/>
  <c r="E158" i="3"/>
  <c r="J219" i="20" s="1"/>
  <c r="I219" i="20"/>
  <c r="I171" i="20"/>
  <c r="C155" i="3"/>
  <c r="J171" i="20" s="1"/>
  <c r="I159" i="20"/>
  <c r="K143" i="3"/>
  <c r="J159" i="20" s="1"/>
  <c r="E142" i="3"/>
  <c r="J131" i="20" s="1"/>
  <c r="I131" i="20"/>
  <c r="I140" i="3"/>
  <c r="J147" i="20" s="1"/>
  <c r="I147" i="20"/>
  <c r="G137" i="3"/>
  <c r="J99" i="20" s="1"/>
  <c r="I99" i="20"/>
  <c r="I115" i="20"/>
  <c r="K135" i="3"/>
  <c r="J115" i="20" s="1"/>
  <c r="I87" i="20"/>
  <c r="E134" i="3"/>
  <c r="J87" i="20" s="1"/>
  <c r="C131" i="3"/>
  <c r="J75" i="20" s="1"/>
  <c r="I75" i="20"/>
  <c r="I43" i="20"/>
  <c r="E126" i="3"/>
  <c r="J43" i="20" s="1"/>
  <c r="I124" i="3"/>
  <c r="J59" i="20" s="1"/>
  <c r="I59" i="20"/>
  <c r="C123" i="3"/>
  <c r="J31" i="20" s="1"/>
  <c r="I31" i="20"/>
  <c r="G113" i="3"/>
  <c r="J21" i="20" s="1"/>
  <c r="I21" i="20"/>
  <c r="K109" i="3"/>
  <c r="G252" i="20" s="1"/>
  <c r="F252" i="20"/>
  <c r="E108" i="3"/>
  <c r="G224" i="20" s="1"/>
  <c r="F224" i="20"/>
  <c r="F240" i="20"/>
  <c r="I106" i="3"/>
  <c r="G240" i="20" s="1"/>
  <c r="F212" i="20"/>
  <c r="C105" i="3"/>
  <c r="G212" i="20" s="1"/>
  <c r="F180" i="20"/>
  <c r="E100" i="3"/>
  <c r="G180" i="20" s="1"/>
  <c r="F184" i="20"/>
  <c r="G95" i="3"/>
  <c r="G184" i="20" s="1"/>
  <c r="I90" i="3"/>
  <c r="G152" i="20" s="1"/>
  <c r="F152" i="20"/>
  <c r="F140" i="20"/>
  <c r="G87" i="3"/>
  <c r="G140" i="20" s="1"/>
  <c r="K85" i="3"/>
  <c r="G156" i="20" s="1"/>
  <c r="F156" i="20"/>
  <c r="I82" i="3"/>
  <c r="G108" i="20" s="1"/>
  <c r="F108" i="20"/>
  <c r="C81" i="3"/>
  <c r="G80" i="20" s="1"/>
  <c r="F80" i="20"/>
  <c r="F96" i="20"/>
  <c r="G79" i="3"/>
  <c r="G96" i="20" s="1"/>
  <c r="F84" i="20"/>
  <c r="E76" i="3"/>
  <c r="G84" i="20" s="1"/>
  <c r="F36" i="20"/>
  <c r="C73" i="3"/>
  <c r="G36" i="20" s="1"/>
  <c r="F52" i="20"/>
  <c r="G71" i="3"/>
  <c r="G52" i="20" s="1"/>
  <c r="C249" i="20"/>
  <c r="K51" i="3"/>
  <c r="D249" i="20" s="1"/>
  <c r="C221" i="20"/>
  <c r="E50" i="3"/>
  <c r="D221" i="20" s="1"/>
  <c r="I48" i="3"/>
  <c r="D237" i="20" s="1"/>
  <c r="C237" i="20"/>
  <c r="E42" i="3"/>
  <c r="D177" i="20" s="1"/>
  <c r="C177" i="20"/>
  <c r="C193" i="20"/>
  <c r="I40" i="3"/>
  <c r="D193" i="20" s="1"/>
  <c r="C165" i="20"/>
  <c r="C39" i="3"/>
  <c r="D165" i="20" s="1"/>
  <c r="C161" i="20"/>
  <c r="K35" i="3"/>
  <c r="D161" i="20" s="1"/>
  <c r="C149" i="20"/>
  <c r="I32" i="3"/>
  <c r="D149" i="20" s="1"/>
  <c r="C121" i="20"/>
  <c r="C31" i="3"/>
  <c r="D121" i="20" s="1"/>
  <c r="C117" i="20"/>
  <c r="K27" i="3"/>
  <c r="D117" i="20" s="1"/>
  <c r="C77" i="20"/>
  <c r="C23" i="3"/>
  <c r="D77" i="20" s="1"/>
  <c r="C93" i="20"/>
  <c r="G21" i="3"/>
  <c r="D93" i="20" s="1"/>
  <c r="E18" i="3"/>
  <c r="D45" i="20" s="1"/>
  <c r="C45" i="20"/>
  <c r="I16" i="3"/>
  <c r="D61" i="20" s="1"/>
  <c r="C61" i="20"/>
  <c r="C15" i="3"/>
  <c r="D33" i="20" s="1"/>
  <c r="C33" i="20"/>
  <c r="G13" i="3"/>
  <c r="D49" i="20" s="1"/>
  <c r="C49" i="20"/>
  <c r="C9" i="20"/>
  <c r="C9" i="3"/>
  <c r="D9" i="20" s="1"/>
  <c r="C15" i="20"/>
  <c r="E6" i="3"/>
  <c r="D15" i="20" s="1"/>
  <c r="C21" i="20"/>
  <c r="G3" i="3"/>
  <c r="D21" i="20" s="1"/>
  <c r="G193" i="15"/>
  <c r="K121" i="15"/>
  <c r="AP18" i="13"/>
  <c r="AP11" i="13"/>
  <c r="AP8" i="13"/>
  <c r="AP21" i="13"/>
  <c r="AP31" i="13"/>
  <c r="AP22" i="13"/>
  <c r="AP26" i="13"/>
  <c r="AP35" i="13"/>
  <c r="AP27" i="13"/>
  <c r="AP25" i="13"/>
  <c r="AP23" i="13"/>
  <c r="AP37" i="13"/>
  <c r="AP5" i="13"/>
  <c r="AP19" i="13"/>
  <c r="AP16" i="13"/>
  <c r="AP34" i="13"/>
  <c r="AP6" i="13"/>
  <c r="AP4" i="13"/>
  <c r="AP13" i="13"/>
  <c r="AP29" i="13"/>
  <c r="AP10" i="13"/>
  <c r="AP12" i="13"/>
  <c r="AP28" i="13"/>
  <c r="AP36" i="13"/>
  <c r="CB36" i="13"/>
  <c r="CB19" i="13"/>
  <c r="CB8" i="13"/>
  <c r="I29" i="13"/>
  <c r="AW5" i="13"/>
  <c r="AW10" i="13"/>
  <c r="AW30" i="13"/>
  <c r="AW14" i="13"/>
  <c r="AW4" i="13"/>
  <c r="AW35" i="13"/>
  <c r="AW32" i="13"/>
  <c r="AW12" i="13"/>
  <c r="AW25" i="13"/>
  <c r="C259" i="3"/>
  <c r="P166" i="20" s="1"/>
  <c r="O166" i="20"/>
  <c r="O162" i="20"/>
  <c r="K255" i="3"/>
  <c r="P162" i="20" s="1"/>
  <c r="C251" i="3"/>
  <c r="P122" i="20" s="1"/>
  <c r="O122" i="20"/>
  <c r="G249" i="3"/>
  <c r="P138" i="20" s="1"/>
  <c r="O138" i="20"/>
  <c r="G240" i="3"/>
  <c r="P93" i="20" s="1"/>
  <c r="O93" i="20"/>
  <c r="G232" i="3"/>
  <c r="P49" i="20" s="1"/>
  <c r="O49" i="20"/>
  <c r="C208" i="3"/>
  <c r="M169" i="20" s="1"/>
  <c r="L169" i="20"/>
  <c r="G206" i="3"/>
  <c r="M185" i="20" s="1"/>
  <c r="L185" i="20"/>
  <c r="K196" i="3"/>
  <c r="M157" i="20" s="1"/>
  <c r="L157" i="20"/>
  <c r="F131" i="20"/>
  <c r="E87" i="3"/>
  <c r="G131" i="20" s="1"/>
  <c r="F115" i="20"/>
  <c r="K80" i="3"/>
  <c r="G115" i="20" s="1"/>
  <c r="I69" i="3"/>
  <c r="G59" i="20" s="1"/>
  <c r="F59" i="20"/>
  <c r="CB9" i="13"/>
  <c r="CB13" i="13"/>
  <c r="CB7" i="13"/>
  <c r="CB33" i="13"/>
  <c r="Y16" i="13"/>
  <c r="Y21" i="13"/>
  <c r="Y5" i="13"/>
  <c r="Y27" i="13"/>
  <c r="Q32" i="13"/>
  <c r="Q18" i="13"/>
  <c r="Q20" i="13"/>
  <c r="C212" i="20"/>
  <c r="L250" i="20"/>
  <c r="O117" i="20"/>
  <c r="CA19" i="13"/>
  <c r="CA34" i="13"/>
  <c r="BR17" i="13"/>
  <c r="BR14" i="13"/>
  <c r="H12" i="13"/>
  <c r="P30" i="13"/>
  <c r="H22" i="13"/>
  <c r="G262" i="3"/>
  <c r="P187" i="20" s="1"/>
  <c r="E45" i="3"/>
  <c r="D180" i="20" s="1"/>
  <c r="E237" i="3"/>
  <c r="P45" i="20" s="1"/>
  <c r="AP32" i="13"/>
  <c r="F68" i="20"/>
  <c r="I143" i="20"/>
  <c r="AX33" i="13"/>
  <c r="AO6" i="13"/>
  <c r="I177" i="3"/>
  <c r="M57" i="20" s="1"/>
  <c r="I33" i="13"/>
  <c r="Z6" i="13"/>
  <c r="H8" i="13"/>
  <c r="AO25" i="13"/>
  <c r="Q30" i="13"/>
  <c r="Q37" i="13"/>
  <c r="Q26" i="13"/>
  <c r="Q24" i="13"/>
  <c r="CA14" i="13"/>
  <c r="CA17" i="13"/>
  <c r="AQ17" i="13" s="1"/>
  <c r="CA3" i="13"/>
  <c r="CA25" i="13"/>
  <c r="CA29" i="13"/>
  <c r="CA32" i="13"/>
  <c r="AQ32" i="13" s="1"/>
  <c r="CA16" i="13"/>
  <c r="CA23" i="13"/>
  <c r="CA33" i="13"/>
  <c r="CA10" i="13"/>
  <c r="CA30" i="13"/>
  <c r="AQ30" i="13" s="1"/>
  <c r="CA5" i="13"/>
  <c r="CA31" i="13"/>
  <c r="CA21" i="13"/>
  <c r="CA24" i="13"/>
  <c r="I252" i="3"/>
  <c r="P150" i="20" s="1"/>
  <c r="O150" i="20"/>
  <c r="L97" i="20"/>
  <c r="G190" i="3"/>
  <c r="M97" i="20" s="1"/>
  <c r="I234" i="20"/>
  <c r="G164" i="3"/>
  <c r="J234" i="20" s="1"/>
  <c r="I210" i="20"/>
  <c r="C158" i="3"/>
  <c r="J210" i="20" s="1"/>
  <c r="I206" i="20"/>
  <c r="K154" i="3"/>
  <c r="J206" i="20" s="1"/>
  <c r="C142" i="3"/>
  <c r="J122" i="20" s="1"/>
  <c r="I122" i="20"/>
  <c r="I135" i="3"/>
  <c r="J106" i="20" s="1"/>
  <c r="I106" i="20"/>
  <c r="F87" i="20"/>
  <c r="E79" i="3"/>
  <c r="G87" i="20" s="1"/>
  <c r="C228" i="20"/>
  <c r="G48" i="3"/>
  <c r="D228" i="20" s="1"/>
  <c r="C196" i="20"/>
  <c r="I43" i="3"/>
  <c r="D196" i="20" s="1"/>
  <c r="C80" i="20"/>
  <c r="C26" i="3"/>
  <c r="D80" i="20" s="1"/>
  <c r="C84" i="20"/>
  <c r="E21" i="3"/>
  <c r="D84" i="20" s="1"/>
  <c r="E13" i="3"/>
  <c r="D40" i="20" s="1"/>
  <c r="C40" i="20"/>
  <c r="BR6" i="13"/>
  <c r="BR26" i="13"/>
  <c r="BR4" i="13"/>
  <c r="BR25" i="13"/>
  <c r="BR21" i="13"/>
  <c r="BR23" i="13"/>
  <c r="BR5" i="13"/>
  <c r="BR27" i="13"/>
  <c r="BR22" i="13"/>
  <c r="BR15" i="13"/>
  <c r="BR11" i="13"/>
  <c r="BR7" i="13"/>
  <c r="BR32" i="13"/>
  <c r="BR34" i="13"/>
  <c r="BR13" i="13"/>
  <c r="BR37" i="13"/>
  <c r="BR28" i="13"/>
  <c r="BT28" i="13" s="1"/>
  <c r="AZ28" i="13" s="1"/>
  <c r="BR29" i="13"/>
  <c r="BR3" i="13"/>
  <c r="BR30" i="13"/>
  <c r="BR12" i="13"/>
  <c r="Z25" i="13"/>
  <c r="CB27" i="13"/>
  <c r="AQ27" i="13" s="1"/>
  <c r="CB3" i="13"/>
  <c r="CB16" i="13"/>
  <c r="CB24" i="13"/>
  <c r="Y29" i="13"/>
  <c r="Y30" i="13"/>
  <c r="Q3" i="13"/>
  <c r="Q8" i="13"/>
  <c r="O33" i="20"/>
  <c r="I240" i="3"/>
  <c r="P102" i="20" s="1"/>
  <c r="CA37" i="13"/>
  <c r="CA28" i="13"/>
  <c r="AQ28" i="13" s="1"/>
  <c r="CA36" i="13"/>
  <c r="P4" i="13"/>
  <c r="P22" i="13"/>
  <c r="P3" i="13"/>
  <c r="BR31" i="13"/>
  <c r="I51" i="3"/>
  <c r="D240" i="20" s="1"/>
  <c r="F21" i="20"/>
  <c r="C205" i="3"/>
  <c r="M166" i="20" s="1"/>
  <c r="C267" i="3"/>
  <c r="P210" i="20" s="1"/>
  <c r="I132" i="3"/>
  <c r="J103" i="20" s="1"/>
  <c r="AP15" i="13"/>
  <c r="G53" i="3"/>
  <c r="D233" i="20" s="1"/>
  <c r="E60" i="3"/>
  <c r="G14" i="20" s="1"/>
  <c r="BR10" i="13"/>
  <c r="AO27" i="13"/>
  <c r="F219" i="20"/>
  <c r="I13" i="13"/>
  <c r="AW11" i="13"/>
  <c r="Z37" i="13"/>
  <c r="AP24" i="13"/>
  <c r="I268" i="3"/>
  <c r="P238" i="20" s="1"/>
  <c r="O238" i="20"/>
  <c r="E145" i="3"/>
  <c r="J134" i="20" s="1"/>
  <c r="I134" i="20"/>
  <c r="E137" i="3"/>
  <c r="J90" i="20" s="1"/>
  <c r="I90" i="20"/>
  <c r="G132" i="3"/>
  <c r="J94" i="20" s="1"/>
  <c r="I94" i="20"/>
  <c r="I127" i="3"/>
  <c r="J62" i="20" s="1"/>
  <c r="I62" i="20"/>
  <c r="G124" i="3"/>
  <c r="J50" i="20" s="1"/>
  <c r="I50" i="20"/>
  <c r="I109" i="3"/>
  <c r="G243" i="20" s="1"/>
  <c r="F243" i="20"/>
  <c r="F247" i="20"/>
  <c r="K104" i="3"/>
  <c r="G247" i="20" s="1"/>
  <c r="G98" i="3"/>
  <c r="G187" i="20" s="1"/>
  <c r="F187" i="20"/>
  <c r="F17" i="20"/>
  <c r="E63" i="3"/>
  <c r="G17" i="20" s="1"/>
  <c r="C60" i="3"/>
  <c r="G5" i="20" s="1"/>
  <c r="F5" i="20"/>
  <c r="C168" i="20"/>
  <c r="C42" i="3"/>
  <c r="D168" i="20" s="1"/>
  <c r="K30" i="3"/>
  <c r="D156" i="20" s="1"/>
  <c r="C156" i="20"/>
  <c r="C68" i="20"/>
  <c r="K14" i="3"/>
  <c r="D68" i="20" s="1"/>
  <c r="E3" i="3"/>
  <c r="D12" i="20" s="1"/>
  <c r="C12" i="20"/>
  <c r="CB5" i="13"/>
  <c r="CB23" i="13"/>
  <c r="CB18" i="13"/>
  <c r="CB34" i="13"/>
  <c r="Y22" i="13"/>
  <c r="Y19" i="13"/>
  <c r="Y33" i="13"/>
  <c r="Y20" i="13"/>
  <c r="Q28" i="13"/>
  <c r="Q33" i="13"/>
  <c r="Q9" i="13"/>
  <c r="Q4" i="13"/>
  <c r="C140" i="20"/>
  <c r="K188" i="3"/>
  <c r="M113" i="20" s="1"/>
  <c r="L229" i="20"/>
  <c r="CA11" i="13"/>
  <c r="CA20" i="13"/>
  <c r="CA22" i="13"/>
  <c r="CA12" i="13"/>
  <c r="L213" i="20"/>
  <c r="C205" i="20"/>
  <c r="I34" i="20"/>
  <c r="G16" i="3"/>
  <c r="D52" i="20" s="1"/>
  <c r="C97" i="3"/>
  <c r="G168" i="20" s="1"/>
  <c r="I150" i="20"/>
  <c r="AP9" i="13"/>
  <c r="F103" i="20"/>
  <c r="I98" i="3"/>
  <c r="G196" i="20" s="1"/>
  <c r="BF25" i="13"/>
  <c r="AG25" i="13" s="1"/>
  <c r="BR24" i="13"/>
  <c r="I5" i="13"/>
  <c r="Z31" i="13"/>
  <c r="BF35" i="13"/>
  <c r="AG35" i="13" s="1"/>
  <c r="Z32" i="13"/>
  <c r="AX14" i="13"/>
  <c r="AX22" i="13"/>
  <c r="AX27" i="13"/>
  <c r="AX7" i="13"/>
  <c r="AX26" i="13"/>
  <c r="AX25" i="13"/>
  <c r="AX28" i="13"/>
  <c r="AX35" i="13"/>
  <c r="AX29" i="13"/>
  <c r="AX3" i="13"/>
  <c r="AX5" i="13"/>
  <c r="AX9" i="13"/>
  <c r="AX21" i="13"/>
  <c r="AX24" i="13"/>
  <c r="AX8" i="13"/>
  <c r="AX6" i="13"/>
  <c r="AX31" i="13"/>
  <c r="AX36" i="13"/>
  <c r="AX30" i="13"/>
  <c r="AX20" i="13"/>
  <c r="AX11" i="13"/>
  <c r="AX32" i="13"/>
  <c r="AX15" i="13"/>
  <c r="I10" i="13"/>
  <c r="I24" i="13"/>
  <c r="I21" i="13"/>
  <c r="I11" i="13"/>
  <c r="I16" i="13"/>
  <c r="I26" i="13"/>
  <c r="I35" i="13"/>
  <c r="I34" i="13"/>
  <c r="I7" i="13"/>
  <c r="I30" i="13"/>
  <c r="I3" i="13"/>
  <c r="I36" i="13"/>
  <c r="I23" i="13"/>
  <c r="I4" i="13"/>
  <c r="I28" i="13"/>
  <c r="I17" i="13"/>
  <c r="I22" i="13"/>
  <c r="I37" i="13"/>
  <c r="I15" i="13"/>
  <c r="I9" i="13"/>
  <c r="I20" i="13"/>
  <c r="AO28" i="13"/>
  <c r="AO22" i="13"/>
  <c r="AO20" i="13"/>
  <c r="AO10" i="13"/>
  <c r="AO30" i="13"/>
  <c r="AO4" i="13"/>
  <c r="AO16" i="13"/>
  <c r="AO36" i="13"/>
  <c r="AO21" i="13"/>
  <c r="AO9" i="13"/>
  <c r="AO35" i="13"/>
  <c r="AO19" i="13"/>
  <c r="AO11" i="13"/>
  <c r="AO31" i="13"/>
  <c r="AO8" i="13"/>
  <c r="AO14" i="13"/>
  <c r="AO18" i="13"/>
  <c r="AO34" i="13"/>
  <c r="H29" i="13"/>
  <c r="H23" i="13"/>
  <c r="H33" i="13"/>
  <c r="H20" i="13"/>
  <c r="H15" i="13"/>
  <c r="H19" i="13"/>
  <c r="H32" i="13"/>
  <c r="H3" i="13"/>
  <c r="H31" i="13"/>
  <c r="H34" i="13"/>
  <c r="H25" i="13"/>
  <c r="H18" i="13"/>
  <c r="H26" i="13"/>
  <c r="H11" i="13"/>
  <c r="H28" i="13"/>
  <c r="H9" i="13"/>
  <c r="H4" i="13"/>
  <c r="H30" i="13"/>
  <c r="H24" i="13"/>
  <c r="H14" i="13"/>
  <c r="H21" i="13"/>
  <c r="H16" i="13"/>
  <c r="O6" i="20"/>
  <c r="C226" i="3"/>
  <c r="P6" i="20" s="1"/>
  <c r="L225" i="20"/>
  <c r="E219" i="3"/>
  <c r="M225" i="20" s="1"/>
  <c r="I217" i="3"/>
  <c r="M241" i="20" s="1"/>
  <c r="L241" i="20"/>
  <c r="E113" i="3"/>
  <c r="J12" i="20" s="1"/>
  <c r="I12" i="20"/>
  <c r="G106" i="3"/>
  <c r="G231" i="20" s="1"/>
  <c r="F231" i="20"/>
  <c r="C124" i="20"/>
  <c r="C34" i="3"/>
  <c r="D124" i="20" s="1"/>
  <c r="C112" i="20"/>
  <c r="K22" i="3"/>
  <c r="D112" i="20" s="1"/>
  <c r="Z26" i="13"/>
  <c r="L122" i="20"/>
  <c r="E195" i="3"/>
  <c r="M129" i="20" s="1"/>
  <c r="K204" i="3"/>
  <c r="M201" i="20" s="1"/>
  <c r="G182" i="3"/>
  <c r="M53" i="20" s="1"/>
  <c r="O89" i="20"/>
  <c r="CA15" i="13"/>
  <c r="CA35" i="13"/>
  <c r="AQ35" i="13" s="1"/>
  <c r="H35" i="13"/>
  <c r="H27" i="13"/>
  <c r="BR20" i="13"/>
  <c r="L153" i="20"/>
  <c r="K252" i="3"/>
  <c r="P159" i="20" s="1"/>
  <c r="E26" i="3"/>
  <c r="D89" i="20" s="1"/>
  <c r="F26" i="20"/>
  <c r="BF23" i="13"/>
  <c r="AG23" i="13" s="1"/>
  <c r="BE9" i="13"/>
  <c r="AH9" i="13" s="1"/>
  <c r="F43" i="20"/>
  <c r="I18" i="13"/>
  <c r="BF5" i="13"/>
  <c r="Z30" i="13"/>
  <c r="Z10" i="13"/>
  <c r="AX37" i="13"/>
  <c r="BF14" i="13"/>
  <c r="BF11" i="13"/>
  <c r="AG11" i="13" s="1"/>
  <c r="BF3" i="13"/>
  <c r="AG3" i="13" s="1"/>
  <c r="BF37" i="13"/>
  <c r="AG37" i="13" s="1"/>
  <c r="BF30" i="13"/>
  <c r="AG30" i="13" s="1"/>
  <c r="BF7" i="13"/>
  <c r="AG7" i="13" s="1"/>
  <c r="BF19" i="13"/>
  <c r="AG19" i="13" s="1"/>
  <c r="BF29" i="13"/>
  <c r="AG29" i="13" s="1"/>
  <c r="BF33" i="13"/>
  <c r="AG33" i="13" s="1"/>
  <c r="BF17" i="13"/>
  <c r="AG17" i="13" s="1"/>
  <c r="BF16" i="13"/>
  <c r="AG16" i="13" s="1"/>
  <c r="BF27" i="13"/>
  <c r="AG27" i="13" s="1"/>
  <c r="BF28" i="13"/>
  <c r="AG28" i="13" s="1"/>
  <c r="BF31" i="13"/>
  <c r="AG31" i="13" s="1"/>
  <c r="BF4" i="13"/>
  <c r="AG4" i="13" s="1"/>
  <c r="BF21" i="13"/>
  <c r="AG21" i="13" s="1"/>
  <c r="BF18" i="13"/>
  <c r="BF32" i="13"/>
  <c r="AG32" i="13" s="1"/>
  <c r="BF10" i="13"/>
  <c r="AG10" i="13" s="1"/>
  <c r="BF36" i="13"/>
  <c r="AG36" i="13" s="1"/>
  <c r="BF6" i="13"/>
  <c r="AG6" i="13" s="1"/>
  <c r="BF34" i="13"/>
  <c r="AG34" i="13" s="1"/>
  <c r="BF12" i="13"/>
  <c r="AF12" i="13" s="1"/>
  <c r="BF20" i="13"/>
  <c r="AG20" i="13" s="1"/>
  <c r="BF13" i="13"/>
  <c r="AG13" i="13" s="1"/>
  <c r="BF26" i="13"/>
  <c r="AG26" i="13" s="1"/>
  <c r="BF22" i="13"/>
  <c r="AG22" i="13" s="1"/>
  <c r="BF8" i="13"/>
  <c r="AG8" i="13" s="1"/>
  <c r="Z27" i="13"/>
  <c r="BE15" i="13"/>
  <c r="AH15" i="13" s="1"/>
  <c r="BE22" i="13"/>
  <c r="AH22" i="13" s="1"/>
  <c r="BE30" i="13"/>
  <c r="AH30" i="13" s="1"/>
  <c r="BE27" i="13"/>
  <c r="AH27" i="13" s="1"/>
  <c r="BE11" i="13"/>
  <c r="AH11" i="13" s="1"/>
  <c r="BE3" i="13"/>
  <c r="BE4" i="13"/>
  <c r="AH4" i="13" s="1"/>
  <c r="BE33" i="13"/>
  <c r="AH33" i="13" s="1"/>
  <c r="BE31" i="13"/>
  <c r="AF31" i="13" s="1"/>
  <c r="BE7" i="13"/>
  <c r="AH7" i="13" s="1"/>
  <c r="BE19" i="13"/>
  <c r="AH19" i="13" s="1"/>
  <c r="BE14" i="13"/>
  <c r="BE24" i="13"/>
  <c r="AH24" i="13" s="1"/>
  <c r="BE28" i="13"/>
  <c r="AH28" i="13" s="1"/>
  <c r="BE25" i="13"/>
  <c r="AH25" i="13" s="1"/>
  <c r="BE13" i="13"/>
  <c r="AH13" i="13" s="1"/>
  <c r="BE20" i="13"/>
  <c r="AH20" i="13" s="1"/>
  <c r="BE16" i="13"/>
  <c r="BE17" i="13"/>
  <c r="BE6" i="13"/>
  <c r="AH6" i="13" s="1"/>
  <c r="BE35" i="13"/>
  <c r="AH35" i="13" s="1"/>
  <c r="BE21" i="13"/>
  <c r="BE18" i="13"/>
  <c r="AH18" i="13" s="1"/>
  <c r="BE37" i="13"/>
  <c r="BE10" i="13"/>
  <c r="AH10" i="13" s="1"/>
  <c r="BE8" i="13"/>
  <c r="AH8" i="13" s="1"/>
  <c r="P26" i="13"/>
  <c r="P16" i="13"/>
  <c r="P27" i="13"/>
  <c r="P12" i="13"/>
  <c r="P15" i="13"/>
  <c r="P32" i="13"/>
  <c r="P28" i="13"/>
  <c r="P13" i="13"/>
  <c r="P37" i="13"/>
  <c r="P9" i="13"/>
  <c r="P23" i="13"/>
  <c r="P5" i="13"/>
  <c r="P11" i="13"/>
  <c r="P14" i="13"/>
  <c r="P31" i="13"/>
  <c r="P34" i="13"/>
  <c r="P21" i="13"/>
  <c r="P33" i="13"/>
  <c r="P36" i="13"/>
  <c r="O61" i="20"/>
  <c r="I235" i="3"/>
  <c r="P61" i="20" s="1"/>
  <c r="C192" i="3"/>
  <c r="M81" i="20" s="1"/>
  <c r="L81" i="20"/>
  <c r="L85" i="20"/>
  <c r="E187" i="3"/>
  <c r="M85" i="20" s="1"/>
  <c r="L41" i="20"/>
  <c r="E179" i="3"/>
  <c r="M41" i="20" s="1"/>
  <c r="F171" i="20"/>
  <c r="C100" i="3"/>
  <c r="G171" i="20" s="1"/>
  <c r="F175" i="20"/>
  <c r="E95" i="3"/>
  <c r="G175" i="20" s="1"/>
  <c r="F147" i="20"/>
  <c r="I85" i="3"/>
  <c r="G147" i="20" s="1"/>
  <c r="G82" i="3"/>
  <c r="G99" i="20" s="1"/>
  <c r="F99" i="20"/>
  <c r="C76" i="3"/>
  <c r="G75" i="20" s="1"/>
  <c r="F75" i="20"/>
  <c r="F71" i="20"/>
  <c r="K72" i="3"/>
  <c r="G71" i="20" s="1"/>
  <c r="G24" i="3"/>
  <c r="D96" i="20" s="1"/>
  <c r="C96" i="20"/>
  <c r="C26" i="20"/>
  <c r="G8" i="3"/>
  <c r="D26" i="20" s="1"/>
  <c r="Q31" i="13"/>
  <c r="CB6" i="13"/>
  <c r="CB22" i="13"/>
  <c r="CB4" i="13"/>
  <c r="Q12" i="13"/>
  <c r="Y15" i="13"/>
  <c r="Y6" i="13"/>
  <c r="Y36" i="13"/>
  <c r="CB10" i="13"/>
  <c r="CB25" i="13"/>
  <c r="CB37" i="13"/>
  <c r="CB14" i="13"/>
  <c r="Q19" i="13"/>
  <c r="Y3" i="13"/>
  <c r="Y32" i="13"/>
  <c r="Q11" i="13"/>
  <c r="Q15" i="13"/>
  <c r="L125" i="20"/>
  <c r="K180" i="3"/>
  <c r="M69" i="20" s="1"/>
  <c r="O77" i="20"/>
  <c r="CA7" i="13"/>
  <c r="BR33" i="13"/>
  <c r="BR16" i="13"/>
  <c r="BT16" i="13" s="1"/>
  <c r="AZ16" i="13" s="1"/>
  <c r="H7" i="13"/>
  <c r="I166" i="20"/>
  <c r="I78" i="20"/>
  <c r="I14" i="13"/>
  <c r="AP3" i="13"/>
  <c r="I159" i="3"/>
  <c r="J238" i="20" s="1"/>
  <c r="C189" i="3"/>
  <c r="M78" i="20" s="1"/>
  <c r="K151" i="3"/>
  <c r="J203" i="20" s="1"/>
  <c r="BF15" i="13"/>
  <c r="AG15" i="13" s="1"/>
  <c r="BE34" i="13"/>
  <c r="AH34" i="13" s="1"/>
  <c r="G90" i="3"/>
  <c r="G143" i="20" s="1"/>
  <c r="E171" i="3"/>
  <c r="M15" i="20" s="1"/>
  <c r="BF24" i="13"/>
  <c r="BE23" i="13"/>
  <c r="AH23" i="13" s="1"/>
  <c r="BE29" i="13"/>
  <c r="AH29" i="13" s="1"/>
  <c r="G265" i="15"/>
  <c r="I111" i="15"/>
  <c r="AU30" i="13"/>
  <c r="G121" i="15"/>
  <c r="G295" i="15"/>
  <c r="I213" i="15"/>
  <c r="V28" i="13"/>
  <c r="V29" i="13"/>
  <c r="C255" i="15"/>
  <c r="C121" i="15"/>
  <c r="I295" i="15"/>
  <c r="C213" i="15"/>
  <c r="I101" i="15"/>
  <c r="K81" i="15"/>
  <c r="E60" i="15"/>
  <c r="L94" i="20"/>
  <c r="E115" i="3"/>
  <c r="J14" i="20" s="1"/>
  <c r="I40" i="20"/>
  <c r="E51" i="13"/>
  <c r="AJ4" i="13"/>
  <c r="G162" i="15"/>
  <c r="I138" i="20"/>
  <c r="I5" i="20"/>
  <c r="I71" i="20"/>
  <c r="G153" i="3"/>
  <c r="J187" i="20" s="1"/>
  <c r="C81" i="20"/>
  <c r="C25" i="20"/>
  <c r="D51" i="13"/>
  <c r="AY51" i="13"/>
  <c r="E161" i="3"/>
  <c r="J222" i="20" s="1"/>
  <c r="I22" i="20"/>
  <c r="I41" i="20"/>
  <c r="AF51" i="13"/>
  <c r="E152" i="15"/>
  <c r="AO51" i="13"/>
  <c r="K232" i="3"/>
  <c r="P67" i="20" s="1"/>
  <c r="AJ31" i="13"/>
  <c r="C60" i="15"/>
  <c r="C225" i="20"/>
  <c r="C25" i="3"/>
  <c r="D79" i="20" s="1"/>
  <c r="G30" i="15"/>
  <c r="BA51" i="13"/>
  <c r="L51" i="13"/>
  <c r="I102" i="20"/>
  <c r="K51" i="13"/>
  <c r="C86" i="20"/>
  <c r="K24" i="3"/>
  <c r="D114" i="20" s="1"/>
  <c r="AU9" i="13"/>
  <c r="AJ35" i="13"/>
  <c r="AJ20" i="13"/>
  <c r="AW51" i="13"/>
  <c r="K142" i="3"/>
  <c r="J158" i="20" s="1"/>
  <c r="K124" i="3"/>
  <c r="J68" i="20" s="1"/>
  <c r="G243" i="15"/>
  <c r="E305" i="15"/>
  <c r="G275" i="15"/>
  <c r="E243" i="15"/>
  <c r="G142" i="15"/>
  <c r="E81" i="15"/>
  <c r="E285" i="15"/>
  <c r="C81" i="15"/>
  <c r="K295" i="15"/>
  <c r="K101" i="15"/>
  <c r="C305" i="15"/>
  <c r="E295" i="15"/>
  <c r="E162" i="15"/>
  <c r="E111" i="15"/>
  <c r="I91" i="15"/>
  <c r="C71" i="15"/>
  <c r="M122" i="15" s="1"/>
  <c r="G10" i="15"/>
  <c r="C10" i="15"/>
  <c r="E121" i="15"/>
  <c r="E91" i="15"/>
  <c r="C243" i="15"/>
  <c r="I233" i="15"/>
  <c r="G223" i="15"/>
  <c r="E71" i="15"/>
  <c r="E275" i="15"/>
  <c r="X51" i="13"/>
  <c r="E50" i="15"/>
  <c r="C36" i="3"/>
  <c r="D126" i="20" s="1"/>
  <c r="G42" i="3"/>
  <c r="D186" i="20" s="1"/>
  <c r="G50" i="15"/>
  <c r="C123" i="20"/>
  <c r="O51" i="13"/>
  <c r="E204" i="3"/>
  <c r="M174" i="20" s="1"/>
  <c r="G208" i="3"/>
  <c r="M187" i="20" s="1"/>
  <c r="G177" i="3"/>
  <c r="M48" i="20" s="1"/>
  <c r="L140" i="20"/>
  <c r="L175" i="20"/>
  <c r="E233" i="15"/>
  <c r="AK51" i="13"/>
  <c r="I265" i="15"/>
  <c r="G198" i="3"/>
  <c r="M141" i="20" s="1"/>
  <c r="E223" i="15"/>
  <c r="E198" i="3"/>
  <c r="M132" i="20" s="1"/>
  <c r="C265" i="15"/>
  <c r="G51" i="13"/>
  <c r="G160" i="3"/>
  <c r="J230" i="20" s="1"/>
  <c r="AJ37" i="13"/>
  <c r="AJ33" i="13"/>
  <c r="G285" i="15"/>
  <c r="G203" i="15"/>
  <c r="G20" i="15"/>
  <c r="C295" i="15"/>
  <c r="E182" i="15"/>
  <c r="G111" i="15"/>
  <c r="AU31" i="13"/>
  <c r="Z51" i="13"/>
  <c r="C203" i="15"/>
  <c r="AI51" i="13"/>
  <c r="C233" i="15"/>
  <c r="B51" i="13"/>
  <c r="BD51" i="13"/>
  <c r="W51" i="13"/>
  <c r="I4" i="20"/>
  <c r="T51" i="13"/>
  <c r="C207" i="3"/>
  <c r="M168" i="20" s="1"/>
  <c r="K34" i="3"/>
  <c r="D160" i="20" s="1"/>
  <c r="AJ8" i="13"/>
  <c r="C16" i="3"/>
  <c r="D34" i="20" s="1"/>
  <c r="AJ24" i="13"/>
  <c r="AU35" i="13"/>
  <c r="AJ34" i="13"/>
  <c r="I86" i="20"/>
  <c r="E151" i="3"/>
  <c r="J176" i="20" s="1"/>
  <c r="K111" i="15"/>
  <c r="F204" i="20"/>
  <c r="F201" i="20"/>
  <c r="F206" i="20"/>
  <c r="AU25" i="13"/>
  <c r="BY24" i="13"/>
  <c r="AI24" i="13" s="1"/>
  <c r="BY22" i="13"/>
  <c r="AI22" i="13" s="1"/>
  <c r="BY17" i="13"/>
  <c r="BY16" i="13"/>
  <c r="AI16" i="13" s="1"/>
  <c r="BY35" i="13"/>
  <c r="BY25" i="13"/>
  <c r="BY10" i="13"/>
  <c r="AI10" i="13" s="1"/>
  <c r="BY27" i="13"/>
  <c r="BY4" i="13"/>
  <c r="BY31" i="13"/>
  <c r="BY28" i="13"/>
  <c r="AI28" i="13" s="1"/>
  <c r="BY5" i="13"/>
  <c r="BL4" i="13"/>
  <c r="BL22" i="13"/>
  <c r="AV22" i="13" s="1"/>
  <c r="BL21" i="13"/>
  <c r="AV21" i="13" s="1"/>
  <c r="BL27" i="13"/>
  <c r="BL13" i="13"/>
  <c r="AV13" i="13" s="1"/>
  <c r="BL34" i="13"/>
  <c r="BL32" i="13"/>
  <c r="AV32" i="13" s="1"/>
  <c r="BL25" i="13"/>
  <c r="BL9" i="13"/>
  <c r="BL11" i="13"/>
  <c r="AV11" i="13" s="1"/>
  <c r="BL26" i="13"/>
  <c r="BL10" i="13"/>
  <c r="AV10" i="13" s="1"/>
  <c r="BL23" i="13"/>
  <c r="AV23" i="13" s="1"/>
  <c r="BL8" i="13"/>
  <c r="BL17" i="13"/>
  <c r="BL19" i="13"/>
  <c r="BD22" i="13"/>
  <c r="AC22" i="13" s="1"/>
  <c r="BD30" i="13"/>
  <c r="AC30" i="13" s="1"/>
  <c r="BD7" i="13"/>
  <c r="AC7" i="13" s="1"/>
  <c r="BD15" i="13"/>
  <c r="AC15" i="13" s="1"/>
  <c r="BD13" i="13"/>
  <c r="AC13" i="13" s="1"/>
  <c r="BD10" i="13"/>
  <c r="AC10" i="13" s="1"/>
  <c r="BD17" i="13"/>
  <c r="AC17" i="13" s="1"/>
  <c r="BD19" i="13"/>
  <c r="AC19" i="13" s="1"/>
  <c r="BD20" i="13"/>
  <c r="AC20" i="13" s="1"/>
  <c r="BD23" i="13"/>
  <c r="AC23" i="13" s="1"/>
  <c r="BD12" i="13"/>
  <c r="AC12" i="13" s="1"/>
  <c r="BD24" i="13"/>
  <c r="AC24" i="13" s="1"/>
  <c r="BD27" i="13"/>
  <c r="AC27" i="13" s="1"/>
  <c r="BD4" i="13"/>
  <c r="AC4" i="13" s="1"/>
  <c r="BD16" i="13"/>
  <c r="AC16" i="13" s="1"/>
  <c r="BD28" i="13"/>
  <c r="AC28" i="13" s="1"/>
  <c r="BD34" i="13"/>
  <c r="AC34" i="13" s="1"/>
  <c r="BD36" i="13"/>
  <c r="AC36" i="13" s="1"/>
  <c r="BD35" i="13"/>
  <c r="AC35" i="13" s="1"/>
  <c r="BD25" i="13"/>
  <c r="AC25" i="13" s="1"/>
  <c r="BD5" i="13"/>
  <c r="AC5" i="13" s="1"/>
  <c r="BD33" i="13"/>
  <c r="AC33" i="13" s="1"/>
  <c r="BD14" i="13"/>
  <c r="AC14" i="13" s="1"/>
  <c r="BD37" i="13"/>
  <c r="AC37" i="13" s="1"/>
  <c r="BD29" i="13"/>
  <c r="AC29" i="13" s="1"/>
  <c r="BD26" i="13"/>
  <c r="AC26" i="13" s="1"/>
  <c r="BD18" i="13"/>
  <c r="AC18" i="13" s="1"/>
  <c r="BD11" i="13"/>
  <c r="AC11" i="13" s="1"/>
  <c r="I209" i="3"/>
  <c r="M197" i="20" s="1"/>
  <c r="C117" i="3"/>
  <c r="J7" i="20" s="1"/>
  <c r="F31" i="20"/>
  <c r="BY30" i="13"/>
  <c r="AI30" i="13" s="1"/>
  <c r="E90" i="3"/>
  <c r="G134" i="20" s="1"/>
  <c r="I260" i="3"/>
  <c r="P194" i="20" s="1"/>
  <c r="BL33" i="13"/>
  <c r="BY7" i="13"/>
  <c r="BY33" i="13"/>
  <c r="BD3" i="13"/>
  <c r="AC3" i="13" s="1"/>
  <c r="BD31" i="13"/>
  <c r="AC31" i="13" s="1"/>
  <c r="C41" i="20"/>
  <c r="E14" i="3"/>
  <c r="D41" i="20" s="1"/>
  <c r="AU24" i="13"/>
  <c r="I182" i="3"/>
  <c r="M62" i="20" s="1"/>
  <c r="Z34" i="13"/>
  <c r="Z17" i="13"/>
  <c r="Z18" i="13"/>
  <c r="Z33" i="13"/>
  <c r="Z9" i="13"/>
  <c r="Z24" i="13"/>
  <c r="Z29" i="13"/>
  <c r="Z3" i="13"/>
  <c r="Z15" i="13"/>
  <c r="I19" i="13"/>
  <c r="I6" i="13"/>
  <c r="I8" i="13"/>
  <c r="I32" i="13"/>
  <c r="I31" i="13"/>
  <c r="I25" i="13"/>
  <c r="C162" i="15"/>
  <c r="BL36" i="13"/>
  <c r="AV36" i="13" s="1"/>
  <c r="BL15" i="13"/>
  <c r="BY18" i="13"/>
  <c r="F35" i="20"/>
  <c r="AW20" i="13"/>
  <c r="AW24" i="13"/>
  <c r="AW9" i="13"/>
  <c r="AW36" i="13"/>
  <c r="AW6" i="13"/>
  <c r="AW29" i="13"/>
  <c r="AW27" i="13"/>
  <c r="AW7" i="13"/>
  <c r="AW37" i="13"/>
  <c r="AW21" i="13"/>
  <c r="AW28" i="13"/>
  <c r="AW8" i="13"/>
  <c r="AW3" i="13"/>
  <c r="AW22" i="13"/>
  <c r="AW33" i="13"/>
  <c r="AW26" i="13"/>
  <c r="AW13" i="13"/>
  <c r="AW15" i="13"/>
  <c r="AW16" i="13"/>
  <c r="AW31" i="13"/>
  <c r="AO3" i="13"/>
  <c r="AO5" i="13"/>
  <c r="AO7" i="13"/>
  <c r="AO24" i="13"/>
  <c r="AO32" i="13"/>
  <c r="AO12" i="13"/>
  <c r="AO37" i="13"/>
  <c r="AO29" i="13"/>
  <c r="AO17" i="13"/>
  <c r="AO26" i="13"/>
  <c r="C85" i="3"/>
  <c r="G120" i="20" s="1"/>
  <c r="F120" i="20"/>
  <c r="G233" i="15"/>
  <c r="G172" i="15"/>
  <c r="V51" i="13"/>
  <c r="K265" i="15"/>
  <c r="G101" i="15"/>
  <c r="K20" i="15"/>
  <c r="G152" i="15"/>
  <c r="C152" i="15"/>
  <c r="K40" i="15"/>
  <c r="AN51" i="13"/>
  <c r="M51" i="13"/>
  <c r="E203" i="15"/>
  <c r="C177" i="3"/>
  <c r="M30" i="20" s="1"/>
  <c r="AJ28" i="13"/>
  <c r="E42" i="2"/>
  <c r="F42" i="2" s="1"/>
  <c r="G42" i="2" s="1"/>
  <c r="AJ7" i="13"/>
  <c r="AJ6" i="13"/>
  <c r="AU26" i="13"/>
  <c r="AJ16" i="13"/>
  <c r="E193" i="15"/>
  <c r="AJ27" i="13"/>
  <c r="AU29" i="13"/>
  <c r="BO26" i="13"/>
  <c r="BO30" i="13"/>
  <c r="BO34" i="13"/>
  <c r="S34" i="13" s="1"/>
  <c r="BO21" i="13"/>
  <c r="BO16" i="13"/>
  <c r="BO20" i="13"/>
  <c r="S20" i="13" s="1"/>
  <c r="BO10" i="13"/>
  <c r="BO14" i="13"/>
  <c r="BO3" i="13"/>
  <c r="BO27" i="13"/>
  <c r="BO31" i="13"/>
  <c r="BO35" i="13"/>
  <c r="S35" i="13" s="1"/>
  <c r="BO22" i="13"/>
  <c r="BO17" i="13"/>
  <c r="BO7" i="13"/>
  <c r="BO11" i="13"/>
  <c r="S11" i="13" s="1"/>
  <c r="BO4" i="13"/>
  <c r="BO24" i="13"/>
  <c r="BO28" i="13"/>
  <c r="BO32" i="13"/>
  <c r="BO36" i="13"/>
  <c r="BO23" i="13"/>
  <c r="BO18" i="13"/>
  <c r="BO8" i="13"/>
  <c r="BO12" i="13"/>
  <c r="BO5" i="13"/>
  <c r="BO25" i="13"/>
  <c r="BO29" i="13"/>
  <c r="BO33" i="13"/>
  <c r="S33" i="13" s="1"/>
  <c r="BO37" i="13"/>
  <c r="BO15" i="13"/>
  <c r="BO19" i="13"/>
  <c r="S19" i="13" s="1"/>
  <c r="BO9" i="13"/>
  <c r="BO13" i="13"/>
  <c r="BO6" i="13"/>
  <c r="AD30" i="13"/>
  <c r="C285" i="15"/>
  <c r="I285" i="15"/>
  <c r="I275" i="15"/>
  <c r="I203" i="15"/>
  <c r="K233" i="15"/>
  <c r="G91" i="15"/>
  <c r="I60" i="15"/>
  <c r="K172" i="15"/>
  <c r="I121" i="15"/>
  <c r="G81" i="15"/>
  <c r="C193" i="15"/>
  <c r="C182" i="15"/>
  <c r="E142" i="15"/>
  <c r="K254" i="3"/>
  <c r="P161" i="20" s="1"/>
  <c r="AJ36" i="13"/>
  <c r="AJ32" i="13"/>
  <c r="G228" i="3"/>
  <c r="P26" i="20" s="1"/>
  <c r="AJ15" i="13"/>
  <c r="I81" i="15"/>
  <c r="AI11" i="13"/>
  <c r="AI15" i="13"/>
  <c r="G71" i="15"/>
  <c r="G60" i="15"/>
  <c r="C50" i="15"/>
  <c r="AI14" i="13"/>
  <c r="AJ13" i="13"/>
  <c r="G132" i="15"/>
  <c r="AJ21" i="13"/>
  <c r="AU21" i="13"/>
  <c r="AJ22" i="13"/>
  <c r="C20" i="15"/>
  <c r="AJ14" i="13"/>
  <c r="AT51" i="13"/>
  <c r="AJ3" i="13"/>
  <c r="I30" i="15"/>
  <c r="AD6" i="13"/>
  <c r="AJ5" i="13"/>
  <c r="AJ9" i="13"/>
  <c r="AI9" i="13"/>
  <c r="K203" i="15"/>
  <c r="AJ29" i="13"/>
  <c r="AU28" i="13"/>
  <c r="AI6" i="13"/>
  <c r="AU4" i="13"/>
  <c r="I50" i="15"/>
  <c r="AZ51" i="13"/>
  <c r="AV3" i="13"/>
  <c r="AI32" i="13"/>
  <c r="E40" i="15"/>
  <c r="C129" i="20"/>
  <c r="K223" i="15"/>
  <c r="AR51" i="13"/>
  <c r="I139" i="20"/>
  <c r="AU18" i="13"/>
  <c r="E118" i="3"/>
  <c r="J17" i="20" s="1"/>
  <c r="BB51" i="13"/>
  <c r="AE13" i="13"/>
  <c r="AJ51" i="13"/>
  <c r="I305" i="15"/>
  <c r="AU36" i="13"/>
  <c r="BQ33" i="13"/>
  <c r="AP17" i="13"/>
  <c r="U35" i="13"/>
  <c r="U8" i="13"/>
  <c r="BQ7" i="13"/>
  <c r="P51" i="13"/>
  <c r="C51" i="13"/>
  <c r="AI23" i="13"/>
  <c r="F51" i="13"/>
  <c r="AZ30" i="13"/>
  <c r="AZ23" i="13"/>
  <c r="AU6" i="13"/>
  <c r="AE23" i="13"/>
  <c r="AV30" i="13"/>
  <c r="AU10" i="13"/>
  <c r="BQ28" i="13"/>
  <c r="U33" i="13"/>
  <c r="CA13" i="13"/>
  <c r="CA26" i="13"/>
  <c r="CA4" i="13"/>
  <c r="E172" i="15"/>
  <c r="AU20" i="13"/>
  <c r="AE30" i="13"/>
  <c r="AV37" i="13"/>
  <c r="AU19" i="13"/>
  <c r="U19" i="13"/>
  <c r="U10" i="13"/>
  <c r="AP30" i="13"/>
  <c r="CA6" i="13"/>
  <c r="AM51" i="13"/>
  <c r="I51" i="13"/>
  <c r="AU37" i="13"/>
  <c r="AE37" i="13"/>
  <c r="BQ25" i="13"/>
  <c r="BQ18" i="13"/>
  <c r="BQ17" i="13"/>
  <c r="BQ8" i="13"/>
  <c r="BQ16" i="13"/>
  <c r="U34" i="13"/>
  <c r="AS51" i="13"/>
  <c r="AL51" i="13"/>
  <c r="H51" i="13"/>
  <c r="I182" i="15"/>
  <c r="E30" i="15"/>
  <c r="K305" i="15"/>
  <c r="E255" i="15"/>
  <c r="I243" i="15"/>
  <c r="K275" i="15"/>
  <c r="K152" i="15"/>
  <c r="C30" i="15"/>
  <c r="K285" i="15"/>
  <c r="E132" i="15"/>
  <c r="K243" i="15"/>
  <c r="K182" i="15"/>
  <c r="C132" i="15"/>
  <c r="C91" i="15"/>
  <c r="E101" i="15"/>
  <c r="Q51" i="13"/>
  <c r="K30" i="15"/>
  <c r="BC51" i="13"/>
  <c r="C223" i="15"/>
  <c r="I162" i="15"/>
  <c r="C142" i="15"/>
  <c r="E10" i="15"/>
  <c r="AG51" i="13"/>
  <c r="N51" i="13"/>
  <c r="AV7" i="13"/>
  <c r="AC51" i="13"/>
  <c r="K60" i="15"/>
  <c r="K50" i="3"/>
  <c r="D248" i="20" s="1"/>
  <c r="C71" i="20"/>
  <c r="I20" i="15"/>
  <c r="C63" i="20"/>
  <c r="AI8" i="13"/>
  <c r="AD8" i="13"/>
  <c r="AU5" i="13"/>
  <c r="AE12" i="13"/>
  <c r="AU11" i="13"/>
  <c r="AU16" i="13"/>
  <c r="F126" i="20"/>
  <c r="AE15" i="13"/>
  <c r="C101" i="15"/>
  <c r="AU22" i="13"/>
  <c r="I242" i="20"/>
  <c r="BF51" i="13"/>
  <c r="O240" i="20"/>
  <c r="AU27" i="13"/>
  <c r="E35" i="2"/>
  <c r="F35" i="2" s="1"/>
  <c r="G35" i="2" s="1"/>
  <c r="AU3" i="13"/>
  <c r="S51" i="13"/>
  <c r="AE28" i="13"/>
  <c r="C4" i="13"/>
  <c r="C8" i="13"/>
  <c r="C12" i="13"/>
  <c r="C16" i="13"/>
  <c r="C20" i="13"/>
  <c r="C24" i="13"/>
  <c r="C28" i="13"/>
  <c r="C32" i="13"/>
  <c r="C36" i="13"/>
  <c r="C5" i="13"/>
  <c r="C9" i="13"/>
  <c r="C13" i="13"/>
  <c r="C17" i="13"/>
  <c r="C21" i="13"/>
  <c r="C25" i="13"/>
  <c r="C29" i="13"/>
  <c r="C33" i="13"/>
  <c r="C37" i="13"/>
  <c r="C6" i="13"/>
  <c r="C10" i="13"/>
  <c r="C14" i="13"/>
  <c r="C18" i="13"/>
  <c r="C22" i="13"/>
  <c r="C26" i="13"/>
  <c r="C30" i="13"/>
  <c r="C34" i="13"/>
  <c r="C3" i="13"/>
  <c r="C7" i="13"/>
  <c r="C11" i="13"/>
  <c r="C15" i="13"/>
  <c r="C19" i="13"/>
  <c r="C23" i="13"/>
  <c r="C27" i="13"/>
  <c r="C31" i="13"/>
  <c r="C35" i="13"/>
  <c r="AB37" i="13"/>
  <c r="U51" i="13"/>
  <c r="BN34" i="13"/>
  <c r="BN23" i="13"/>
  <c r="BN27" i="13"/>
  <c r="BN10" i="13"/>
  <c r="BN14" i="13"/>
  <c r="BN18" i="13"/>
  <c r="R18" i="13" s="1"/>
  <c r="BN22" i="13"/>
  <c r="BN7" i="13"/>
  <c r="BN31" i="13"/>
  <c r="BN35" i="13"/>
  <c r="BN24" i="13"/>
  <c r="BN28" i="13"/>
  <c r="BN11" i="13"/>
  <c r="BN15" i="13"/>
  <c r="BN19" i="13"/>
  <c r="R19" i="13" s="1"/>
  <c r="BN4" i="13"/>
  <c r="BN8" i="13"/>
  <c r="BN32" i="13"/>
  <c r="BN36" i="13"/>
  <c r="BN25" i="13"/>
  <c r="BN29" i="13"/>
  <c r="BN12" i="13"/>
  <c r="BN16" i="13"/>
  <c r="R16" i="13" s="1"/>
  <c r="BN20" i="13"/>
  <c r="R20" i="13" s="1"/>
  <c r="BN5" i="13"/>
  <c r="BN9" i="13"/>
  <c r="BN33" i="13"/>
  <c r="BN37" i="13"/>
  <c r="BN26" i="13"/>
  <c r="BN30" i="13"/>
  <c r="BN13" i="13"/>
  <c r="BN17" i="13"/>
  <c r="R17" i="13" s="1"/>
  <c r="BN21" i="13"/>
  <c r="BN6" i="13"/>
  <c r="BN3" i="13"/>
  <c r="K162" i="15"/>
  <c r="C172" i="15"/>
  <c r="I172" i="15"/>
  <c r="G255" i="15"/>
  <c r="E19" i="2"/>
  <c r="F19" i="2" s="1"/>
  <c r="G19" i="2" s="1"/>
  <c r="AV35" i="13"/>
  <c r="AI29" i="13"/>
  <c r="G213" i="15"/>
  <c r="E213" i="15"/>
  <c r="E27" i="2"/>
  <c r="F27" i="2" s="1"/>
  <c r="G27" i="2" s="1"/>
  <c r="E31" i="2"/>
  <c r="F31" i="2" s="1"/>
  <c r="G31" i="2" s="1"/>
  <c r="E33" i="2"/>
  <c r="F33" i="2" s="1"/>
  <c r="G33" i="2" s="1"/>
  <c r="I142" i="15"/>
  <c r="AI21" i="13"/>
  <c r="F70" i="2"/>
  <c r="G70" i="2" s="1"/>
  <c r="E17" i="2"/>
  <c r="F17" i="2" s="1"/>
  <c r="G17" i="2" s="1"/>
  <c r="E18" i="2"/>
  <c r="F18" i="2" s="1"/>
  <c r="G18" i="2" s="1"/>
  <c r="K91" i="15"/>
  <c r="AV31" i="13"/>
  <c r="E30" i="2"/>
  <c r="F30" i="2" s="1"/>
  <c r="G30" i="2" s="1"/>
  <c r="AH12" i="13"/>
  <c r="F62" i="2"/>
  <c r="G62" i="2" s="1"/>
  <c r="E28" i="2"/>
  <c r="F28" i="2" s="1"/>
  <c r="G28" i="2" s="1"/>
  <c r="F73" i="2"/>
  <c r="G73" i="2" s="1"/>
  <c r="AE3" i="13"/>
  <c r="K142" i="15"/>
  <c r="E29" i="2"/>
  <c r="F29" i="2" s="1"/>
  <c r="G29" i="2" s="1"/>
  <c r="F75" i="2"/>
  <c r="G75" i="2" s="1"/>
  <c r="AV24" i="13"/>
  <c r="E47" i="2"/>
  <c r="F47" i="2" s="1"/>
  <c r="G47" i="2" s="1"/>
  <c r="AF3" i="13" l="1"/>
  <c r="AV5" i="13"/>
  <c r="S18" i="13"/>
  <c r="AV20" i="13"/>
  <c r="AV18" i="13"/>
  <c r="S17" i="13"/>
  <c r="AV9" i="13"/>
  <c r="AV28" i="13"/>
  <c r="S36" i="13"/>
  <c r="AQ33" i="13"/>
  <c r="AI7" i="13"/>
  <c r="AA16" i="13"/>
  <c r="AI5" i="13"/>
  <c r="AF5" i="13"/>
  <c r="AE5" i="13"/>
  <c r="S5" i="13"/>
  <c r="AD9" i="13"/>
  <c r="AV8" i="13"/>
  <c r="BT26" i="13"/>
  <c r="AZ26" i="13" s="1"/>
  <c r="AF23" i="13"/>
  <c r="BT29" i="13"/>
  <c r="AZ29" i="13" s="1"/>
  <c r="AI25" i="13"/>
  <c r="AA35" i="13"/>
  <c r="AA20" i="13"/>
  <c r="AI27" i="13"/>
  <c r="AI35" i="13"/>
  <c r="AQ21" i="13"/>
  <c r="BT4" i="13"/>
  <c r="AZ4" i="13" s="1"/>
  <c r="AI31" i="13"/>
  <c r="AD32" i="13"/>
  <c r="AI33" i="13"/>
  <c r="AE18" i="13"/>
  <c r="AI17" i="13"/>
  <c r="AI18" i="13"/>
  <c r="BT17" i="13"/>
  <c r="AZ17" i="13" s="1"/>
  <c r="AQ18" i="13"/>
  <c r="AD21" i="13"/>
  <c r="BT21" i="13"/>
  <c r="AZ21" i="13" s="1"/>
  <c r="BT19" i="13"/>
  <c r="AZ19" i="13" s="1"/>
  <c r="AI4" i="13"/>
  <c r="AA6" i="13"/>
  <c r="AV6" i="13"/>
  <c r="AQ3" i="13"/>
  <c r="AD23" i="13"/>
  <c r="BT5" i="13"/>
  <c r="AZ5" i="13" s="1"/>
  <c r="AQ11" i="13"/>
  <c r="AV27" i="13"/>
  <c r="AF18" i="13"/>
  <c r="AQ23" i="13"/>
  <c r="BT10" i="13"/>
  <c r="AZ10" i="13" s="1"/>
  <c r="BT15" i="13"/>
  <c r="AZ15" i="13" s="1"/>
  <c r="AE16" i="13"/>
  <c r="AF37" i="13"/>
  <c r="AD18" i="13"/>
  <c r="BT11" i="13"/>
  <c r="AZ11" i="13" s="1"/>
  <c r="AG14" i="13"/>
  <c r="AH31" i="13"/>
  <c r="BT22" i="13"/>
  <c r="AZ22" i="13" s="1"/>
  <c r="AQ31" i="13"/>
  <c r="AF32" i="13"/>
  <c r="AE31" i="13"/>
  <c r="AF33" i="13"/>
  <c r="BT33" i="13"/>
  <c r="T33" i="13" s="1"/>
  <c r="AE24" i="13"/>
  <c r="R25" i="13"/>
  <c r="AF36" i="13"/>
  <c r="AE35" i="13"/>
  <c r="AF17" i="13"/>
  <c r="AA23" i="13"/>
  <c r="AQ37" i="13"/>
  <c r="AA32" i="13"/>
  <c r="AQ5" i="13"/>
  <c r="AQ34" i="13"/>
  <c r="AQ26" i="13"/>
  <c r="AQ8" i="13"/>
  <c r="AE8" i="13"/>
  <c r="AA8" i="13"/>
  <c r="AQ10" i="13"/>
  <c r="AA36" i="13"/>
  <c r="AQ36" i="13"/>
  <c r="AF34" i="13"/>
  <c r="AA34" i="13"/>
  <c r="AF24" i="13"/>
  <c r="AH17" i="13"/>
  <c r="S10" i="13"/>
  <c r="AF11" i="13"/>
  <c r="AA17" i="13"/>
  <c r="AE6" i="13"/>
  <c r="AQ29" i="13"/>
  <c r="AF15" i="13"/>
  <c r="AQ15" i="13"/>
  <c r="AE14" i="13"/>
  <c r="AA14" i="13"/>
  <c r="AF14" i="13"/>
  <c r="AH14" i="13"/>
  <c r="AA33" i="13"/>
  <c r="AQ25" i="13"/>
  <c r="AF25" i="13"/>
  <c r="AA15" i="13"/>
  <c r="S15" i="13"/>
  <c r="AQ16" i="13"/>
  <c r="AA13" i="13"/>
  <c r="AG12" i="13"/>
  <c r="AE20" i="13"/>
  <c r="AQ22" i="13"/>
  <c r="AE19" i="13"/>
  <c r="AA19" i="13"/>
  <c r="AQ9" i="13"/>
  <c r="AA21" i="13"/>
  <c r="AF21" i="13"/>
  <c r="AF20" i="13"/>
  <c r="AG18" i="13"/>
  <c r="AA26" i="13"/>
  <c r="AA22" i="13"/>
  <c r="AG24" i="13"/>
  <c r="AA25" i="13"/>
  <c r="AF9" i="13"/>
  <c r="AA9" i="13"/>
  <c r="AA11" i="13"/>
  <c r="AE27" i="13"/>
  <c r="AA27" i="13"/>
  <c r="AG5" i="13"/>
  <c r="AA10" i="13"/>
  <c r="AE7" i="13"/>
  <c r="AA4" i="13"/>
  <c r="AQ4" i="13"/>
  <c r="AF35" i="13"/>
  <c r="AQ12" i="13"/>
  <c r="AQ24" i="13"/>
  <c r="AQ20" i="13"/>
  <c r="AQ19" i="13"/>
  <c r="S12" i="13"/>
  <c r="AQ13" i="13"/>
  <c r="AF27" i="13"/>
  <c r="AE29" i="13"/>
  <c r="AH21" i="13"/>
  <c r="AF10" i="13"/>
  <c r="S21" i="13"/>
  <c r="AH3" i="13"/>
  <c r="R21" i="13"/>
  <c r="BT25" i="13"/>
  <c r="AZ25" i="13" s="1"/>
  <c r="AF16" i="13"/>
  <c r="AF4" i="13"/>
  <c r="AQ7" i="13"/>
  <c r="AF28" i="13"/>
  <c r="BT23" i="13"/>
  <c r="T23" i="13" s="1"/>
  <c r="AF13" i="13"/>
  <c r="AH37" i="13"/>
  <c r="S30" i="13"/>
  <c r="R36" i="13"/>
  <c r="AF29" i="13"/>
  <c r="BT24" i="13"/>
  <c r="T24" i="13" s="1"/>
  <c r="AD24" i="13"/>
  <c r="AF6" i="13"/>
  <c r="C316" i="15"/>
  <c r="AF26" i="13"/>
  <c r="G314" i="15"/>
  <c r="G316" i="15"/>
  <c r="M121" i="15"/>
  <c r="M111" i="15"/>
  <c r="AH16" i="13"/>
  <c r="AF22" i="13"/>
  <c r="AF19" i="13"/>
  <c r="S22" i="13"/>
  <c r="AF30" i="13"/>
  <c r="R22" i="13"/>
  <c r="AF8" i="13"/>
  <c r="BT30" i="13"/>
  <c r="T30" i="13" s="1"/>
  <c r="AQ6" i="13"/>
  <c r="BT27" i="13"/>
  <c r="AZ27" i="13" s="1"/>
  <c r="AF7" i="13"/>
  <c r="AQ14" i="13"/>
  <c r="G315" i="15"/>
  <c r="AD33" i="13"/>
  <c r="S4" i="13"/>
  <c r="AV4" i="13"/>
  <c r="AD4" i="13"/>
  <c r="AD29" i="13"/>
  <c r="M10" i="15"/>
  <c r="E316" i="15"/>
  <c r="AD16" i="13"/>
  <c r="AD11" i="13"/>
  <c r="S31" i="13"/>
  <c r="AD31" i="13"/>
  <c r="S3" i="13"/>
  <c r="M60" i="15"/>
  <c r="AD3" i="13"/>
  <c r="M71" i="15"/>
  <c r="M162" i="15"/>
  <c r="M275" i="15"/>
  <c r="I314" i="15"/>
  <c r="M295" i="15"/>
  <c r="S32" i="13"/>
  <c r="M233" i="15"/>
  <c r="AV26" i="13"/>
  <c r="AV25" i="13"/>
  <c r="E315" i="15"/>
  <c r="K315" i="15"/>
  <c r="R27" i="13"/>
  <c r="S27" i="13"/>
  <c r="M285" i="15"/>
  <c r="AV34" i="13"/>
  <c r="AV33" i="13"/>
  <c r="M265" i="15"/>
  <c r="G312" i="15"/>
  <c r="AD25" i="13"/>
  <c r="AD35" i="13"/>
  <c r="AD36" i="13"/>
  <c r="R35" i="13"/>
  <c r="C315" i="15"/>
  <c r="I313" i="15"/>
  <c r="E312" i="15"/>
  <c r="S23" i="13"/>
  <c r="M182" i="15"/>
  <c r="AD37" i="13"/>
  <c r="AV17" i="13"/>
  <c r="AD17" i="13"/>
  <c r="AD22" i="13"/>
  <c r="AD7" i="13"/>
  <c r="AD27" i="13"/>
  <c r="AD28" i="13"/>
  <c r="AD19" i="13"/>
  <c r="C312" i="15"/>
  <c r="M193" i="15"/>
  <c r="AV15" i="13"/>
  <c r="G311" i="15"/>
  <c r="AD12" i="13"/>
  <c r="AD5" i="13"/>
  <c r="G313" i="15"/>
  <c r="M152" i="15"/>
  <c r="C313" i="15"/>
  <c r="AV19" i="13"/>
  <c r="AD20" i="13"/>
  <c r="AD13" i="13"/>
  <c r="R11" i="13"/>
  <c r="AD15" i="13"/>
  <c r="AD14" i="13"/>
  <c r="AD10" i="13"/>
  <c r="R24" i="13"/>
  <c r="T18" i="13"/>
  <c r="AD26" i="13"/>
  <c r="S25" i="13"/>
  <c r="M223" i="15"/>
  <c r="M243" i="15"/>
  <c r="M40" i="15"/>
  <c r="M203" i="15"/>
  <c r="E311" i="15"/>
  <c r="M91" i="15"/>
  <c r="M81" i="15"/>
  <c r="AD34" i="13"/>
  <c r="T28" i="13"/>
  <c r="S28" i="13"/>
  <c r="S16" i="13"/>
  <c r="I316" i="15"/>
  <c r="M132" i="15"/>
  <c r="BT12" i="13"/>
  <c r="AZ12" i="13" s="1"/>
  <c r="I312" i="15"/>
  <c r="I315" i="15"/>
  <c r="M50" i="15"/>
  <c r="M20" i="15"/>
  <c r="E313" i="15"/>
  <c r="M30" i="15"/>
  <c r="K312" i="15"/>
  <c r="R29" i="13"/>
  <c r="K314" i="15"/>
  <c r="M306" i="15"/>
  <c r="E314" i="15"/>
  <c r="BT20" i="13"/>
  <c r="AZ20" i="13" s="1"/>
  <c r="K316" i="15"/>
  <c r="C314" i="15"/>
  <c r="M61" i="15"/>
  <c r="M307" i="15" s="1"/>
  <c r="R34" i="13"/>
  <c r="S24" i="13"/>
  <c r="M305" i="15"/>
  <c r="BT35" i="13"/>
  <c r="AZ35" i="13" s="1"/>
  <c r="M101" i="15"/>
  <c r="AU39" i="13"/>
  <c r="BT34" i="13"/>
  <c r="AZ34" i="13" s="1"/>
  <c r="T29" i="13"/>
  <c r="S29" i="13"/>
  <c r="R3" i="13"/>
  <c r="R13" i="13"/>
  <c r="R33" i="13"/>
  <c r="R28" i="13"/>
  <c r="BT3" i="13"/>
  <c r="S9" i="13"/>
  <c r="BT9" i="13"/>
  <c r="AZ9" i="13" s="1"/>
  <c r="S13" i="13"/>
  <c r="BT13" i="13"/>
  <c r="R6" i="13"/>
  <c r="R30" i="13"/>
  <c r="R9" i="13"/>
  <c r="R12" i="13"/>
  <c r="R32" i="13"/>
  <c r="R15" i="13"/>
  <c r="R23" i="13"/>
  <c r="BT31" i="13"/>
  <c r="BT32" i="13"/>
  <c r="BT8" i="13"/>
  <c r="AZ8" i="13" s="1"/>
  <c r="S8" i="13"/>
  <c r="S26" i="13"/>
  <c r="S6" i="13"/>
  <c r="BT6" i="13"/>
  <c r="R26" i="13"/>
  <c r="R5" i="13"/>
  <c r="R8" i="13"/>
  <c r="R31" i="13"/>
  <c r="R14" i="13"/>
  <c r="T16" i="13"/>
  <c r="T36" i="13"/>
  <c r="BT37" i="13"/>
  <c r="AZ37" i="13" s="1"/>
  <c r="S37" i="13"/>
  <c r="BT7" i="13"/>
  <c r="S7" i="13"/>
  <c r="R37" i="13"/>
  <c r="R4" i="13"/>
  <c r="R7" i="13"/>
  <c r="R10" i="13"/>
  <c r="BT14" i="13"/>
  <c r="S14" i="13"/>
  <c r="M172" i="15"/>
  <c r="M255" i="15"/>
  <c r="M244" i="15"/>
  <c r="M213" i="15"/>
  <c r="K313" i="15"/>
  <c r="M142" i="15"/>
  <c r="M183" i="15"/>
  <c r="T26" i="13" l="1"/>
  <c r="T5" i="13"/>
  <c r="T21" i="13"/>
  <c r="T4" i="13"/>
  <c r="T17" i="13"/>
  <c r="T19" i="13"/>
  <c r="T22" i="13"/>
  <c r="T15" i="13"/>
  <c r="T10" i="13"/>
  <c r="T11" i="13"/>
  <c r="AZ33" i="13"/>
  <c r="AR40" i="13"/>
  <c r="AQ40" i="13"/>
  <c r="AO40" i="13"/>
  <c r="AN40" i="13"/>
  <c r="AZ24" i="13"/>
  <c r="T25" i="13"/>
  <c r="AP40" i="13"/>
  <c r="T27" i="13"/>
  <c r="C311" i="15"/>
  <c r="T12" i="13"/>
  <c r="T20" i="13"/>
  <c r="T34" i="13"/>
  <c r="T32" i="13"/>
  <c r="AZ32" i="13"/>
  <c r="T6" i="13"/>
  <c r="AZ6" i="13"/>
  <c r="T3" i="13"/>
  <c r="AZ3" i="13"/>
  <c r="T35" i="13"/>
  <c r="T37" i="13"/>
  <c r="T9" i="13"/>
  <c r="T8" i="13"/>
  <c r="T7" i="13"/>
  <c r="AZ7" i="13"/>
  <c r="T13" i="13"/>
  <c r="AZ13" i="13"/>
  <c r="T31" i="13"/>
  <c r="AZ31" i="13"/>
  <c r="T14" i="13"/>
  <c r="AZ14" i="13"/>
  <c r="AS40" i="13" l="1"/>
  <c r="AZ39" i="13"/>
</calcChain>
</file>

<file path=xl/sharedStrings.xml><?xml version="1.0" encoding="utf-8"?>
<sst xmlns="http://schemas.openxmlformats.org/spreadsheetml/2006/main" count="3364" uniqueCount="400">
  <si>
    <t>8а</t>
  </si>
  <si>
    <t>8б</t>
  </si>
  <si>
    <t>8в</t>
  </si>
  <si>
    <t>8г</t>
  </si>
  <si>
    <t>8д</t>
  </si>
  <si>
    <t>9а</t>
  </si>
  <si>
    <t>9б</t>
  </si>
  <si>
    <t>9в</t>
  </si>
  <si>
    <t>9г</t>
  </si>
  <si>
    <t>9д</t>
  </si>
  <si>
    <t>10а</t>
  </si>
  <si>
    <t>10б</t>
  </si>
  <si>
    <t>10в</t>
  </si>
  <si>
    <t>10г</t>
  </si>
  <si>
    <t>10д</t>
  </si>
  <si>
    <t>11а</t>
  </si>
  <si>
    <t>11б</t>
  </si>
  <si>
    <t>11в</t>
  </si>
  <si>
    <t>11д</t>
  </si>
  <si>
    <t>понеделник</t>
  </si>
  <si>
    <t>вторник</t>
  </si>
  <si>
    <t>петък</t>
  </si>
  <si>
    <t>четвъртък</t>
  </si>
  <si>
    <t>сряда</t>
  </si>
  <si>
    <t>Понеделник</t>
  </si>
  <si>
    <t>Вторник</t>
  </si>
  <si>
    <t>Сряда</t>
  </si>
  <si>
    <t>Четвъртък</t>
  </si>
  <si>
    <t>Петък</t>
  </si>
  <si>
    <t>ден</t>
  </si>
  <si>
    <t>час</t>
  </si>
  <si>
    <t>По програма</t>
  </si>
  <si>
    <t>Разлика</t>
  </si>
  <si>
    <t>По норматив</t>
  </si>
  <si>
    <t>В. Иванова</t>
  </si>
  <si>
    <t>математика</t>
  </si>
  <si>
    <t>информатика</t>
  </si>
  <si>
    <t>биология</t>
  </si>
  <si>
    <t>музика</t>
  </si>
  <si>
    <t>рисуване</t>
  </si>
  <si>
    <t>химия</t>
  </si>
  <si>
    <t>философия</t>
  </si>
  <si>
    <t>физика</t>
  </si>
  <si>
    <t>физкултура</t>
  </si>
  <si>
    <t>немски език</t>
  </si>
  <si>
    <t>английски език</t>
  </si>
  <si>
    <t>11г</t>
  </si>
  <si>
    <t>история</t>
  </si>
  <si>
    <t>12а</t>
  </si>
  <si>
    <t>12б</t>
  </si>
  <si>
    <t>12в</t>
  </si>
  <si>
    <t>12г</t>
  </si>
  <si>
    <t>12д</t>
  </si>
  <si>
    <t>Г. Петрова</t>
  </si>
  <si>
    <t>-</t>
  </si>
  <si>
    <t>Данева</t>
  </si>
  <si>
    <t>Чанкова</t>
  </si>
  <si>
    <t>Кирилова</t>
  </si>
  <si>
    <t>Киркова</t>
  </si>
  <si>
    <t>ЧК</t>
  </si>
  <si>
    <t>Гинева</t>
  </si>
  <si>
    <t>Мерджанова</t>
  </si>
  <si>
    <t>Гочева</t>
  </si>
  <si>
    <t>К. Петрова</t>
  </si>
  <si>
    <t>Славова</t>
  </si>
  <si>
    <t>Влашинска</t>
  </si>
  <si>
    <t>Коларова</t>
  </si>
  <si>
    <t>Петров</t>
  </si>
  <si>
    <t>27/28</t>
  </si>
  <si>
    <t>Киркова/К. Петрова</t>
  </si>
  <si>
    <t>Брой часове</t>
  </si>
  <si>
    <t>БЕЛ</t>
  </si>
  <si>
    <t>I ЧЕ</t>
  </si>
  <si>
    <t xml:space="preserve">II ЧЕ </t>
  </si>
  <si>
    <t>Мат</t>
  </si>
  <si>
    <t>Инф</t>
  </si>
  <si>
    <t>ИТ</t>
  </si>
  <si>
    <t>Геогр</t>
  </si>
  <si>
    <t>Ист</t>
  </si>
  <si>
    <t>Филос</t>
  </si>
  <si>
    <t>Физ</t>
  </si>
  <si>
    <t>Хим</t>
  </si>
  <si>
    <t>Биол</t>
  </si>
  <si>
    <t>Муз</t>
  </si>
  <si>
    <t>Физ В</t>
  </si>
  <si>
    <t>Общо</t>
  </si>
  <si>
    <t>а,б,в,г - 2
д         - 4</t>
  </si>
  <si>
    <t>а,б,в,г - 2
д         - 5</t>
  </si>
  <si>
    <t>а,б,в,г - 2
д         - 6</t>
  </si>
  <si>
    <t>Конгалов</t>
  </si>
  <si>
    <t>Вълчева</t>
  </si>
  <si>
    <t>Габарова</t>
  </si>
  <si>
    <t>Ю. Делчева</t>
  </si>
  <si>
    <t>2/1</t>
  </si>
  <si>
    <t>1/2</t>
  </si>
  <si>
    <t>Средно</t>
  </si>
  <si>
    <t>Средно понеделник</t>
  </si>
  <si>
    <t>Средно вторник</t>
  </si>
  <si>
    <t>Средно сряда</t>
  </si>
  <si>
    <t>Средно четвъртък</t>
  </si>
  <si>
    <t>Средно петък</t>
  </si>
  <si>
    <t>география</t>
  </si>
  <si>
    <t>Средно седмично</t>
  </si>
  <si>
    <t>а</t>
  </si>
  <si>
    <t>б</t>
  </si>
  <si>
    <t>в</t>
  </si>
  <si>
    <t>г</t>
  </si>
  <si>
    <t>д</t>
  </si>
  <si>
    <t>Средно по класове</t>
  </si>
  <si>
    <t>д         - 5</t>
  </si>
  <si>
    <t>д         - 6</t>
  </si>
  <si>
    <t>Козалиева</t>
  </si>
  <si>
    <t>Краева</t>
  </si>
  <si>
    <t>8a</t>
  </si>
  <si>
    <t>ИИ</t>
  </si>
  <si>
    <t>ІІ - ри чужд език</t>
  </si>
  <si>
    <t>Трандев</t>
  </si>
  <si>
    <t>Клисарова</t>
  </si>
  <si>
    <t>Кръстева</t>
  </si>
  <si>
    <t>бълг. език</t>
  </si>
  <si>
    <t>Никова</t>
  </si>
  <si>
    <t>руски език</t>
  </si>
  <si>
    <t>3/2
ЧиПр</t>
  </si>
  <si>
    <t>2/3
ЧиПр</t>
  </si>
  <si>
    <t>П</t>
  </si>
  <si>
    <t>В</t>
  </si>
  <si>
    <t>С</t>
  </si>
  <si>
    <t>Ч</t>
  </si>
  <si>
    <t>Брой разказватели предмети по класове</t>
  </si>
  <si>
    <t>5 клас</t>
  </si>
  <si>
    <t xml:space="preserve">Четвъртък </t>
  </si>
  <si>
    <t>6 клас</t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</si>
  <si>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</si>
  <si>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</si>
  <si>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</si>
  <si>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</si>
  <si>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</si>
  <si>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</si>
  <si>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</si>
  <si>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</si>
  <si>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</si>
  <si>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</si>
  <si>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</si>
  <si>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</si>
  <si>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</si>
  <si>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</si>
  <si>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</si>
  <si>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</si>
  <si>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</si>
  <si>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</si>
  <si>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</si>
  <si>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</si>
  <si>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</si>
  <si>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</si>
  <si>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</si>
  <si>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</si>
  <si>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</si>
  <si>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t>5,6,7</t>
  </si>
  <si>
    <t>7 клас</t>
  </si>
  <si>
    <t>Батимов</t>
  </si>
  <si>
    <t>Забележки:</t>
  </si>
  <si>
    <t>30/32</t>
  </si>
  <si>
    <t>31/46</t>
  </si>
  <si>
    <t>I срок</t>
  </si>
  <si>
    <t>II срок</t>
  </si>
  <si>
    <t>Латева</t>
  </si>
  <si>
    <t>Костова</t>
  </si>
  <si>
    <t>Брой разтоварващи предмети по класове</t>
  </si>
  <si>
    <t>5, 6 и 7 клас - Домашен бит и техника и ИТ - класовете се делят на 2 групи и се вземат от 2 преподаватели .</t>
  </si>
  <si>
    <t>41*</t>
  </si>
  <si>
    <t>Спасова</t>
  </si>
  <si>
    <t>Даскалова</t>
  </si>
  <si>
    <t>Д. Николова</t>
  </si>
  <si>
    <t>Н. Николова</t>
  </si>
  <si>
    <t>Минчева</t>
  </si>
  <si>
    <t>свят и личност</t>
  </si>
  <si>
    <t>Янева</t>
  </si>
  <si>
    <t>Цветков</t>
  </si>
  <si>
    <t>Паронова</t>
  </si>
  <si>
    <t>Тодорова</t>
  </si>
  <si>
    <t xml:space="preserve">Затова в програмата са заложени 2 часа в един ден ИТ/ДБТ, като групите се сменят. </t>
  </si>
  <si>
    <t>Коефициентите са смятани за положителни и в двата случая - лек и тежък предмет.</t>
  </si>
  <si>
    <t xml:space="preserve">СИП в 8 клас са с целите класове и затова са включени в програмата като последни часове - маркираните часове. </t>
  </si>
  <si>
    <t>В съответният ден коефициентът е смятан като в 7 часов ден.</t>
  </si>
  <si>
    <t>Маркираните колони с коефициенти са смятани като 6-часов учебен ден. Останалите са 7 - часови.</t>
  </si>
  <si>
    <t>Сряда - всички класове без 5, 6 и 7 имат 7-ми час ЧК. Коефициентът им е смятан като 7 часов ден.</t>
  </si>
  <si>
    <t>Кирилова/Тодорова</t>
  </si>
  <si>
    <t>Даскалова/Тодорова</t>
  </si>
  <si>
    <t>17"</t>
  </si>
  <si>
    <t>ПМГ "Акад. Боян Петканчин"</t>
  </si>
  <si>
    <t>гр. Хасково</t>
  </si>
  <si>
    <t xml:space="preserve">СЕДМИЧНО 
РАЗПИСАНИЕ </t>
  </si>
  <si>
    <t>Директор:</t>
  </si>
  <si>
    <t>І срок</t>
  </si>
  <si>
    <t>Регионална здравна инспекция</t>
  </si>
  <si>
    <t>Хасково 6300</t>
  </si>
  <si>
    <t>ул. "Партиарх Евтимий" №2</t>
  </si>
  <si>
    <t>Директор РЗИ – Хасково</t>
  </si>
  <si>
    <t>До</t>
  </si>
  <si>
    <t>Коефициент:           50,4</t>
  </si>
  <si>
    <t>26/31</t>
  </si>
  <si>
    <t>Г. Петрова/Янева</t>
  </si>
  <si>
    <t>2 свят и личност</t>
  </si>
  <si>
    <t>2
г-4</t>
  </si>
  <si>
    <t>45*</t>
  </si>
  <si>
    <t>Христонова</t>
  </si>
  <si>
    <t>*За организиране на третия час по физическо възпитание и спорт в гимназията са организирани следните модули:</t>
  </si>
  <si>
    <t>Кабинет</t>
  </si>
  <si>
    <t>КК1</t>
  </si>
  <si>
    <t>КК2</t>
  </si>
  <si>
    <t>КК5</t>
  </si>
  <si>
    <t>ФС</t>
  </si>
  <si>
    <t>108/101-105</t>
  </si>
  <si>
    <t>107-108/101-105</t>
  </si>
  <si>
    <t/>
  </si>
  <si>
    <t>Христонова/Цветков</t>
  </si>
  <si>
    <t>Киров</t>
  </si>
  <si>
    <t xml:space="preserve"> </t>
  </si>
  <si>
    <t>КК8</t>
  </si>
  <si>
    <t>KK6</t>
  </si>
  <si>
    <t>Сапунджиева</t>
  </si>
  <si>
    <t>Тонева</t>
  </si>
  <si>
    <t>ИТ/ИТ</t>
  </si>
  <si>
    <t>Димитрова</t>
  </si>
  <si>
    <t>33*</t>
  </si>
  <si>
    <t>Фиксираните по 2 учебни часа след редовните учебни часове се провеждат през седмица.</t>
  </si>
  <si>
    <t>Пецова</t>
  </si>
  <si>
    <t>Янева/Пецова</t>
  </si>
  <si>
    <t>К. Петрова/Димитрова</t>
  </si>
  <si>
    <t>28/29</t>
  </si>
  <si>
    <t>Трифонова</t>
  </si>
  <si>
    <t>107/108</t>
  </si>
  <si>
    <t>212/214/215/217</t>
  </si>
  <si>
    <t>КК1/КК8</t>
  </si>
  <si>
    <t>КК8/КК2</t>
  </si>
  <si>
    <t>3/4</t>
  </si>
  <si>
    <t>KK4</t>
  </si>
  <si>
    <t>Иванова</t>
  </si>
  <si>
    <t>Спортни игри (футбол, баскетбол и волейбол),  туризъм, ски алпийски дисциплини и шахмат.</t>
  </si>
  <si>
    <t>2/3</t>
  </si>
  <si>
    <t>ИТ/ТП</t>
  </si>
  <si>
    <t>5 и 6 клас - ИТ/ТП + ИТ/ТП + ИТ/ТП + ИТ/ТП</t>
  </si>
  <si>
    <t>2</t>
  </si>
  <si>
    <t>2/1 - ТП</t>
  </si>
  <si>
    <t>1/0</t>
  </si>
  <si>
    <t>0/1</t>
  </si>
  <si>
    <t>25/46</t>
  </si>
  <si>
    <t>5 и 6 клас - ИТ/ТП + ИТ/ТП + ИТ/ИТ</t>
  </si>
  <si>
    <t>25/29</t>
  </si>
  <si>
    <t>KK3</t>
  </si>
  <si>
    <t>а - 6
б, в - 5
г - 4
д  -  3</t>
  </si>
  <si>
    <t>а - 6
б, в - 5
г - 4
д  -  2</t>
  </si>
  <si>
    <t>а - 3
б - 4
в, г, д - 1</t>
  </si>
  <si>
    <t>а, б - 1
в - 4
г - 3
д - 1</t>
  </si>
  <si>
    <t>в - 4
г - 3</t>
  </si>
  <si>
    <t>а - 3
б - 4</t>
  </si>
  <si>
    <t>а, в - 8
б - 8
г - 6
д  -  2</t>
  </si>
  <si>
    <t>2
г-5</t>
  </si>
  <si>
    <t>Петкова</t>
  </si>
  <si>
    <t>Заложени часове по природни науки</t>
  </si>
  <si>
    <t>Капацитет на кабинетите</t>
  </si>
  <si>
    <t>Дублажи</t>
  </si>
  <si>
    <t>Гюлева</t>
  </si>
  <si>
    <t>Петкова/Димитрова</t>
  </si>
  <si>
    <t>Петкова/Пецова</t>
  </si>
  <si>
    <t>5 и 6 клас - Технологии и предприемачество и ИТ - класовете се делят на 2 групи и  се вземат от 2 преподаватели.</t>
  </si>
  <si>
    <t xml:space="preserve">Затова в програмата са заложени по 2 часа ИТ/ТП или ИТ/ДБТ, като групите се сменят. </t>
  </si>
  <si>
    <t>ЧиП</t>
  </si>
  <si>
    <t>ТП</t>
  </si>
  <si>
    <t>Био</t>
  </si>
  <si>
    <t>OK</t>
  </si>
  <si>
    <t>Филипова</t>
  </si>
  <si>
    <t>КК7</t>
  </si>
  <si>
    <t>КК5/КК2</t>
  </si>
  <si>
    <t>КК4/102/109</t>
  </si>
  <si>
    <t>КК7/КК1</t>
  </si>
  <si>
    <t>КК4/КК6</t>
  </si>
  <si>
    <t>КК7/КК8</t>
  </si>
  <si>
    <t>КК3/КК8</t>
  </si>
  <si>
    <t>КК6/КК4</t>
  </si>
  <si>
    <t>КК5/112</t>
  </si>
  <si>
    <t>КК8/112</t>
  </si>
  <si>
    <t>1/25</t>
  </si>
  <si>
    <t>Маргаритова/Петкова</t>
  </si>
  <si>
    <t>Групите в 9 клас ІІ чужд език???</t>
  </si>
  <si>
    <t xml:space="preserve">1
</t>
  </si>
  <si>
    <t>4</t>
  </si>
  <si>
    <t>1</t>
  </si>
  <si>
    <t>3/2</t>
  </si>
  <si>
    <t xml:space="preserve">
в - 5
г - 4</t>
  </si>
  <si>
    <t>а - 5
б - 5</t>
  </si>
  <si>
    <t>6/5 
4 + 2/1</t>
  </si>
  <si>
    <t>2
1 +1</t>
  </si>
  <si>
    <t xml:space="preserve">3
абвг +1 ФУЧ
</t>
  </si>
  <si>
    <t>30+1ЧК
6 разк.</t>
  </si>
  <si>
    <t>31+1ЧК
8 разк.</t>
  </si>
  <si>
    <t>32+1ЧК
абвг+1 ФУЧ</t>
  </si>
  <si>
    <t>32+1ЧК
11/16 разк.</t>
  </si>
  <si>
    <t>32+1ЧК
11/18 разк.</t>
  </si>
  <si>
    <t>32+1ЧК
6/17 разк.</t>
  </si>
  <si>
    <t>2/1 - ТП
технологии и предприема-чество</t>
  </si>
  <si>
    <r>
      <t xml:space="preserve">9авг - 1
9б -1 </t>
    </r>
    <r>
      <rPr>
        <sz val="8"/>
        <rFont val="Arial"/>
        <family val="2"/>
        <charset val="204"/>
      </rPr>
      <t>ФУЧ</t>
    </r>
  </si>
  <si>
    <t>Избираеми часове</t>
  </si>
  <si>
    <t>1 час</t>
  </si>
  <si>
    <t>0,5 часа</t>
  </si>
  <si>
    <t>ФУЧ</t>
  </si>
  <si>
    <t>29/31</t>
  </si>
  <si>
    <t>Димитрова/Янева</t>
  </si>
  <si>
    <t>30/31</t>
  </si>
  <si>
    <t>31/32</t>
  </si>
  <si>
    <t>Янева/Цветков</t>
  </si>
  <si>
    <t>16/18</t>
  </si>
  <si>
    <t>17/18</t>
  </si>
  <si>
    <t>32+1
15/14 разк.</t>
  </si>
  <si>
    <t>50*</t>
  </si>
  <si>
    <t>28/46</t>
  </si>
  <si>
    <t>K. Петрова/Пецова</t>
  </si>
  <si>
    <t>29/46</t>
  </si>
  <si>
    <t>Димитрова/Пецова</t>
  </si>
  <si>
    <t>7 клас - ИТ/ТП + ИТ/ТП</t>
  </si>
  <si>
    <t xml:space="preserve">7 клас - ИТ/ТП + ИТ/ТП </t>
  </si>
  <si>
    <t>Христонова/Янева</t>
  </si>
  <si>
    <t>3
9бд + 1 
9вг  + 0,5 
            1/0</t>
  </si>
  <si>
    <t>3
9абд +0.5
             1/0</t>
  </si>
  <si>
    <t>16/17/18/50</t>
  </si>
  <si>
    <t>Кирилова/Даскалова/Тодорова/Филипова</t>
  </si>
  <si>
    <t>общ брой часове</t>
  </si>
  <si>
    <t>I вариант - делим 9в - 6 групи</t>
  </si>
  <si>
    <t>РЕ</t>
  </si>
  <si>
    <t>НЕ</t>
  </si>
  <si>
    <t>9ад=19+6=25</t>
  </si>
  <si>
    <t>9ад=7+20=27</t>
  </si>
  <si>
    <t>9бв=17+7=24</t>
  </si>
  <si>
    <t>9бв=10+6=16</t>
  </si>
  <si>
    <t>9гв=16+8=24</t>
  </si>
  <si>
    <t>9гв=10+5=15</t>
  </si>
  <si>
    <t>II вариант - делим 9д - 7 групи</t>
  </si>
  <si>
    <t>9а=19</t>
  </si>
  <si>
    <t>9аб=7+10=17</t>
  </si>
  <si>
    <t>9б=17</t>
  </si>
  <si>
    <t>9вд=15+3=18</t>
  </si>
  <si>
    <t>9вд=11+10=21</t>
  </si>
  <si>
    <t>9гд=16+3=19</t>
  </si>
  <si>
    <t>9гд=10+10=20</t>
  </si>
  <si>
    <t>III вариант - не делим класове - 7 групи</t>
  </si>
  <si>
    <t>9вд=15+6=21</t>
  </si>
  <si>
    <t>9вг = 21</t>
  </si>
  <si>
    <t>9г = 16</t>
  </si>
  <si>
    <t>9д = 20</t>
  </si>
  <si>
    <t>34*</t>
  </si>
  <si>
    <t>5 + 1.5 ИУЧ
6/7</t>
  </si>
  <si>
    <t>6/5 
/4 + 1.5 ИУЧ/
2 ФУЧ</t>
  </si>
  <si>
    <t>16/50</t>
  </si>
  <si>
    <t>17/50</t>
  </si>
  <si>
    <t>Кирилова/Филипова</t>
  </si>
  <si>
    <t>II - ри чужд език</t>
  </si>
  <si>
    <t>Даскалова/Филипова</t>
  </si>
  <si>
    <t>Тодорова + всички</t>
  </si>
  <si>
    <t>11б,д</t>
  </si>
  <si>
    <t>12б,в</t>
  </si>
  <si>
    <t>10б,в</t>
  </si>
  <si>
    <t>12а,д</t>
  </si>
  <si>
    <t>9а, д</t>
  </si>
  <si>
    <t>11a,в</t>
  </si>
  <si>
    <t>Петров ФВС</t>
  </si>
  <si>
    <t>108/107/106/105</t>
  </si>
  <si>
    <t>КК3/</t>
  </si>
  <si>
    <t>Колева</t>
  </si>
  <si>
    <t>Г. Тодорова</t>
  </si>
  <si>
    <t xml:space="preserve">Тодорова
в 107, 108 или в указаните </t>
  </si>
  <si>
    <t xml:space="preserve">Разпределение на кабинетите </t>
  </si>
  <si>
    <t>Киров
в 109, 110, 111, 114 или в указаните</t>
  </si>
  <si>
    <t xml:space="preserve">Природни
науки 
в 212,214,215, 217 или в указаните </t>
  </si>
  <si>
    <t>104/107/202/205/206/304</t>
  </si>
  <si>
    <t>107/108/206/301/302/305</t>
  </si>
  <si>
    <t>109/110/111/114/102/302</t>
  </si>
  <si>
    <t>102/105/111/112</t>
  </si>
  <si>
    <t>109/110/301/302/306</t>
  </si>
  <si>
    <t>КК2/105/111/112</t>
  </si>
  <si>
    <t>201/202/203/205/206</t>
  </si>
  <si>
    <t>2018 - 2019 учебна година</t>
  </si>
  <si>
    <t>/Гергана Петрова/</t>
  </si>
  <si>
    <t>7 клас - Технологии и предприемачество  и ИТ - класовете се делят на 2 групи и се вземат от 2 преподаватели .</t>
  </si>
  <si>
    <t>Допълнителен час по физическо възпитание и спорт</t>
  </si>
  <si>
    <t>8г, 9д, 10в, 12а</t>
  </si>
  <si>
    <t>8д, 9б, 9в</t>
  </si>
  <si>
    <t>5а, 8б,10г</t>
  </si>
  <si>
    <t>8а, 9г, 12в</t>
  </si>
  <si>
    <t>6а, 10д, 11а, 12г</t>
  </si>
  <si>
    <t>9а, 10а, 11б</t>
  </si>
  <si>
    <t>7а, 11в, 12б</t>
  </si>
  <si>
    <t>11г, 12д</t>
  </si>
  <si>
    <t>10б, 11д</t>
  </si>
  <si>
    <t>1/3 сед-мица</t>
  </si>
  <si>
    <t>2/4 сед-мица</t>
  </si>
  <si>
    <t>9б,в,г</t>
  </si>
  <si>
    <t>25/31</t>
  </si>
  <si>
    <t>Петкова/Янева</t>
  </si>
  <si>
    <t>Пецова
в 112 или в указанитe</t>
  </si>
  <si>
    <t>101/206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</si>
</sst>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\ &quot;лв&quot;_-;\-* #,##0.00\ &quot;лв&quot;_-;_-* &quot;-&quot;??\ &quot;лв&quot;_-;_-@_-"/>
    <numFmt numFmtId="165" formatCode="0.0%"/>
    <numFmt numFmtId="166" formatCode="0.0"/>
  </numFmts>
  <fonts count="44">
    <font>
      <sz val="10"/>
      <name val="Arial"/>
      <charset val="204"/>
    </font>
    <font>
      <sz val="10"/>
      <name val="Arial"/>
      <family val="2"/>
      <charset val="204"/>
    </font>
    <font>
      <sz val="8"/>
      <name val="Times New Roman"/>
      <family val="1"/>
    </font>
    <font>
      <b/>
      <sz val="8"/>
      <name val="Times New Roman"/>
      <family val="1"/>
    </font>
    <font>
      <sz val="8"/>
      <name val="Arial"/>
      <family val="2"/>
      <charset val="204"/>
    </font>
    <font>
      <sz val="7"/>
      <name val="Times New Roman"/>
      <family val="1"/>
      <charset val="204"/>
    </font>
    <font>
      <b/>
      <sz val="22"/>
      <name val="Baltica"/>
    </font>
    <font>
      <b/>
      <sz val="10"/>
      <name val="Arial"/>
      <family val="2"/>
      <charset val="204"/>
    </font>
    <font>
      <b/>
      <sz val="8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name val="Arial"/>
      <family val="2"/>
      <charset val="204"/>
    </font>
    <font>
      <b/>
      <vertAlign val="superscript"/>
      <sz val="10"/>
      <name val="Times New Roman"/>
      <family val="1"/>
      <charset val="204"/>
    </font>
    <font>
      <sz val="8"/>
      <name val="Arial"/>
      <family val="2"/>
      <charset val="204"/>
    </font>
    <font>
      <sz val="8"/>
      <name val="Times New Roman"/>
      <family val="1"/>
      <charset val="204"/>
    </font>
    <font>
      <b/>
      <sz val="24"/>
      <name val="Times New Roman"/>
      <family val="1"/>
      <charset val="204"/>
    </font>
    <font>
      <b/>
      <sz val="28"/>
      <name val="Times New Roman"/>
      <family val="1"/>
      <charset val="204"/>
    </font>
    <font>
      <b/>
      <sz val="36"/>
      <name val="Times New Roman"/>
      <family val="1"/>
      <charset val="204"/>
    </font>
    <font>
      <sz val="22"/>
      <name val="Times New Roman"/>
      <family val="1"/>
      <charset val="204"/>
    </font>
    <font>
      <b/>
      <sz val="22"/>
      <name val="Times New Roman"/>
      <family val="1"/>
      <charset val="204"/>
    </font>
    <font>
      <b/>
      <sz val="16"/>
      <name val="Times New Roman"/>
      <family val="1"/>
      <charset val="204"/>
    </font>
    <font>
      <sz val="16"/>
      <name val="Times New Roman"/>
      <family val="1"/>
      <charset val="204"/>
    </font>
    <font>
      <b/>
      <sz val="7"/>
      <name val="Times New Roman"/>
      <family val="1"/>
      <charset val="204"/>
    </font>
    <font>
      <b/>
      <sz val="6"/>
      <name val="Times New Roman"/>
      <family val="1"/>
      <charset val="204"/>
    </font>
    <font>
      <sz val="10"/>
      <name val="Arial"/>
      <family val="2"/>
    </font>
    <font>
      <sz val="10"/>
      <name val="Times New Roman"/>
      <family val="1"/>
    </font>
    <font>
      <sz val="10"/>
      <color rgb="FFFF0000"/>
      <name val="Times New Roman"/>
      <family val="1"/>
      <charset val="204"/>
    </font>
    <font>
      <sz val="7"/>
      <name val="Calibri"/>
      <family val="2"/>
      <charset val="204"/>
      <scheme val="minor"/>
    </font>
    <font>
      <b/>
      <sz val="7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7"/>
      <color rgb="FFFF0000"/>
      <name val="Times New Roman"/>
      <family val="1"/>
      <charset val="204"/>
    </font>
    <font>
      <sz val="8"/>
      <color rgb="FFFF0000"/>
      <name val="Times New Roman"/>
      <family val="1"/>
    </font>
    <font>
      <b/>
      <sz val="11"/>
      <color theme="1"/>
      <name val="Calibri"/>
      <family val="2"/>
      <scheme val="minor"/>
    </font>
    <font>
      <sz val="7"/>
      <color theme="1"/>
      <name val="Times New Roman"/>
      <family val="1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b/>
      <sz val="12"/>
      <name val="Arial"/>
      <family val="2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</fonts>
  <fills count="2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5BB8C5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theme="9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413">
    <xf numFmtId="0" fontId="0" fillId="0" borderId="0" xfId="0"/>
    <xf numFmtId="0" fontId="2" fillId="0" borderId="0" xfId="0" applyNumberFormat="1" applyFont="1" applyFill="1"/>
    <xf numFmtId="0" fontId="3" fillId="0" borderId="0" xfId="0" applyNumberFormat="1" applyFont="1" applyFill="1" applyAlignment="1">
      <alignment horizontal="center" vertical="top"/>
    </xf>
    <xf numFmtId="0" fontId="2" fillId="0" borderId="0" xfId="0" applyNumberFormat="1" applyFont="1" applyFill="1" applyBorder="1"/>
    <xf numFmtId="0" fontId="2" fillId="0" borderId="0" xfId="0" applyNumberFormat="1" applyFont="1" applyFill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3" borderId="0" xfId="0" applyFont="1" applyFill="1"/>
    <xf numFmtId="0" fontId="9" fillId="0" borderId="0" xfId="0" applyNumberFormat="1" applyFont="1" applyBorder="1" applyAlignment="1">
      <alignment horizontal="center"/>
    </xf>
    <xf numFmtId="0" fontId="9" fillId="0" borderId="0" xfId="0" applyNumberFormat="1" applyFont="1" applyBorder="1"/>
    <xf numFmtId="0" fontId="9" fillId="0" borderId="0" xfId="0" applyFont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9" fillId="0" borderId="0" xfId="0" applyFont="1" applyFill="1"/>
    <xf numFmtId="0" fontId="5" fillId="3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NumberFormat="1" applyFont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center"/>
    </xf>
    <xf numFmtId="0" fontId="9" fillId="0" borderId="0" xfId="0" applyNumberFormat="1" applyFont="1" applyBorder="1" applyAlignment="1">
      <alignment horizontal="left"/>
    </xf>
    <xf numFmtId="0" fontId="9" fillId="0" borderId="0" xfId="0" applyNumberFormat="1" applyFont="1" applyFill="1" applyBorder="1" applyAlignment="1">
      <alignment horizontal="left" vertical="center"/>
    </xf>
    <xf numFmtId="0" fontId="5" fillId="4" borderId="1" xfId="0" applyNumberFormat="1" applyFont="1" applyFill="1" applyBorder="1" applyAlignment="1">
      <alignment horizontal="center" vertical="center" textRotation="90"/>
    </xf>
    <xf numFmtId="0" fontId="12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5" fillId="0" borderId="0" xfId="0" applyFont="1"/>
    <xf numFmtId="0" fontId="5" fillId="5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/>
    <xf numFmtId="0" fontId="13" fillId="2" borderId="8" xfId="0" applyFont="1" applyFill="1" applyBorder="1" applyAlignment="1">
      <alignment horizontal="center"/>
    </xf>
    <xf numFmtId="0" fontId="13" fillId="2" borderId="8" xfId="0" applyFont="1" applyFill="1" applyBorder="1"/>
    <xf numFmtId="0" fontId="10" fillId="0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Fill="1" applyAlignment="1">
      <alignment horizontal="center"/>
    </xf>
    <xf numFmtId="0" fontId="9" fillId="2" borderId="0" xfId="0" applyFont="1" applyFill="1"/>
    <xf numFmtId="9" fontId="9" fillId="2" borderId="0" xfId="0" applyNumberFormat="1" applyFont="1" applyFill="1"/>
    <xf numFmtId="9" fontId="10" fillId="0" borderId="0" xfId="0" applyNumberFormat="1" applyFont="1"/>
    <xf numFmtId="0" fontId="10" fillId="0" borderId="0" xfId="0" applyFont="1" applyAlignment="1">
      <alignment horizontal="right"/>
    </xf>
    <xf numFmtId="9" fontId="9" fillId="0" borderId="0" xfId="0" applyNumberFormat="1" applyFont="1"/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9" fillId="2" borderId="0" xfId="0" applyFont="1" applyFill="1" applyAlignment="1">
      <alignment horizontal="left"/>
    </xf>
    <xf numFmtId="0" fontId="1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165" fontId="10" fillId="0" borderId="0" xfId="0" applyNumberFormat="1" applyFont="1"/>
    <xf numFmtId="165" fontId="10" fillId="2" borderId="0" xfId="0" applyNumberFormat="1" applyFont="1" applyFill="1" applyAlignment="1"/>
    <xf numFmtId="2" fontId="9" fillId="0" borderId="0" xfId="0" applyNumberFormat="1" applyFont="1"/>
    <xf numFmtId="49" fontId="12" fillId="4" borderId="1" xfId="0" applyNumberFormat="1" applyFont="1" applyFill="1" applyBorder="1" applyAlignment="1">
      <alignment horizontal="center" vertical="center"/>
    </xf>
    <xf numFmtId="9" fontId="9" fillId="0" borderId="0" xfId="2" applyFont="1" applyFill="1" applyAlignment="1">
      <alignment horizontal="center"/>
    </xf>
    <xf numFmtId="9" fontId="9" fillId="0" borderId="0" xfId="2" applyFont="1"/>
    <xf numFmtId="165" fontId="9" fillId="0" borderId="0" xfId="0" applyNumberFormat="1" applyFont="1"/>
    <xf numFmtId="1" fontId="9" fillId="0" borderId="0" xfId="0" applyNumberFormat="1" applyFont="1"/>
    <xf numFmtId="9" fontId="9" fillId="0" borderId="0" xfId="0" applyNumberFormat="1" applyFont="1" applyFill="1"/>
    <xf numFmtId="0" fontId="16" fillId="0" borderId="1" xfId="0" applyFont="1" applyFill="1" applyBorder="1" applyAlignment="1">
      <alignment horizontal="center" vertical="center"/>
    </xf>
    <xf numFmtId="16" fontId="16" fillId="0" borderId="1" xfId="0" quotePrefix="1" applyNumberFormat="1" applyFont="1" applyFill="1" applyBorder="1" applyAlignment="1">
      <alignment horizontal="center" vertical="center"/>
    </xf>
    <xf numFmtId="0" fontId="16" fillId="0" borderId="1" xfId="0" quotePrefix="1" applyFont="1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7" fontId="1" fillId="0" borderId="1" xfId="0" applyNumberFormat="1" applyFont="1" applyBorder="1" applyAlignment="1">
      <alignment horizontal="center" vertical="center" wrapText="1"/>
    </xf>
    <xf numFmtId="0" fontId="9" fillId="3" borderId="0" xfId="0" applyFont="1" applyFill="1" applyAlignment="1">
      <alignment horizontal="center"/>
    </xf>
    <xf numFmtId="9" fontId="9" fillId="3" borderId="0" xfId="2" applyFont="1" applyFill="1" applyAlignment="1">
      <alignment horizontal="center"/>
    </xf>
    <xf numFmtId="9" fontId="9" fillId="3" borderId="0" xfId="2" applyFont="1" applyFill="1"/>
    <xf numFmtId="0" fontId="7" fillId="3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applyNumberFormat="1" applyFont="1" applyFill="1" applyBorder="1" applyAlignment="1">
      <alignment horizontal="center" vertical="center" textRotation="90"/>
    </xf>
    <xf numFmtId="0" fontId="5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 wrapText="1"/>
    </xf>
    <xf numFmtId="16" fontId="1" fillId="0" borderId="1" xfId="0" quotePrefix="1" applyNumberFormat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0" quotePrefix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9" fillId="5" borderId="0" xfId="0" applyFont="1" applyFill="1" applyAlignment="1">
      <alignment horizontal="center"/>
    </xf>
    <xf numFmtId="9" fontId="9" fillId="5" borderId="0" xfId="2" applyFont="1" applyFill="1" applyAlignment="1">
      <alignment horizontal="center"/>
    </xf>
    <xf numFmtId="9" fontId="9" fillId="0" borderId="0" xfId="2" applyFont="1" applyFill="1" applyAlignment="1">
      <alignment horizontal="right"/>
    </xf>
    <xf numFmtId="0" fontId="11" fillId="3" borderId="0" xfId="0" applyFont="1" applyFill="1" applyAlignment="1">
      <alignment horizontal="center"/>
    </xf>
    <xf numFmtId="0" fontId="2" fillId="0" borderId="0" xfId="0" applyNumberFormat="1" applyFont="1" applyFill="1" applyBorder="1" applyAlignment="1">
      <alignment horizontal="left"/>
    </xf>
    <xf numFmtId="0" fontId="5" fillId="7" borderId="1" xfId="0" applyNumberFormat="1" applyFont="1" applyFill="1" applyBorder="1" applyAlignment="1">
      <alignment horizontal="center" vertical="center" textRotation="90"/>
    </xf>
    <xf numFmtId="0" fontId="12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1" fillId="0" borderId="0" xfId="0" applyFont="1"/>
    <xf numFmtId="0" fontId="12" fillId="6" borderId="1" xfId="0" applyFont="1" applyFill="1" applyBorder="1" applyAlignment="1">
      <alignment horizontal="center" vertical="center"/>
    </xf>
    <xf numFmtId="0" fontId="9" fillId="8" borderId="0" xfId="0" applyFont="1" applyFill="1"/>
    <xf numFmtId="0" fontId="9" fillId="8" borderId="0" xfId="0" applyFont="1" applyFill="1" applyAlignment="1">
      <alignment horizontal="center"/>
    </xf>
    <xf numFmtId="0" fontId="9" fillId="9" borderId="0" xfId="0" applyFont="1" applyFill="1"/>
    <xf numFmtId="0" fontId="10" fillId="10" borderId="0" xfId="0" applyFont="1" applyFill="1" applyAlignment="1">
      <alignment horizontal="center"/>
    </xf>
    <xf numFmtId="0" fontId="9" fillId="10" borderId="0" xfId="0" applyFont="1" applyFill="1"/>
    <xf numFmtId="0" fontId="9" fillId="0" borderId="1" xfId="0" applyNumberFormat="1" applyFont="1" applyFill="1" applyBorder="1" applyAlignment="1">
      <alignment horizontal="center"/>
    </xf>
    <xf numFmtId="0" fontId="8" fillId="2" borderId="9" xfId="0" applyNumberFormat="1" applyFont="1" applyFill="1" applyBorder="1" applyAlignment="1">
      <alignment horizontal="center" vertical="top"/>
    </xf>
    <xf numFmtId="0" fontId="3" fillId="2" borderId="9" xfId="0" applyNumberFormat="1" applyFont="1" applyFill="1" applyBorder="1" applyAlignment="1">
      <alignment horizontal="center" vertical="top"/>
    </xf>
    <xf numFmtId="0" fontId="9" fillId="2" borderId="1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9" fillId="9" borderId="10" xfId="0" applyNumberFormat="1" applyFont="1" applyFill="1" applyBorder="1" applyAlignment="1">
      <alignment horizontal="center"/>
    </xf>
    <xf numFmtId="0" fontId="9" fillId="9" borderId="1" xfId="0" applyNumberFormat="1" applyFont="1" applyFill="1" applyBorder="1" applyAlignment="1">
      <alignment horizontal="center"/>
    </xf>
    <xf numFmtId="0" fontId="19" fillId="9" borderId="1" xfId="0" applyNumberFormat="1" applyFont="1" applyFill="1" applyBorder="1" applyAlignment="1">
      <alignment horizontal="center"/>
    </xf>
    <xf numFmtId="0" fontId="19" fillId="9" borderId="11" xfId="0" applyNumberFormat="1" applyFont="1" applyFill="1" applyBorder="1" applyAlignment="1">
      <alignment horizontal="center"/>
    </xf>
    <xf numFmtId="0" fontId="2" fillId="9" borderId="1" xfId="0" applyNumberFormat="1" applyFont="1" applyFill="1" applyBorder="1"/>
    <xf numFmtId="0" fontId="9" fillId="9" borderId="10" xfId="0" applyNumberFormat="1" applyFont="1" applyFill="1" applyBorder="1" applyAlignment="1">
      <alignment horizontal="center"/>
    </xf>
    <xf numFmtId="0" fontId="1" fillId="0" borderId="1" xfId="0" quotePrefix="1" applyFont="1" applyBorder="1" applyAlignment="1">
      <alignment horizontal="center" vertical="center" wrapText="1"/>
    </xf>
    <xf numFmtId="0" fontId="9" fillId="0" borderId="12" xfId="0" applyFont="1" applyFill="1" applyBorder="1"/>
    <xf numFmtId="0" fontId="10" fillId="0" borderId="12" xfId="0" applyFont="1" applyFill="1" applyBorder="1" applyAlignment="1">
      <alignment horizontal="center"/>
    </xf>
    <xf numFmtId="0" fontId="10" fillId="0" borderId="12" xfId="0" applyFont="1" applyFill="1" applyBorder="1" applyAlignment="1">
      <alignment horizontal="center" vertical="center"/>
    </xf>
    <xf numFmtId="0" fontId="31" fillId="0" borderId="0" xfId="0" applyFont="1" applyFill="1"/>
    <xf numFmtId="0" fontId="20" fillId="0" borderId="0" xfId="0" applyFont="1" applyFill="1" applyAlignment="1">
      <alignment horizontal="center"/>
    </xf>
    <xf numFmtId="0" fontId="25" fillId="0" borderId="0" xfId="0" applyFont="1" applyFill="1" applyAlignment="1">
      <alignment horizontal="left" indent="6"/>
    </xf>
    <xf numFmtId="0" fontId="25" fillId="0" borderId="0" xfId="0" applyFont="1" applyFill="1" applyAlignment="1">
      <alignment horizontal="right"/>
    </xf>
    <xf numFmtId="0" fontId="25" fillId="0" borderId="0" xfId="0" applyFont="1" applyFill="1"/>
    <xf numFmtId="0" fontId="23" fillId="0" borderId="0" xfId="0" applyFont="1" applyFill="1"/>
    <xf numFmtId="0" fontId="26" fillId="0" borderId="0" xfId="0" applyFont="1" applyFill="1"/>
    <xf numFmtId="0" fontId="10" fillId="0" borderId="0" xfId="0" applyFont="1" applyFill="1" applyAlignment="1">
      <alignment horizontal="center" vertical="center" textRotation="90"/>
    </xf>
    <xf numFmtId="0" fontId="10" fillId="8" borderId="0" xfId="0" applyFont="1" applyFill="1" applyAlignment="1">
      <alignment horizontal="center"/>
    </xf>
    <xf numFmtId="0" fontId="32" fillId="0" borderId="0" xfId="0" applyFont="1"/>
    <xf numFmtId="0" fontId="10" fillId="11" borderId="0" xfId="0" applyNumberFormat="1" applyFont="1" applyFill="1" applyBorder="1" applyAlignment="1">
      <alignment horizontal="center"/>
    </xf>
    <xf numFmtId="0" fontId="9" fillId="0" borderId="13" xfId="0" applyFont="1" applyBorder="1"/>
    <xf numFmtId="0" fontId="10" fillId="3" borderId="13" xfId="0" applyFont="1" applyFill="1" applyBorder="1" applyAlignment="1">
      <alignment horizontal="center"/>
    </xf>
    <xf numFmtId="0" fontId="9" fillId="0" borderId="13" xfId="0" applyFont="1" applyFill="1" applyBorder="1"/>
    <xf numFmtId="0" fontId="33" fillId="3" borderId="14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33" fillId="3" borderId="5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9" fillId="0" borderId="6" xfId="0" applyFont="1" applyBorder="1"/>
    <xf numFmtId="0" fontId="10" fillId="3" borderId="9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9" fillId="3" borderId="15" xfId="0" applyFont="1" applyFill="1" applyBorder="1"/>
    <xf numFmtId="0" fontId="9" fillId="3" borderId="9" xfId="0" applyFont="1" applyFill="1" applyBorder="1"/>
    <xf numFmtId="0" fontId="10" fillId="3" borderId="8" xfId="0" applyFont="1" applyFill="1" applyBorder="1" applyAlignment="1">
      <alignment horizontal="center"/>
    </xf>
    <xf numFmtId="0" fontId="9" fillId="3" borderId="13" xfId="0" applyFont="1" applyFill="1" applyBorder="1"/>
    <xf numFmtId="0" fontId="9" fillId="3" borderId="4" xfId="0" applyFont="1" applyFill="1" applyBorder="1"/>
    <xf numFmtId="0" fontId="10" fillId="3" borderId="6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9" fillId="8" borderId="4" xfId="0" applyFont="1" applyFill="1" applyBorder="1"/>
    <xf numFmtId="0" fontId="9" fillId="0" borderId="16" xfId="0" applyFont="1" applyBorder="1"/>
    <xf numFmtId="0" fontId="9" fillId="8" borderId="4" xfId="0" applyFont="1" applyFill="1" applyBorder="1" applyAlignment="1">
      <alignment horizontal="center"/>
    </xf>
    <xf numFmtId="0" fontId="31" fillId="0" borderId="0" xfId="0" applyNumberFormat="1" applyFont="1" applyBorder="1" applyAlignment="1">
      <alignment horizontal="left"/>
    </xf>
    <xf numFmtId="0" fontId="19" fillId="0" borderId="0" xfId="0" applyNumberFormat="1" applyFont="1" applyFill="1" applyAlignment="1">
      <alignment horizontal="center"/>
    </xf>
    <xf numFmtId="0" fontId="19" fillId="2" borderId="1" xfId="0" applyNumberFormat="1" applyFont="1" applyFill="1" applyBorder="1" applyAlignment="1">
      <alignment horizontal="center" vertical="top"/>
    </xf>
    <xf numFmtId="0" fontId="19" fillId="0" borderId="0" xfId="0" applyNumberFormat="1" applyFont="1" applyFill="1" applyBorder="1" applyAlignment="1">
      <alignment horizontal="center"/>
    </xf>
    <xf numFmtId="166" fontId="5" fillId="0" borderId="0" xfId="0" applyNumberFormat="1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9" fillId="0" borderId="4" xfId="0" applyFont="1" applyBorder="1"/>
    <xf numFmtId="164" fontId="2" fillId="0" borderId="0" xfId="1" applyFont="1" applyFill="1"/>
    <xf numFmtId="0" fontId="1" fillId="5" borderId="0" xfId="0" quotePrefix="1" applyFont="1" applyFill="1" applyAlignment="1">
      <alignment horizontal="center" wrapText="1"/>
    </xf>
    <xf numFmtId="0" fontId="2" fillId="2" borderId="10" xfId="0" applyNumberFormat="1" applyFont="1" applyFill="1" applyBorder="1" applyAlignment="1">
      <alignment horizontal="center"/>
    </xf>
    <xf numFmtId="0" fontId="27" fillId="3" borderId="5" xfId="0" applyFont="1" applyFill="1" applyBorder="1" applyAlignment="1">
      <alignment horizontal="left"/>
    </xf>
    <xf numFmtId="0" fontId="32" fillId="0" borderId="17" xfId="0" applyFont="1" applyBorder="1" applyAlignment="1">
      <alignment horizontal="left"/>
    </xf>
    <xf numFmtId="0" fontId="32" fillId="8" borderId="5" xfId="0" applyFont="1" applyFill="1" applyBorder="1" applyAlignment="1">
      <alignment horizontal="left"/>
    </xf>
    <xf numFmtId="0" fontId="32" fillId="0" borderId="7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32" fillId="8" borderId="14" xfId="0" applyFont="1" applyFill="1" applyBorder="1" applyAlignment="1">
      <alignment horizontal="left"/>
    </xf>
    <xf numFmtId="0" fontId="32" fillId="0" borderId="0" xfId="0" applyFont="1" applyAlignment="1">
      <alignment horizontal="left"/>
    </xf>
    <xf numFmtId="0" fontId="32" fillId="0" borderId="0" xfId="0" applyFont="1" applyFill="1" applyAlignment="1">
      <alignment horizontal="left"/>
    </xf>
    <xf numFmtId="0" fontId="32" fillId="0" borderId="16" xfId="0" applyFont="1" applyBorder="1" applyAlignment="1">
      <alignment horizontal="left"/>
    </xf>
    <xf numFmtId="0" fontId="11" fillId="0" borderId="0" xfId="0" applyNumberFormat="1" applyFont="1" applyBorder="1" applyAlignment="1"/>
    <xf numFmtId="0" fontId="34" fillId="0" borderId="0" xfId="0" applyNumberFormat="1" applyFont="1" applyBorder="1" applyAlignment="1"/>
    <xf numFmtId="0" fontId="9" fillId="0" borderId="0" xfId="0" applyNumberFormat="1" applyFont="1" applyBorder="1" applyAlignment="1">
      <alignment horizontal="center" vertical="center"/>
    </xf>
    <xf numFmtId="0" fontId="9" fillId="0" borderId="0" xfId="0" applyNumberFormat="1" applyFont="1" applyBorder="1" applyAlignment="1">
      <alignment vertical="center"/>
    </xf>
    <xf numFmtId="0" fontId="11" fillId="0" borderId="0" xfId="0" applyNumberFormat="1" applyFont="1" applyBorder="1" applyAlignment="1">
      <alignment wrapText="1"/>
    </xf>
    <xf numFmtId="0" fontId="9" fillId="0" borderId="0" xfId="0" applyNumberFormat="1" applyFont="1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center" vertical="center" wrapText="1"/>
    </xf>
    <xf numFmtId="0" fontId="9" fillId="0" borderId="2" xfId="0" applyNumberFormat="1" applyFont="1" applyFill="1" applyBorder="1" applyAlignment="1">
      <alignment horizontal="center"/>
    </xf>
    <xf numFmtId="0" fontId="9" fillId="0" borderId="2" xfId="0" applyNumberFormat="1" applyFont="1" applyBorder="1" applyAlignment="1">
      <alignment horizontal="center"/>
    </xf>
    <xf numFmtId="0" fontId="9" fillId="0" borderId="18" xfId="0" applyNumberFormat="1" applyFont="1" applyBorder="1" applyAlignment="1">
      <alignment horizontal="center"/>
    </xf>
    <xf numFmtId="0" fontId="9" fillId="0" borderId="1" xfId="0" applyNumberFormat="1" applyFont="1" applyBorder="1" applyAlignment="1">
      <alignment horizontal="center"/>
    </xf>
    <xf numFmtId="0" fontId="9" fillId="0" borderId="11" xfId="0" applyNumberFormat="1" applyFont="1" applyBorder="1" applyAlignment="1">
      <alignment horizontal="center"/>
    </xf>
    <xf numFmtId="0" fontId="9" fillId="0" borderId="10" xfId="0" applyNumberFormat="1" applyFont="1" applyFill="1" applyBorder="1" applyAlignment="1">
      <alignment horizontal="center"/>
    </xf>
    <xf numFmtId="0" fontId="9" fillId="0" borderId="18" xfId="0" applyNumberFormat="1" applyFont="1" applyFill="1" applyBorder="1" applyAlignment="1">
      <alignment horizontal="center"/>
    </xf>
    <xf numFmtId="0" fontId="9" fillId="0" borderId="11" xfId="0" applyNumberFormat="1" applyFont="1" applyFill="1" applyBorder="1" applyAlignment="1">
      <alignment horizontal="center"/>
    </xf>
    <xf numFmtId="0" fontId="9" fillId="0" borderId="10" xfId="0" applyNumberFormat="1" applyFont="1" applyBorder="1" applyAlignment="1">
      <alignment horizontal="center"/>
    </xf>
    <xf numFmtId="0" fontId="9" fillId="0" borderId="19" xfId="0" applyNumberFormat="1" applyFont="1" applyFill="1" applyBorder="1" applyAlignment="1">
      <alignment horizontal="center"/>
    </xf>
    <xf numFmtId="0" fontId="9" fillId="0" borderId="8" xfId="0" applyNumberFormat="1" applyFont="1" applyBorder="1" applyAlignment="1">
      <alignment horizontal="center"/>
    </xf>
    <xf numFmtId="0" fontId="9" fillId="0" borderId="8" xfId="0" applyNumberFormat="1" applyFont="1" applyFill="1" applyBorder="1" applyAlignment="1">
      <alignment horizontal="center"/>
    </xf>
    <xf numFmtId="0" fontId="9" fillId="0" borderId="20" xfId="0" applyNumberFormat="1" applyFont="1" applyBorder="1" applyAlignment="1">
      <alignment horizontal="center"/>
    </xf>
    <xf numFmtId="0" fontId="34" fillId="0" borderId="1" xfId="0" applyNumberFormat="1" applyFont="1" applyBorder="1" applyAlignment="1">
      <alignment horizontal="center"/>
    </xf>
    <xf numFmtId="0" fontId="3" fillId="2" borderId="10" xfId="0" applyNumberFormat="1" applyFont="1" applyFill="1" applyBorder="1" applyAlignment="1">
      <alignment horizontal="center" vertical="top"/>
    </xf>
    <xf numFmtId="0" fontId="9" fillId="0" borderId="15" xfId="0" applyNumberFormat="1" applyFont="1" applyBorder="1" applyAlignment="1">
      <alignment horizontal="center"/>
    </xf>
    <xf numFmtId="49" fontId="5" fillId="4" borderId="1" xfId="0" applyNumberFormat="1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9" fillId="0" borderId="1" xfId="0" quotePrefix="1" applyNumberFormat="1" applyFont="1" applyFill="1" applyBorder="1" applyAlignment="1">
      <alignment horizontal="center"/>
    </xf>
    <xf numFmtId="0" fontId="32" fillId="0" borderId="5" xfId="0" applyFont="1" applyBorder="1" applyAlignment="1">
      <alignment horizontal="left"/>
    </xf>
    <xf numFmtId="0" fontId="9" fillId="0" borderId="0" xfId="0" applyNumberFormat="1" applyFont="1" applyBorder="1" applyAlignment="1">
      <alignment horizontal="left" wrapText="1"/>
    </xf>
    <xf numFmtId="49" fontId="1" fillId="0" borderId="1" xfId="0" quotePrefix="1" applyNumberFormat="1" applyFont="1" applyFill="1" applyBorder="1" applyAlignment="1">
      <alignment horizontal="center" vertical="center"/>
    </xf>
    <xf numFmtId="0" fontId="34" fillId="0" borderId="0" xfId="0" applyNumberFormat="1" applyFont="1" applyBorder="1" applyAlignment="1">
      <alignment horizontal="left"/>
    </xf>
    <xf numFmtId="0" fontId="5" fillId="0" borderId="2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0" fillId="0" borderId="1" xfId="0" applyBorder="1"/>
    <xf numFmtId="0" fontId="1" fillId="13" borderId="1" xfId="0" applyFont="1" applyFill="1" applyBorder="1" applyAlignment="1">
      <alignment horizontal="center" vertical="center"/>
    </xf>
    <xf numFmtId="0" fontId="11" fillId="0" borderId="0" xfId="0" quotePrefix="1" applyNumberFormat="1" applyFont="1" applyBorder="1" applyAlignment="1"/>
    <xf numFmtId="0" fontId="9" fillId="0" borderId="2" xfId="0" quotePrefix="1" applyNumberFormat="1" applyFont="1" applyFill="1" applyBorder="1" applyAlignment="1">
      <alignment horizontal="center"/>
    </xf>
    <xf numFmtId="0" fontId="9" fillId="0" borderId="8" xfId="0" quotePrefix="1" applyNumberFormat="1" applyFont="1" applyBorder="1" applyAlignment="1">
      <alignment horizontal="center"/>
    </xf>
    <xf numFmtId="0" fontId="35" fillId="0" borderId="10" xfId="0" applyFont="1" applyFill="1" applyBorder="1" applyAlignment="1">
      <alignment horizontal="center" vertical="center"/>
    </xf>
    <xf numFmtId="0" fontId="30" fillId="0" borderId="0" xfId="0" applyNumberFormat="1" applyFont="1" applyFill="1"/>
    <xf numFmtId="0" fontId="30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/>
    <xf numFmtId="0" fontId="36" fillId="0" borderId="0" xfId="0" applyNumberFormat="1" applyFont="1" applyFill="1" applyBorder="1" applyAlignment="1">
      <alignment horizontal="center"/>
    </xf>
    <xf numFmtId="1" fontId="1" fillId="0" borderId="1" xfId="0" quotePrefix="1" applyNumberFormat="1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49" fontId="1" fillId="0" borderId="1" xfId="0" quotePrefix="1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14" borderId="1" xfId="0" applyFont="1" applyFill="1" applyBorder="1" applyAlignment="1">
      <alignment horizontal="center" vertical="center" wrapText="1"/>
    </xf>
    <xf numFmtId="49" fontId="1" fillId="14" borderId="1" xfId="0" applyNumberFormat="1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9" fontId="1" fillId="14" borderId="1" xfId="0" quotePrefix="1" applyNumberFormat="1" applyFont="1" applyFill="1" applyBorder="1" applyAlignment="1">
      <alignment horizontal="center" vertical="center" wrapText="1"/>
    </xf>
    <xf numFmtId="0" fontId="1" fillId="14" borderId="1" xfId="0" quotePrefix="1" applyFont="1" applyFill="1" applyBorder="1" applyAlignment="1">
      <alignment horizontal="center" vertical="center" wrapText="1"/>
    </xf>
    <xf numFmtId="0" fontId="9" fillId="0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4" borderId="1" xfId="0" applyNumberFormat="1" applyFont="1" applyFill="1" applyBorder="1" applyAlignment="1">
      <alignment horizontal="center" vertical="center" textRotation="90" wrapText="1"/>
    </xf>
    <xf numFmtId="0" fontId="4" fillId="0" borderId="0" xfId="0" applyFont="1"/>
    <xf numFmtId="0" fontId="39" fillId="8" borderId="24" xfId="0" applyFont="1" applyFill="1" applyBorder="1" applyAlignment="1">
      <alignment horizontal="center"/>
    </xf>
    <xf numFmtId="0" fontId="39" fillId="0" borderId="0" xfId="0" applyFont="1"/>
    <xf numFmtId="0" fontId="39" fillId="0" borderId="2" xfId="0" applyFont="1" applyBorder="1" applyAlignment="1">
      <alignment horizontal="center" wrapText="1"/>
    </xf>
    <xf numFmtId="0" fontId="39" fillId="0" borderId="18" xfId="0" applyFont="1" applyBorder="1" applyAlignment="1">
      <alignment horizontal="center" wrapText="1"/>
    </xf>
    <xf numFmtId="0" fontId="39" fillId="0" borderId="1" xfId="0" applyFont="1" applyBorder="1" applyAlignment="1">
      <alignment horizontal="center"/>
    </xf>
    <xf numFmtId="0" fontId="39" fillId="0" borderId="1" xfId="0" applyFont="1" applyBorder="1" applyAlignment="1">
      <alignment horizontal="center" wrapText="1"/>
    </xf>
    <xf numFmtId="0" fontId="39" fillId="0" borderId="11" xfId="0" applyFont="1" applyBorder="1" applyAlignment="1">
      <alignment horizontal="center"/>
    </xf>
    <xf numFmtId="0" fontId="39" fillId="0" borderId="10" xfId="0" applyFont="1" applyBorder="1" applyAlignment="1">
      <alignment horizontal="center"/>
    </xf>
    <xf numFmtId="0" fontId="39" fillId="0" borderId="19" xfId="0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0" fontId="39" fillId="0" borderId="18" xfId="0" applyFont="1" applyBorder="1" applyAlignment="1">
      <alignment horizontal="center"/>
    </xf>
    <xf numFmtId="0" fontId="39" fillId="0" borderId="1" xfId="0" applyFont="1" applyFill="1" applyBorder="1" applyAlignment="1">
      <alignment horizontal="center"/>
    </xf>
    <xf numFmtId="0" fontId="40" fillId="8" borderId="22" xfId="0" applyFont="1" applyFill="1" applyBorder="1" applyAlignment="1">
      <alignment horizontal="center"/>
    </xf>
    <xf numFmtId="0" fontId="40" fillId="8" borderId="15" xfId="0" applyFont="1" applyFill="1" applyBorder="1" applyAlignment="1">
      <alignment horizontal="center"/>
    </xf>
    <xf numFmtId="0" fontId="40" fillId="8" borderId="23" xfId="0" applyFont="1" applyFill="1" applyBorder="1" applyAlignment="1">
      <alignment horizontal="center"/>
    </xf>
    <xf numFmtId="0" fontId="39" fillId="0" borderId="8" xfId="0" applyFont="1" applyBorder="1" applyAlignment="1">
      <alignment horizontal="center"/>
    </xf>
    <xf numFmtId="0" fontId="40" fillId="8" borderId="39" xfId="0" applyFont="1" applyFill="1" applyBorder="1" applyAlignment="1">
      <alignment horizontal="center"/>
    </xf>
    <xf numFmtId="0" fontId="38" fillId="0" borderId="1" xfId="0" applyFont="1" applyFill="1" applyBorder="1" applyAlignment="1">
      <alignment horizontal="center" vertical="center"/>
    </xf>
    <xf numFmtId="0" fontId="40" fillId="8" borderId="25" xfId="0" applyFont="1" applyFill="1" applyBorder="1" applyAlignment="1">
      <alignment horizontal="center"/>
    </xf>
    <xf numFmtId="0" fontId="40" fillId="8" borderId="26" xfId="0" applyFont="1" applyFill="1" applyBorder="1" applyAlignment="1">
      <alignment horizontal="center"/>
    </xf>
    <xf numFmtId="0" fontId="39" fillId="0" borderId="9" xfId="0" applyFont="1" applyBorder="1" applyAlignment="1">
      <alignment horizontal="center"/>
    </xf>
    <xf numFmtId="0" fontId="39" fillId="0" borderId="41" xfId="0" applyFont="1" applyBorder="1" applyAlignment="1">
      <alignment horizontal="center"/>
    </xf>
    <xf numFmtId="0" fontId="38" fillId="0" borderId="8" xfId="0" applyFont="1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left" vertical="center" wrapText="1"/>
    </xf>
    <xf numFmtId="0" fontId="9" fillId="0" borderId="13" xfId="0" applyFont="1" applyBorder="1" applyAlignment="1">
      <alignment wrapText="1"/>
    </xf>
    <xf numFmtId="0" fontId="9" fillId="0" borderId="6" xfId="0" applyFont="1" applyBorder="1" applyAlignment="1">
      <alignment wrapText="1"/>
    </xf>
    <xf numFmtId="0" fontId="5" fillId="0" borderId="15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9" fillId="9" borderId="13" xfId="0" applyFont="1" applyFill="1" applyBorder="1" applyAlignment="1">
      <alignment wrapText="1"/>
    </xf>
    <xf numFmtId="0" fontId="5" fillId="9" borderId="15" xfId="0" applyFont="1" applyFill="1" applyBorder="1" applyAlignment="1">
      <alignment horizontal="center" wrapText="1"/>
    </xf>
    <xf numFmtId="0" fontId="9" fillId="9" borderId="6" xfId="0" applyFont="1" applyFill="1" applyBorder="1" applyAlignment="1">
      <alignment wrapText="1"/>
    </xf>
    <xf numFmtId="0" fontId="5" fillId="9" borderId="8" xfId="0" applyFont="1" applyFill="1" applyBorder="1" applyAlignment="1">
      <alignment horizontal="center" wrapText="1"/>
    </xf>
    <xf numFmtId="0" fontId="10" fillId="3" borderId="9" xfId="0" applyFont="1" applyFill="1" applyBorder="1" applyAlignment="1">
      <alignment horizontal="center" wrapText="1"/>
    </xf>
    <xf numFmtId="0" fontId="10" fillId="3" borderId="4" xfId="0" applyFont="1" applyFill="1" applyBorder="1" applyAlignment="1">
      <alignment horizontal="center" wrapText="1"/>
    </xf>
    <xf numFmtId="0" fontId="27" fillId="3" borderId="5" xfId="0" applyFont="1" applyFill="1" applyBorder="1" applyAlignment="1">
      <alignment horizontal="left" wrapText="1"/>
    </xf>
    <xf numFmtId="0" fontId="32" fillId="8" borderId="14" xfId="0" applyFont="1" applyFill="1" applyBorder="1" applyAlignment="1">
      <alignment horizontal="left" wrapText="1"/>
    </xf>
    <xf numFmtId="0" fontId="10" fillId="8" borderId="9" xfId="0" applyFont="1" applyFill="1" applyBorder="1" applyAlignment="1">
      <alignment horizontal="center" wrapText="1"/>
    </xf>
    <xf numFmtId="0" fontId="10" fillId="8" borderId="14" xfId="0" applyFont="1" applyFill="1" applyBorder="1" applyAlignment="1">
      <alignment horizontal="center" wrapText="1"/>
    </xf>
    <xf numFmtId="0" fontId="10" fillId="8" borderId="4" xfId="0" applyFont="1" applyFill="1" applyBorder="1" applyAlignment="1">
      <alignment horizontal="center" wrapText="1"/>
    </xf>
    <xf numFmtId="0" fontId="9" fillId="0" borderId="0" xfId="0" applyFont="1" applyAlignment="1">
      <alignment wrapText="1"/>
    </xf>
    <xf numFmtId="0" fontId="10" fillId="0" borderId="0" xfId="0" applyFont="1" applyAlignment="1">
      <alignment horizontal="center" wrapText="1"/>
    </xf>
    <xf numFmtId="0" fontId="10" fillId="3" borderId="13" xfId="0" applyFont="1" applyFill="1" applyBorder="1" applyAlignment="1">
      <alignment horizontal="center" wrapText="1"/>
    </xf>
    <xf numFmtId="0" fontId="9" fillId="0" borderId="9" xfId="0" applyFont="1" applyBorder="1" applyAlignment="1">
      <alignment wrapText="1"/>
    </xf>
    <xf numFmtId="0" fontId="5" fillId="0" borderId="5" xfId="0" applyFont="1" applyBorder="1" applyAlignment="1">
      <alignment horizontal="center" wrapText="1"/>
    </xf>
    <xf numFmtId="0" fontId="10" fillId="3" borderId="0" xfId="0" applyFont="1" applyFill="1" applyBorder="1" applyAlignment="1">
      <alignment horizontal="center" wrapText="1"/>
    </xf>
    <xf numFmtId="0" fontId="10" fillId="3" borderId="17" xfId="0" applyFont="1" applyFill="1" applyBorder="1" applyAlignment="1">
      <alignment horizontal="center" wrapText="1"/>
    </xf>
    <xf numFmtId="0" fontId="9" fillId="0" borderId="15" xfId="0" applyFont="1" applyBorder="1" applyAlignment="1">
      <alignment wrapText="1"/>
    </xf>
    <xf numFmtId="0" fontId="5" fillId="0" borderId="17" xfId="0" applyFont="1" applyBorder="1" applyAlignment="1">
      <alignment horizontal="center" wrapText="1"/>
    </xf>
    <xf numFmtId="0" fontId="10" fillId="3" borderId="6" xfId="0" applyFont="1" applyFill="1" applyBorder="1" applyAlignment="1">
      <alignment horizontal="center" wrapText="1"/>
    </xf>
    <xf numFmtId="0" fontId="9" fillId="0" borderId="8" xfId="0" applyFont="1" applyBorder="1" applyAlignment="1">
      <alignment wrapText="1"/>
    </xf>
    <xf numFmtId="0" fontId="5" fillId="0" borderId="7" xfId="0" applyFont="1" applyBorder="1" applyAlignment="1">
      <alignment horizontal="center" wrapText="1"/>
    </xf>
    <xf numFmtId="0" fontId="10" fillId="3" borderId="16" xfId="0" applyFont="1" applyFill="1" applyBorder="1" applyAlignment="1">
      <alignment horizontal="center" wrapText="1"/>
    </xf>
    <xf numFmtId="0" fontId="10" fillId="3" borderId="7" xfId="0" applyFont="1" applyFill="1" applyBorder="1" applyAlignment="1">
      <alignment horizontal="center" wrapText="1"/>
    </xf>
    <xf numFmtId="0" fontId="5" fillId="0" borderId="7" xfId="0" applyFont="1" applyBorder="1" applyAlignment="1">
      <alignment wrapText="1"/>
    </xf>
    <xf numFmtId="0" fontId="5" fillId="0" borderId="0" xfId="0" applyFont="1" applyAlignment="1">
      <alignment wrapText="1"/>
    </xf>
    <xf numFmtId="0" fontId="9" fillId="0" borderId="4" xfId="0" applyFont="1" applyBorder="1" applyAlignment="1">
      <alignment wrapText="1"/>
    </xf>
    <xf numFmtId="0" fontId="5" fillId="0" borderId="9" xfId="0" applyFont="1" applyBorder="1" applyAlignment="1">
      <alignment horizontal="center" wrapText="1"/>
    </xf>
    <xf numFmtId="0" fontId="10" fillId="3" borderId="15" xfId="0" applyFont="1" applyFill="1" applyBorder="1" applyAlignment="1">
      <alignment horizontal="center" wrapText="1"/>
    </xf>
    <xf numFmtId="0" fontId="10" fillId="3" borderId="8" xfId="0" applyFont="1" applyFill="1" applyBorder="1" applyAlignment="1">
      <alignment horizontal="center" wrapText="1"/>
    </xf>
    <xf numFmtId="0" fontId="9" fillId="3" borderId="9" xfId="0" applyFont="1" applyFill="1" applyBorder="1" applyAlignment="1">
      <alignment wrapText="1"/>
    </xf>
    <xf numFmtId="0" fontId="5" fillId="0" borderId="6" xfId="0" applyFont="1" applyBorder="1" applyAlignment="1">
      <alignment horizontal="center" wrapText="1"/>
    </xf>
    <xf numFmtId="0" fontId="9" fillId="0" borderId="7" xfId="0" applyFont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center" wrapText="1"/>
    </xf>
    <xf numFmtId="0" fontId="32" fillId="0" borderId="0" xfId="0" applyFont="1" applyFill="1" applyBorder="1" applyAlignment="1">
      <alignment horizontal="left" wrapText="1"/>
    </xf>
    <xf numFmtId="0" fontId="9" fillId="3" borderId="13" xfId="0" applyFont="1" applyFill="1" applyBorder="1" applyAlignment="1">
      <alignment wrapText="1"/>
    </xf>
    <xf numFmtId="0" fontId="32" fillId="0" borderId="0" xfId="0" applyFont="1" applyAlignment="1">
      <alignment horizontal="left" wrapText="1"/>
    </xf>
    <xf numFmtId="0" fontId="27" fillId="0" borderId="0" xfId="0" applyFont="1" applyAlignment="1">
      <alignment horizontal="center" wrapText="1"/>
    </xf>
    <xf numFmtId="0" fontId="9" fillId="0" borderId="0" xfId="0" applyFont="1" applyFill="1" applyAlignment="1">
      <alignment wrapText="1"/>
    </xf>
    <xf numFmtId="0" fontId="32" fillId="0" borderId="17" xfId="0" applyFont="1" applyBorder="1" applyAlignment="1">
      <alignment horizontal="left" wrapText="1"/>
    </xf>
    <xf numFmtId="0" fontId="9" fillId="0" borderId="4" xfId="0" applyFont="1" applyFill="1" applyBorder="1" applyAlignment="1">
      <alignment wrapText="1"/>
    </xf>
    <xf numFmtId="0" fontId="5" fillId="0" borderId="9" xfId="0" applyFont="1" applyFill="1" applyBorder="1" applyAlignment="1">
      <alignment horizontal="center" wrapText="1"/>
    </xf>
    <xf numFmtId="0" fontId="9" fillId="0" borderId="13" xfId="0" applyFont="1" applyFill="1" applyBorder="1" applyAlignment="1">
      <alignment wrapText="1"/>
    </xf>
    <xf numFmtId="0" fontId="5" fillId="0" borderId="15" xfId="0" applyFont="1" applyFill="1" applyBorder="1" applyAlignment="1">
      <alignment horizontal="center" wrapText="1"/>
    </xf>
    <xf numFmtId="0" fontId="9" fillId="0" borderId="6" xfId="0" applyFont="1" applyFill="1" applyBorder="1" applyAlignment="1">
      <alignment wrapText="1"/>
    </xf>
    <xf numFmtId="0" fontId="5" fillId="0" borderId="8" xfId="0" applyFont="1" applyFill="1" applyBorder="1" applyAlignment="1">
      <alignment horizontal="center" wrapText="1"/>
    </xf>
    <xf numFmtId="0" fontId="32" fillId="8" borderId="5" xfId="0" applyFont="1" applyFill="1" applyBorder="1" applyAlignment="1">
      <alignment horizontal="left" wrapText="1"/>
    </xf>
    <xf numFmtId="0" fontId="9" fillId="11" borderId="0" xfId="0" applyFont="1" applyFill="1"/>
    <xf numFmtId="0" fontId="19" fillId="0" borderId="0" xfId="0" applyFont="1" applyFill="1" applyBorder="1" applyAlignment="1">
      <alignment horizontal="center" vertical="center" textRotation="90"/>
    </xf>
    <xf numFmtId="0" fontId="9" fillId="0" borderId="0" xfId="0" applyFont="1" applyFill="1" applyBorder="1"/>
    <xf numFmtId="0" fontId="9" fillId="0" borderId="0" xfId="0" applyFont="1" applyFill="1" applyAlignment="1"/>
    <xf numFmtId="0" fontId="5" fillId="3" borderId="1" xfId="0" applyNumberFormat="1" applyFont="1" applyFill="1" applyBorder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 textRotation="90"/>
    </xf>
    <xf numFmtId="0" fontId="5" fillId="12" borderId="1" xfId="0" applyNumberFormat="1" applyFont="1" applyFill="1" applyBorder="1" applyAlignment="1">
      <alignment horizontal="center" vertical="center" textRotation="90"/>
    </xf>
    <xf numFmtId="0" fontId="12" fillId="3" borderId="1" xfId="0" applyNumberFormat="1" applyFont="1" applyFill="1" applyBorder="1"/>
    <xf numFmtId="0" fontId="28" fillId="3" borderId="1" xfId="0" applyNumberFormat="1" applyFont="1" applyFill="1" applyBorder="1" applyAlignment="1">
      <alignment horizontal="center" vertical="center"/>
    </xf>
    <xf numFmtId="0" fontId="28" fillId="12" borderId="1" xfId="0" applyNumberFormat="1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7" borderId="1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horizontal="center" vertical="center"/>
    </xf>
    <xf numFmtId="0" fontId="5" fillId="18" borderId="10" xfId="0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2" borderId="10" xfId="0" applyFont="1" applyFill="1" applyBorder="1" applyAlignment="1">
      <alignment horizontal="center" vertical="center"/>
    </xf>
    <xf numFmtId="0" fontId="5" fillId="16" borderId="10" xfId="0" applyFont="1" applyFill="1" applyBorder="1" applyAlignment="1">
      <alignment horizontal="center" vertical="center"/>
    </xf>
    <xf numFmtId="0" fontId="5" fillId="12" borderId="8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27" fillId="3" borderId="3" xfId="0" applyFont="1" applyFill="1" applyBorder="1" applyAlignment="1">
      <alignment horizontal="center"/>
    </xf>
    <xf numFmtId="0" fontId="5" fillId="19" borderId="10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9" fillId="0" borderId="0" xfId="0" applyFont="1" applyFill="1" applyBorder="1" applyAlignment="1"/>
    <xf numFmtId="0" fontId="42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10" fillId="0" borderId="0" xfId="0" applyFont="1" applyFill="1"/>
    <xf numFmtId="0" fontId="5" fillId="20" borderId="1" xfId="0" applyFont="1" applyFill="1" applyBorder="1" applyAlignment="1">
      <alignment horizontal="center" vertical="center"/>
    </xf>
    <xf numFmtId="0" fontId="5" fillId="20" borderId="10" xfId="0" applyFont="1" applyFill="1" applyBorder="1" applyAlignment="1">
      <alignment horizontal="center" vertical="center"/>
    </xf>
    <xf numFmtId="0" fontId="5" fillId="20" borderId="8" xfId="0" applyFont="1" applyFill="1" applyBorder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/>
    </xf>
    <xf numFmtId="0" fontId="9" fillId="0" borderId="0" xfId="0" quotePrefix="1" applyNumberFormat="1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0" fontId="5" fillId="3" borderId="3" xfId="0" applyNumberFormat="1" applyFont="1" applyFill="1" applyBorder="1" applyAlignment="1">
      <alignment horizontal="center" vertical="center"/>
    </xf>
    <xf numFmtId="0" fontId="28" fillId="3" borderId="3" xfId="0" applyNumberFormat="1" applyFont="1" applyFill="1" applyBorder="1"/>
    <xf numFmtId="0" fontId="27" fillId="3" borderId="31" xfId="0" applyFont="1" applyFill="1" applyBorder="1" applyAlignment="1">
      <alignment horizontal="center"/>
    </xf>
    <xf numFmtId="0" fontId="27" fillId="2" borderId="7" xfId="0" applyFont="1" applyFill="1" applyBorder="1" applyAlignment="1">
      <alignment horizontal="center"/>
    </xf>
    <xf numFmtId="0" fontId="27" fillId="2" borderId="3" xfId="0" applyFont="1" applyFill="1" applyBorder="1" applyAlignment="1">
      <alignment horizontal="center"/>
    </xf>
    <xf numFmtId="0" fontId="27" fillId="2" borderId="31" xfId="0" applyFont="1" applyFill="1" applyBorder="1" applyAlignment="1">
      <alignment horizontal="center"/>
    </xf>
    <xf numFmtId="0" fontId="5" fillId="22" borderId="8" xfId="0" applyFont="1" applyFill="1" applyBorder="1" applyAlignment="1">
      <alignment horizontal="center" vertical="center"/>
    </xf>
    <xf numFmtId="0" fontId="5" fillId="22" borderId="1" xfId="0" applyFont="1" applyFill="1" applyBorder="1" applyAlignment="1">
      <alignment horizontal="center" vertical="center"/>
    </xf>
    <xf numFmtId="0" fontId="14" fillId="0" borderId="27" xfId="0" applyFont="1" applyBorder="1" applyAlignment="1">
      <alignment horizontal="center"/>
    </xf>
    <xf numFmtId="0" fontId="2" fillId="0" borderId="0" xfId="0" applyNumberFormat="1" applyFont="1" applyFill="1" applyBorder="1" applyAlignment="1">
      <alignment horizontal="left"/>
    </xf>
    <xf numFmtId="0" fontId="9" fillId="0" borderId="21" xfId="0" applyNumberFormat="1" applyFont="1" applyFill="1" applyBorder="1" applyAlignment="1">
      <alignment horizontal="center"/>
    </xf>
    <xf numFmtId="0" fontId="9" fillId="0" borderId="28" xfId="0" applyNumberFormat="1" applyFont="1" applyFill="1" applyBorder="1" applyAlignment="1">
      <alignment horizontal="center"/>
    </xf>
    <xf numFmtId="0" fontId="9" fillId="0" borderId="3" xfId="0" applyNumberFormat="1" applyFont="1" applyFill="1" applyBorder="1" applyAlignment="1">
      <alignment horizontal="center"/>
    </xf>
    <xf numFmtId="0" fontId="9" fillId="0" borderId="29" xfId="0" applyNumberFormat="1" applyFont="1" applyFill="1" applyBorder="1" applyAlignment="1">
      <alignment horizontal="center"/>
    </xf>
    <xf numFmtId="0" fontId="9" fillId="0" borderId="30" xfId="0" applyNumberFormat="1" applyFont="1" applyFill="1" applyBorder="1" applyAlignment="1">
      <alignment horizontal="center"/>
    </xf>
    <xf numFmtId="0" fontId="9" fillId="0" borderId="31" xfId="0" applyNumberFormat="1" applyFont="1" applyFill="1" applyBorder="1" applyAlignment="1">
      <alignment horizontal="center"/>
    </xf>
    <xf numFmtId="0" fontId="2" fillId="2" borderId="24" xfId="0" applyNumberFormat="1" applyFont="1" applyFill="1" applyBorder="1" applyAlignment="1">
      <alignment horizontal="center" vertical="center" textRotation="255"/>
    </xf>
    <xf numFmtId="0" fontId="2" fillId="2" borderId="22" xfId="0" applyNumberFormat="1" applyFont="1" applyFill="1" applyBorder="1" applyAlignment="1">
      <alignment horizontal="center" vertical="center" textRotation="255"/>
    </xf>
    <xf numFmtId="0" fontId="9" fillId="12" borderId="0" xfId="0" applyFont="1" applyFill="1" applyAlignment="1">
      <alignment horizontal="center"/>
    </xf>
    <xf numFmtId="0" fontId="19" fillId="3" borderId="9" xfId="0" applyFont="1" applyFill="1" applyBorder="1" applyAlignment="1">
      <alignment horizontal="center" vertical="center" textRotation="90"/>
    </xf>
    <xf numFmtId="0" fontId="19" fillId="3" borderId="15" xfId="0" applyFont="1" applyFill="1" applyBorder="1" applyAlignment="1">
      <alignment horizontal="center" vertical="center" textRotation="90"/>
    </xf>
    <xf numFmtId="0" fontId="19" fillId="3" borderId="32" xfId="0" applyFont="1" applyFill="1" applyBorder="1" applyAlignment="1">
      <alignment horizontal="center" vertical="center" textRotation="90"/>
    </xf>
    <xf numFmtId="0" fontId="19" fillId="2" borderId="15" xfId="0" applyFont="1" applyFill="1" applyBorder="1" applyAlignment="1">
      <alignment horizontal="center" vertical="center" textRotation="90"/>
    </xf>
    <xf numFmtId="0" fontId="19" fillId="2" borderId="32" xfId="0" applyFont="1" applyFill="1" applyBorder="1" applyAlignment="1">
      <alignment horizontal="center" vertical="center" textRotation="90"/>
    </xf>
    <xf numFmtId="0" fontId="19" fillId="3" borderId="25" xfId="0" applyFont="1" applyFill="1" applyBorder="1" applyAlignment="1">
      <alignment horizontal="center" vertical="center" textRotation="90"/>
    </xf>
    <xf numFmtId="0" fontId="19" fillId="2" borderId="25" xfId="0" applyFont="1" applyFill="1" applyBorder="1" applyAlignment="1">
      <alignment horizontal="center" vertical="center" textRotation="90"/>
    </xf>
    <xf numFmtId="0" fontId="40" fillId="0" borderId="33" xfId="0" applyFont="1" applyBorder="1" applyAlignment="1">
      <alignment horizontal="center"/>
    </xf>
    <xf numFmtId="0" fontId="40" fillId="0" borderId="24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40" fillId="0" borderId="40" xfId="0" applyFont="1" applyBorder="1" applyAlignment="1">
      <alignment horizontal="center" vertical="center"/>
    </xf>
    <xf numFmtId="0" fontId="40" fillId="8" borderId="34" xfId="0" applyFont="1" applyFill="1" applyBorder="1" applyAlignment="1">
      <alignment horizontal="center"/>
    </xf>
    <xf numFmtId="0" fontId="40" fillId="8" borderId="35" xfId="0" applyFont="1" applyFill="1" applyBorder="1" applyAlignment="1">
      <alignment horizontal="center"/>
    </xf>
    <xf numFmtId="0" fontId="40" fillId="8" borderId="36" xfId="0" applyFont="1" applyFill="1" applyBorder="1" applyAlignment="1">
      <alignment horizontal="center"/>
    </xf>
    <xf numFmtId="0" fontId="40" fillId="0" borderId="24" xfId="0" applyFont="1" applyBorder="1" applyAlignment="1">
      <alignment horizontal="center" vertical="center" wrapText="1"/>
    </xf>
    <xf numFmtId="0" fontId="40" fillId="8" borderId="37" xfId="0" applyFont="1" applyFill="1" applyBorder="1" applyAlignment="1">
      <alignment horizontal="center"/>
    </xf>
    <xf numFmtId="0" fontId="40" fillId="8" borderId="33" xfId="0" applyFont="1" applyFill="1" applyBorder="1" applyAlignment="1">
      <alignment horizontal="center"/>
    </xf>
    <xf numFmtId="0" fontId="40" fillId="8" borderId="38" xfId="0" applyFont="1" applyFill="1" applyBorder="1" applyAlignment="1">
      <alignment horizontal="center"/>
    </xf>
    <xf numFmtId="0" fontId="15" fillId="0" borderId="16" xfId="0" applyFont="1" applyBorder="1" applyAlignment="1">
      <alignment horizontal="center" vertical="top"/>
    </xf>
    <xf numFmtId="0" fontId="15" fillId="0" borderId="1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top"/>
    </xf>
    <xf numFmtId="0" fontId="10" fillId="8" borderId="1" xfId="0" applyFont="1" applyFill="1" applyBorder="1" applyAlignment="1">
      <alignment horizontal="center" vertical="center" textRotation="90" wrapText="1"/>
    </xf>
    <xf numFmtId="0" fontId="10" fillId="8" borderId="9" xfId="0" applyFont="1" applyFill="1" applyBorder="1" applyAlignment="1">
      <alignment horizontal="center" vertical="center" textRotation="90" wrapText="1"/>
    </xf>
    <xf numFmtId="0" fontId="10" fillId="8" borderId="15" xfId="0" applyFont="1" applyFill="1" applyBorder="1" applyAlignment="1">
      <alignment horizontal="center" vertical="center" textRotation="90" wrapText="1"/>
    </xf>
    <xf numFmtId="0" fontId="10" fillId="8" borderId="8" xfId="0" applyFont="1" applyFill="1" applyBorder="1" applyAlignment="1">
      <alignment horizontal="center" vertical="center" textRotation="90" wrapText="1"/>
    </xf>
    <xf numFmtId="0" fontId="13" fillId="2" borderId="3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0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 textRotation="90"/>
    </xf>
    <xf numFmtId="0" fontId="20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/>
    </xf>
    <xf numFmtId="0" fontId="9" fillId="0" borderId="0" xfId="0" applyFont="1" applyFill="1" applyAlignment="1">
      <alignment horizontal="left"/>
    </xf>
    <xf numFmtId="0" fontId="41" fillId="0" borderId="0" xfId="3" applyFont="1" applyBorder="1" applyAlignment="1">
      <alignment horizont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7" fillId="0" borderId="1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Currency" xfId="1" builtinId="4"/>
    <cellStyle name="Normal" xfId="0" builtinId="0"/>
    <cellStyle name="Normal 2" xfId="3"/>
    <cellStyle name="Percent" xfId="2" builtinId="5"/>
  </cellStyles>
  <dxfs count="1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69B4"/>
      <color rgb="FFFF65B2"/>
      <color rgb="FFFF0582"/>
      <color rgb="FF5BB8C5"/>
      <color rgb="FF43AEBD"/>
      <color rgb="FFCC0066"/>
      <color rgb="FFFF00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0</xdr:rowOff>
        </xdr:from>
        <xdr:to>
          <xdr:col>2</xdr:col>
          <xdr:colOff>19050</xdr:colOff>
          <xdr:row>2</xdr:row>
          <xdr:rowOff>0</xdr:rowOff>
        </xdr:to>
        <xdr:sp macro="" textlink="">
          <xdr:nvSpPr>
            <xdr:cNvPr id="6169" name="CommandButton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81"/>
  <sheetViews>
    <sheetView zoomScale="120" zoomScaleNormal="120" workbookViewId="0">
      <selection activeCell="D46" sqref="D46"/>
    </sheetView>
  </sheetViews>
  <sheetFormatPr defaultColWidth="9.140625" defaultRowHeight="12.75"/>
  <cols>
    <col min="1" max="1" width="5.140625" style="170" bestFit="1" customWidth="1"/>
    <col min="2" max="2" width="19.7109375" style="17" customWidth="1"/>
    <col min="3" max="3" width="12.85546875" style="17" customWidth="1"/>
    <col min="4" max="4" width="6.28515625" style="16" customWidth="1"/>
    <col min="5" max="5" width="5.140625" style="16" customWidth="1"/>
    <col min="6" max="6" width="4.28515625" style="16" customWidth="1"/>
    <col min="7" max="7" width="8.7109375" style="16" bestFit="1" customWidth="1"/>
    <col min="8" max="8" width="13.85546875" style="16" customWidth="1"/>
    <col min="9" max="9" width="40.42578125" style="168" customWidth="1"/>
    <col min="10" max="12" width="11" style="16" customWidth="1"/>
    <col min="13" max="16384" width="9.140625" style="17"/>
  </cols>
  <sheetData>
    <row r="1" spans="1:9" ht="44.25" customHeight="1">
      <c r="D1" s="174" t="s">
        <v>33</v>
      </c>
      <c r="E1" s="174" t="s">
        <v>31</v>
      </c>
      <c r="F1" s="174" t="s">
        <v>32</v>
      </c>
      <c r="H1" s="26" t="s">
        <v>207</v>
      </c>
    </row>
    <row r="2" spans="1:9" ht="11.25" customHeight="1">
      <c r="A2" s="170">
        <v>1</v>
      </c>
      <c r="B2" s="17" t="s">
        <v>217</v>
      </c>
      <c r="D2" s="174"/>
      <c r="E2" s="174"/>
      <c r="F2" s="174"/>
      <c r="H2" s="26"/>
    </row>
    <row r="3" spans="1:9">
      <c r="A3" s="170">
        <v>2</v>
      </c>
      <c r="B3" s="17" t="s">
        <v>173</v>
      </c>
      <c r="C3" s="17" t="s">
        <v>119</v>
      </c>
      <c r="D3" s="16">
        <v>19</v>
      </c>
      <c r="E3" s="16">
        <f>COUNTIF('Програма-кодове'!$C$2:$AD$36,A3)</f>
        <v>19</v>
      </c>
      <c r="F3" s="16">
        <f t="shared" ref="F3:F50" si="0">E3-D3</f>
        <v>0</v>
      </c>
      <c r="G3" s="127" t="str">
        <f t="shared" ref="G3:G50" si="1">IF(F3&gt;0,"Повече",IF(F3&lt;0,"Липса"," "))</f>
        <v xml:space="preserve"> </v>
      </c>
      <c r="H3" s="26" t="s">
        <v>379</v>
      </c>
    </row>
    <row r="4" spans="1:9">
      <c r="A4" s="170">
        <v>3</v>
      </c>
      <c r="B4" s="17" t="s">
        <v>230</v>
      </c>
      <c r="C4" s="17" t="s">
        <v>119</v>
      </c>
      <c r="D4" s="16">
        <v>21</v>
      </c>
      <c r="E4" s="16">
        <f>COUNTIF('Програма-кодове'!$C$2:$AD$36,A4)</f>
        <v>21</v>
      </c>
      <c r="F4" s="16">
        <f t="shared" si="0"/>
        <v>0</v>
      </c>
      <c r="G4" s="127" t="str">
        <f t="shared" si="1"/>
        <v xml:space="preserve"> </v>
      </c>
      <c r="H4" s="26">
        <v>203</v>
      </c>
    </row>
    <row r="5" spans="1:9">
      <c r="A5" s="170">
        <v>4</v>
      </c>
      <c r="B5" s="17" t="s">
        <v>90</v>
      </c>
      <c r="C5" s="17" t="s">
        <v>119</v>
      </c>
      <c r="D5" s="16">
        <v>20</v>
      </c>
      <c r="E5" s="16">
        <f>COUNTIF('Програма-кодове'!$C$2:$AD$36,A5)</f>
        <v>20</v>
      </c>
      <c r="F5" s="16">
        <f t="shared" si="0"/>
        <v>0</v>
      </c>
      <c r="G5" s="127" t="str">
        <f t="shared" si="1"/>
        <v xml:space="preserve"> </v>
      </c>
      <c r="H5" s="26">
        <v>201</v>
      </c>
    </row>
    <row r="6" spans="1:9">
      <c r="A6" s="170">
        <v>5</v>
      </c>
      <c r="B6" s="17" t="s">
        <v>367</v>
      </c>
      <c r="C6" s="17" t="s">
        <v>119</v>
      </c>
      <c r="D6" s="16">
        <v>24</v>
      </c>
      <c r="E6" s="16">
        <f>COUNTIF('Програма-кодове'!$C$2:$AD$36,A6)</f>
        <v>24</v>
      </c>
      <c r="F6" s="16">
        <f t="shared" si="0"/>
        <v>0</v>
      </c>
      <c r="G6" s="127" t="str">
        <f t="shared" si="1"/>
        <v xml:space="preserve"> </v>
      </c>
      <c r="H6" s="26">
        <v>202</v>
      </c>
    </row>
    <row r="7" spans="1:9">
      <c r="A7" s="170">
        <v>6</v>
      </c>
      <c r="B7" s="17" t="s">
        <v>262</v>
      </c>
      <c r="C7" s="17" t="s">
        <v>119</v>
      </c>
      <c r="D7" s="16">
        <v>21</v>
      </c>
      <c r="E7" s="16">
        <f>COUNTIF('Програма-кодове'!$C$2:$AD$36,A7)</f>
        <v>21</v>
      </c>
      <c r="F7" s="16">
        <f t="shared" si="0"/>
        <v>0</v>
      </c>
      <c r="G7" s="127" t="str">
        <f t="shared" si="1"/>
        <v xml:space="preserve"> </v>
      </c>
      <c r="H7" s="26">
        <v>204</v>
      </c>
      <c r="I7" s="169"/>
    </row>
    <row r="8" spans="1:9">
      <c r="A8" s="170">
        <v>7</v>
      </c>
      <c r="B8" s="17" t="s">
        <v>56</v>
      </c>
      <c r="C8" s="17" t="s">
        <v>45</v>
      </c>
      <c r="D8" s="25">
        <v>21</v>
      </c>
      <c r="E8" s="16">
        <f>COUNTIF('Програма-кодове'!$C$2:$AD$36,A8)</f>
        <v>21</v>
      </c>
      <c r="F8" s="16">
        <f t="shared" si="0"/>
        <v>0</v>
      </c>
      <c r="G8" s="127" t="str">
        <f t="shared" si="1"/>
        <v xml:space="preserve"> </v>
      </c>
      <c r="H8" s="26">
        <v>105</v>
      </c>
    </row>
    <row r="9" spans="1:9" ht="12.75" customHeight="1">
      <c r="A9" s="170">
        <v>8</v>
      </c>
      <c r="B9" s="171" t="s">
        <v>368</v>
      </c>
      <c r="C9" s="171" t="s">
        <v>45</v>
      </c>
      <c r="D9" s="170">
        <v>22</v>
      </c>
      <c r="E9" s="170">
        <f>COUNTIF('Програма-кодове'!$C$2:$AD$36,A9)</f>
        <v>22</v>
      </c>
      <c r="F9" s="170">
        <f t="shared" si="0"/>
        <v>0</v>
      </c>
      <c r="G9" s="127" t="str">
        <f t="shared" si="1"/>
        <v xml:space="preserve"> </v>
      </c>
      <c r="H9" s="26">
        <v>103</v>
      </c>
      <c r="I9" s="172"/>
    </row>
    <row r="10" spans="1:9">
      <c r="A10" s="170">
        <v>9</v>
      </c>
      <c r="B10" s="17" t="s">
        <v>172</v>
      </c>
      <c r="C10" s="17" t="s">
        <v>45</v>
      </c>
      <c r="D10" s="16">
        <v>26</v>
      </c>
      <c r="E10" s="16">
        <f>COUNTIF('Програма-кодове'!$C$2:$AD$36,A10)</f>
        <v>26</v>
      </c>
      <c r="F10" s="16">
        <f t="shared" si="0"/>
        <v>0</v>
      </c>
      <c r="G10" s="127" t="str">
        <f t="shared" si="1"/>
        <v xml:space="preserve"> </v>
      </c>
      <c r="H10" s="26">
        <v>106</v>
      </c>
    </row>
    <row r="11" spans="1:9">
      <c r="A11" s="170">
        <v>10</v>
      </c>
      <c r="B11" s="17" t="s">
        <v>55</v>
      </c>
      <c r="C11" s="17" t="s">
        <v>45</v>
      </c>
      <c r="D11" s="16">
        <v>22</v>
      </c>
      <c r="E11" s="16">
        <f>COUNTIF('Програма-кодове'!$C$2:$AD$36,A11)</f>
        <v>22</v>
      </c>
      <c r="F11" s="16">
        <f t="shared" si="0"/>
        <v>0</v>
      </c>
      <c r="G11" s="127" t="str">
        <f t="shared" si="1"/>
        <v xml:space="preserve"> </v>
      </c>
      <c r="H11" s="26">
        <v>101</v>
      </c>
    </row>
    <row r="12" spans="1:9">
      <c r="A12" s="170">
        <v>11</v>
      </c>
      <c r="B12" s="24" t="s">
        <v>91</v>
      </c>
      <c r="C12" s="17" t="s">
        <v>45</v>
      </c>
      <c r="D12" s="16">
        <v>22</v>
      </c>
      <c r="E12" s="16">
        <f>COUNTIF('Програма-кодове'!$C$2:$AD$36,A12)</f>
        <v>22</v>
      </c>
      <c r="F12" s="16">
        <f t="shared" si="0"/>
        <v>0</v>
      </c>
      <c r="G12" s="127" t="str">
        <f t="shared" si="1"/>
        <v xml:space="preserve"> </v>
      </c>
      <c r="H12" s="26">
        <v>206</v>
      </c>
    </row>
    <row r="13" spans="1:9">
      <c r="A13" s="170">
        <v>12</v>
      </c>
      <c r="B13" s="17" t="s">
        <v>60</v>
      </c>
      <c r="C13" s="17" t="s">
        <v>45</v>
      </c>
      <c r="D13" s="16">
        <v>23</v>
      </c>
      <c r="E13" s="16">
        <f>COUNTIF('Програма-кодове'!$C$2:$AD$36,A13)</f>
        <v>23</v>
      </c>
      <c r="F13" s="16">
        <f t="shared" si="0"/>
        <v>0</v>
      </c>
      <c r="G13" s="127" t="str">
        <f t="shared" si="1"/>
        <v xml:space="preserve"> </v>
      </c>
      <c r="H13" s="26">
        <v>102</v>
      </c>
    </row>
    <row r="14" spans="1:9">
      <c r="A14" s="170">
        <v>13</v>
      </c>
      <c r="B14" s="17" t="s">
        <v>220</v>
      </c>
      <c r="C14" s="17" t="s">
        <v>45</v>
      </c>
      <c r="D14" s="16">
        <v>23</v>
      </c>
      <c r="E14" s="16">
        <f>COUNTIF('Програма-кодове'!$C$2:$AD$36,A14)</f>
        <v>23</v>
      </c>
      <c r="F14" s="16">
        <f>E14-D14</f>
        <v>0</v>
      </c>
      <c r="G14" s="127" t="str">
        <f t="shared" si="1"/>
        <v xml:space="preserve"> </v>
      </c>
      <c r="H14" s="26">
        <v>104</v>
      </c>
    </row>
    <row r="15" spans="1:9">
      <c r="A15" s="170">
        <v>14</v>
      </c>
      <c r="B15" s="17" t="s">
        <v>170</v>
      </c>
      <c r="C15" s="17" t="s">
        <v>45</v>
      </c>
      <c r="D15" s="16">
        <v>19</v>
      </c>
      <c r="E15" s="16">
        <f>COUNTIF('Програма-кодове'!$C$2:$AD$36,A15)</f>
        <v>19</v>
      </c>
      <c r="F15" s="16">
        <f t="shared" si="0"/>
        <v>0</v>
      </c>
      <c r="G15" s="127" t="str">
        <f t="shared" si="1"/>
        <v xml:space="preserve"> </v>
      </c>
      <c r="H15" s="26">
        <v>205</v>
      </c>
    </row>
    <row r="16" spans="1:9" ht="25.5">
      <c r="A16" s="170">
        <v>15</v>
      </c>
      <c r="B16" s="17" t="s">
        <v>237</v>
      </c>
      <c r="C16" s="17" t="s">
        <v>45</v>
      </c>
      <c r="D16" s="16">
        <v>21</v>
      </c>
      <c r="E16" s="16">
        <f>COUNTIF('Програма-кодове'!$C$2:$AD$36,A16)</f>
        <v>21</v>
      </c>
      <c r="F16" s="16">
        <f t="shared" si="0"/>
        <v>0</v>
      </c>
      <c r="G16" s="127" t="str">
        <f t="shared" si="1"/>
        <v xml:space="preserve"> </v>
      </c>
      <c r="H16" s="200" t="s">
        <v>373</v>
      </c>
    </row>
    <row r="17" spans="1:9">
      <c r="A17" s="170">
        <v>16</v>
      </c>
      <c r="B17" s="17" t="s">
        <v>57</v>
      </c>
      <c r="C17" s="17" t="s">
        <v>44</v>
      </c>
      <c r="D17" s="16">
        <v>20</v>
      </c>
      <c r="E17" s="16">
        <f>COUNTIF('Програма-кодове'!$C$2:$AD$36,A17)+E70+E71</f>
        <v>20</v>
      </c>
      <c r="F17" s="16">
        <f t="shared" si="0"/>
        <v>0</v>
      </c>
      <c r="G17" s="127" t="str">
        <f t="shared" si="1"/>
        <v xml:space="preserve"> </v>
      </c>
      <c r="H17" s="26">
        <v>108</v>
      </c>
    </row>
    <row r="18" spans="1:9">
      <c r="A18" s="170">
        <v>17</v>
      </c>
      <c r="B18" s="17" t="s">
        <v>171</v>
      </c>
      <c r="C18" s="17" t="s">
        <v>44</v>
      </c>
      <c r="D18" s="16">
        <v>22</v>
      </c>
      <c r="E18" s="16">
        <f>COUNTIF('Програма-кодове'!$C$2:$AD$36,A18)+E70+E72</f>
        <v>22</v>
      </c>
      <c r="F18" s="16">
        <f t="shared" si="0"/>
        <v>0</v>
      </c>
      <c r="G18" s="127" t="str">
        <f t="shared" si="1"/>
        <v xml:space="preserve"> </v>
      </c>
      <c r="H18" s="26" t="s">
        <v>231</v>
      </c>
    </row>
    <row r="19" spans="1:9" ht="25.5">
      <c r="A19" s="170">
        <v>18</v>
      </c>
      <c r="B19" s="27" t="s">
        <v>179</v>
      </c>
      <c r="C19" s="171" t="s">
        <v>121</v>
      </c>
      <c r="D19" s="170">
        <v>19</v>
      </c>
      <c r="E19" s="170">
        <f>COUNTIF('Програма-кодове'!$C$2:$AD$36,A19)+E70+E71+E72-8</f>
        <v>19</v>
      </c>
      <c r="F19" s="170">
        <f>E19-D19</f>
        <v>0</v>
      </c>
      <c r="G19" s="127" t="str">
        <f>IF(F19&gt;0,"Повече",IF(F19&lt;0,"Липса"," "))</f>
        <v xml:space="preserve"> </v>
      </c>
      <c r="H19" s="200" t="s">
        <v>374</v>
      </c>
      <c r="I19" s="207"/>
    </row>
    <row r="20" spans="1:9">
      <c r="A20" s="170">
        <v>19</v>
      </c>
      <c r="B20" s="17" t="s">
        <v>159</v>
      </c>
      <c r="C20" s="17" t="s">
        <v>35</v>
      </c>
      <c r="D20" s="16">
        <v>29</v>
      </c>
      <c r="E20" s="16">
        <f>COUNTIF('Програма-кодове'!$C$2:$AD$36,A20)</f>
        <v>29</v>
      </c>
      <c r="F20" s="16">
        <f t="shared" si="0"/>
        <v>0</v>
      </c>
      <c r="G20" s="127" t="str">
        <f t="shared" si="1"/>
        <v xml:space="preserve"> </v>
      </c>
      <c r="H20" s="26">
        <v>303</v>
      </c>
    </row>
    <row r="21" spans="1:9">
      <c r="A21" s="170">
        <v>20</v>
      </c>
      <c r="B21" s="17" t="s">
        <v>112</v>
      </c>
      <c r="C21" s="17" t="s">
        <v>35</v>
      </c>
      <c r="D21" s="16">
        <v>18</v>
      </c>
      <c r="E21" s="16">
        <f>COUNTIF('Програма-кодове'!$C$2:$AD$36,A21)</f>
        <v>18</v>
      </c>
      <c r="F21" s="16">
        <f>E21-D21</f>
        <v>0</v>
      </c>
      <c r="G21" s="127" t="str">
        <f>IF(F21&gt;0,"Повече",IF(F21&lt;0,"Липса"," "))</f>
        <v xml:space="preserve"> </v>
      </c>
      <c r="H21" s="26">
        <v>306</v>
      </c>
    </row>
    <row r="22" spans="1:9">
      <c r="A22" s="170">
        <v>21</v>
      </c>
      <c r="B22" s="17" t="s">
        <v>117</v>
      </c>
      <c r="C22" s="17" t="s">
        <v>35</v>
      </c>
      <c r="D22" s="16">
        <v>17</v>
      </c>
      <c r="E22" s="16">
        <f>COUNTIF('Програма-кодове'!$C$2:$AD$36,A22)</f>
        <v>17</v>
      </c>
      <c r="F22" s="16">
        <f t="shared" si="0"/>
        <v>0</v>
      </c>
      <c r="G22" s="127" t="str">
        <f t="shared" si="1"/>
        <v xml:space="preserve"> </v>
      </c>
      <c r="H22" s="26">
        <v>305</v>
      </c>
    </row>
    <row r="23" spans="1:9">
      <c r="A23" s="170">
        <v>22</v>
      </c>
      <c r="B23" s="17" t="s">
        <v>61</v>
      </c>
      <c r="C23" s="17" t="s">
        <v>35</v>
      </c>
      <c r="D23" s="16">
        <v>21</v>
      </c>
      <c r="E23" s="16">
        <f>COUNTIF('Програма-кодове'!$C$2:$AD$36,A23)</f>
        <v>21</v>
      </c>
      <c r="F23" s="16">
        <f t="shared" si="0"/>
        <v>0</v>
      </c>
      <c r="G23" s="127" t="str">
        <f t="shared" si="1"/>
        <v xml:space="preserve"> </v>
      </c>
      <c r="H23" s="26">
        <v>304</v>
      </c>
      <c r="I23" s="207"/>
    </row>
    <row r="24" spans="1:9">
      <c r="A24" s="170">
        <v>23</v>
      </c>
      <c r="B24" s="17" t="s">
        <v>62</v>
      </c>
      <c r="C24" s="17" t="s">
        <v>35</v>
      </c>
      <c r="D24" s="16">
        <v>20</v>
      </c>
      <c r="E24" s="16">
        <f>COUNTIF('Програма-кодове'!$C$2:$AD$36,A24)</f>
        <v>20</v>
      </c>
      <c r="F24" s="16">
        <f t="shared" si="0"/>
        <v>0</v>
      </c>
      <c r="G24" s="127" t="str">
        <f t="shared" si="1"/>
        <v xml:space="preserve"> </v>
      </c>
      <c r="H24" s="26">
        <v>301</v>
      </c>
      <c r="I24" s="172"/>
    </row>
    <row r="25" spans="1:9">
      <c r="A25" s="170">
        <v>24</v>
      </c>
      <c r="B25" s="17" t="s">
        <v>118</v>
      </c>
      <c r="C25" s="17" t="s">
        <v>35</v>
      </c>
      <c r="D25" s="16">
        <v>24</v>
      </c>
      <c r="E25" s="16">
        <f>COUNTIF('Програма-кодове'!$C$2:$AD$36,A25)</f>
        <v>24</v>
      </c>
      <c r="F25" s="16">
        <f t="shared" si="0"/>
        <v>0</v>
      </c>
      <c r="G25" s="127" t="str">
        <f t="shared" si="1"/>
        <v xml:space="preserve"> </v>
      </c>
      <c r="H25" s="26">
        <v>302</v>
      </c>
    </row>
    <row r="26" spans="1:9">
      <c r="A26" s="170">
        <v>25</v>
      </c>
      <c r="B26" s="17" t="s">
        <v>258</v>
      </c>
      <c r="C26" s="17" t="s">
        <v>36</v>
      </c>
      <c r="D26" s="16">
        <v>22</v>
      </c>
      <c r="E26" s="16">
        <f>E61+E65+E62</f>
        <v>22</v>
      </c>
      <c r="F26" s="16">
        <f t="shared" si="0"/>
        <v>0</v>
      </c>
      <c r="G26" s="127" t="str">
        <f t="shared" si="1"/>
        <v xml:space="preserve"> </v>
      </c>
      <c r="H26" s="26" t="s">
        <v>249</v>
      </c>
    </row>
    <row r="27" spans="1:9">
      <c r="A27" s="170">
        <v>26</v>
      </c>
      <c r="B27" s="17" t="s">
        <v>53</v>
      </c>
      <c r="C27" s="17" t="s">
        <v>36</v>
      </c>
      <c r="D27" s="16">
        <v>3</v>
      </c>
      <c r="E27" s="16">
        <f>E54</f>
        <v>3</v>
      </c>
      <c r="F27" s="16">
        <f t="shared" si="0"/>
        <v>0</v>
      </c>
      <c r="G27" s="127" t="str">
        <f t="shared" si="1"/>
        <v xml:space="preserve"> </v>
      </c>
      <c r="H27" s="26" t="s">
        <v>210</v>
      </c>
    </row>
    <row r="28" spans="1:9">
      <c r="A28" s="170">
        <v>27</v>
      </c>
      <c r="B28" s="17" t="s">
        <v>58</v>
      </c>
      <c r="C28" s="17" t="s">
        <v>36</v>
      </c>
      <c r="D28" s="16">
        <v>20</v>
      </c>
      <c r="E28" s="16">
        <f>E57</f>
        <v>20</v>
      </c>
      <c r="F28" s="16">
        <f t="shared" si="0"/>
        <v>0</v>
      </c>
      <c r="G28" s="127" t="str">
        <f t="shared" si="1"/>
        <v xml:space="preserve"> </v>
      </c>
      <c r="H28" s="26" t="s">
        <v>272</v>
      </c>
      <c r="I28" s="168" t="s">
        <v>217</v>
      </c>
    </row>
    <row r="29" spans="1:9">
      <c r="A29" s="170">
        <v>28</v>
      </c>
      <c r="B29" s="17" t="s">
        <v>63</v>
      </c>
      <c r="C29" s="17" t="s">
        <v>36</v>
      </c>
      <c r="D29" s="16">
        <v>25</v>
      </c>
      <c r="E29" s="16">
        <f>E57+E55+E63</f>
        <v>25</v>
      </c>
      <c r="F29" s="16">
        <f t="shared" si="0"/>
        <v>0</v>
      </c>
      <c r="G29" s="127" t="str">
        <f t="shared" si="1"/>
        <v xml:space="preserve"> </v>
      </c>
      <c r="H29" s="26" t="s">
        <v>208</v>
      </c>
    </row>
    <row r="30" spans="1:9">
      <c r="A30" s="170">
        <v>29</v>
      </c>
      <c r="B30" s="17" t="s">
        <v>223</v>
      </c>
      <c r="C30" s="17" t="s">
        <v>36</v>
      </c>
      <c r="D30" s="16">
        <v>26</v>
      </c>
      <c r="E30" s="16">
        <f>E55+E56+E61+E64</f>
        <v>26</v>
      </c>
      <c r="F30" s="16">
        <f t="shared" si="0"/>
        <v>0</v>
      </c>
      <c r="G30" s="127" t="str">
        <f t="shared" si="1"/>
        <v xml:space="preserve"> </v>
      </c>
      <c r="H30" s="26" t="s">
        <v>218</v>
      </c>
      <c r="I30" s="168" t="s">
        <v>217</v>
      </c>
    </row>
    <row r="31" spans="1:9">
      <c r="A31" s="170">
        <v>30</v>
      </c>
      <c r="B31" s="17" t="s">
        <v>205</v>
      </c>
      <c r="C31" s="17" t="s">
        <v>36</v>
      </c>
      <c r="D31" s="16">
        <v>21</v>
      </c>
      <c r="E31" s="16">
        <f>E58+E59</f>
        <v>21</v>
      </c>
      <c r="F31" s="16">
        <f t="shared" si="0"/>
        <v>0</v>
      </c>
      <c r="G31" s="127" t="str">
        <f t="shared" si="1"/>
        <v xml:space="preserve"> </v>
      </c>
      <c r="H31" s="26" t="s">
        <v>236</v>
      </c>
    </row>
    <row r="32" spans="1:9">
      <c r="A32" s="170">
        <v>31</v>
      </c>
      <c r="B32" s="24" t="s">
        <v>176</v>
      </c>
      <c r="C32" s="17" t="s">
        <v>36</v>
      </c>
      <c r="D32" s="16">
        <v>23</v>
      </c>
      <c r="E32" s="16">
        <f>+E54+E56+E59+E60+E66+E62</f>
        <v>23</v>
      </c>
      <c r="F32" s="16">
        <f t="shared" si="0"/>
        <v>0</v>
      </c>
      <c r="G32" s="127" t="str">
        <f t="shared" si="1"/>
        <v xml:space="preserve"> </v>
      </c>
      <c r="H32" s="26" t="s">
        <v>209</v>
      </c>
    </row>
    <row r="33" spans="1:9">
      <c r="A33" s="170">
        <v>32</v>
      </c>
      <c r="B33" s="17" t="s">
        <v>177</v>
      </c>
      <c r="C33" s="17" t="s">
        <v>36</v>
      </c>
      <c r="D33" s="16">
        <v>22</v>
      </c>
      <c r="E33" s="16">
        <f>E58+E60</f>
        <v>22</v>
      </c>
      <c r="F33" s="16">
        <f t="shared" si="0"/>
        <v>0</v>
      </c>
      <c r="G33" s="127" t="str">
        <f t="shared" si="1"/>
        <v xml:space="preserve"> </v>
      </c>
      <c r="H33" s="26" t="s">
        <v>219</v>
      </c>
    </row>
    <row r="34" spans="1:9" ht="21" customHeight="1">
      <c r="A34" s="170">
        <v>33</v>
      </c>
      <c r="B34" s="171" t="s">
        <v>216</v>
      </c>
      <c r="C34" s="171" t="s">
        <v>101</v>
      </c>
      <c r="D34" s="170">
        <v>23</v>
      </c>
      <c r="E34" s="170">
        <f>COUNTIF('Програма-кодове'!$C$2:$AD$36,A34)+E73</f>
        <v>23</v>
      </c>
      <c r="F34" s="170">
        <f t="shared" ref="F34:F42" si="2">E34-D34</f>
        <v>0</v>
      </c>
      <c r="G34" s="127" t="str">
        <f t="shared" si="1"/>
        <v xml:space="preserve"> </v>
      </c>
      <c r="H34" s="251" t="s">
        <v>375</v>
      </c>
      <c r="I34" s="172"/>
    </row>
    <row r="35" spans="1:9">
      <c r="A35" s="170">
        <v>34</v>
      </c>
      <c r="B35" s="17" t="s">
        <v>165</v>
      </c>
      <c r="C35" s="17" t="s">
        <v>101</v>
      </c>
      <c r="D35" s="16">
        <v>26</v>
      </c>
      <c r="E35" s="16">
        <f>COUNTIF('Програма-кодове'!$C$2:$AD$36,A35)+E78+E79</f>
        <v>26</v>
      </c>
      <c r="F35" s="16">
        <f t="shared" si="2"/>
        <v>0</v>
      </c>
      <c r="G35" s="127" t="str">
        <f t="shared" si="1"/>
        <v xml:space="preserve"> </v>
      </c>
      <c r="H35" s="26">
        <v>110</v>
      </c>
    </row>
    <row r="36" spans="1:9">
      <c r="A36" s="170">
        <v>35</v>
      </c>
      <c r="B36" s="24" t="s">
        <v>64</v>
      </c>
      <c r="C36" s="17" t="s">
        <v>47</v>
      </c>
      <c r="D36" s="16">
        <v>25</v>
      </c>
      <c r="E36" s="16">
        <f>COUNTIF('Програма-кодове'!$C$2:$AD$36,A36)</f>
        <v>25</v>
      </c>
      <c r="F36" s="16">
        <f t="shared" si="2"/>
        <v>0</v>
      </c>
      <c r="G36" s="127" t="str">
        <f t="shared" si="1"/>
        <v xml:space="preserve"> </v>
      </c>
      <c r="H36" s="26">
        <v>114</v>
      </c>
    </row>
    <row r="37" spans="1:9">
      <c r="A37" s="170">
        <v>36</v>
      </c>
      <c r="B37" s="17" t="s">
        <v>120</v>
      </c>
      <c r="C37" s="17" t="s">
        <v>47</v>
      </c>
      <c r="D37" s="16">
        <v>23</v>
      </c>
      <c r="E37" s="16">
        <f>COUNTIF('Програма-кодове'!$C$2:$AD$36,A37)</f>
        <v>23</v>
      </c>
      <c r="F37" s="16">
        <f t="shared" si="2"/>
        <v>0</v>
      </c>
      <c r="G37" s="127" t="str">
        <f t="shared" si="1"/>
        <v xml:space="preserve"> </v>
      </c>
      <c r="H37" s="26">
        <v>111</v>
      </c>
    </row>
    <row r="38" spans="1:9">
      <c r="A38" s="170">
        <v>37</v>
      </c>
      <c r="B38" s="17" t="s">
        <v>34</v>
      </c>
      <c r="C38" s="17" t="s">
        <v>41</v>
      </c>
      <c r="D38" s="16">
        <v>20</v>
      </c>
      <c r="E38" s="16">
        <f>COUNTIF('Програма-кодове'!$C$2:$AD$36,A38)</f>
        <v>20</v>
      </c>
      <c r="F38" s="16">
        <f t="shared" si="2"/>
        <v>0</v>
      </c>
      <c r="G38" s="127" t="str">
        <f t="shared" si="1"/>
        <v xml:space="preserve"> </v>
      </c>
      <c r="H38" s="26">
        <v>109</v>
      </c>
    </row>
    <row r="39" spans="1:9">
      <c r="A39" s="170">
        <v>38</v>
      </c>
      <c r="B39" s="17" t="s">
        <v>178</v>
      </c>
      <c r="C39" s="17" t="s">
        <v>42</v>
      </c>
      <c r="D39" s="16">
        <v>22</v>
      </c>
      <c r="E39" s="16">
        <f>COUNTIF('Програма-кодове'!$C$2:$AD$36,A39)</f>
        <v>22</v>
      </c>
      <c r="F39" s="16">
        <f t="shared" si="2"/>
        <v>0</v>
      </c>
      <c r="G39" s="127" t="str">
        <f t="shared" si="1"/>
        <v xml:space="preserve"> </v>
      </c>
      <c r="H39" s="26" t="s">
        <v>232</v>
      </c>
    </row>
    <row r="40" spans="1:9">
      <c r="A40" s="170">
        <v>39</v>
      </c>
      <c r="B40" s="17" t="s">
        <v>65</v>
      </c>
      <c r="C40" s="17" t="s">
        <v>42</v>
      </c>
      <c r="D40" s="16">
        <v>27</v>
      </c>
      <c r="E40" s="16">
        <f>COUNTIF('Програма-кодове'!$C$2:$AD$36,A40)</f>
        <v>27</v>
      </c>
      <c r="F40" s="16">
        <f t="shared" si="2"/>
        <v>0</v>
      </c>
      <c r="G40" s="127" t="str">
        <f t="shared" si="1"/>
        <v xml:space="preserve"> </v>
      </c>
      <c r="H40" s="26" t="s">
        <v>232</v>
      </c>
    </row>
    <row r="41" spans="1:9">
      <c r="A41" s="170">
        <v>40</v>
      </c>
      <c r="B41" s="17" t="s">
        <v>92</v>
      </c>
      <c r="C41" s="17" t="s">
        <v>40</v>
      </c>
      <c r="D41" s="16">
        <v>4</v>
      </c>
      <c r="E41" s="16">
        <f>COUNTIF('Програма-кодове'!$C$2:$AD$36,A41)</f>
        <v>4</v>
      </c>
      <c r="F41" s="16">
        <f t="shared" si="2"/>
        <v>0</v>
      </c>
      <c r="G41" s="127" t="str">
        <f t="shared" si="1"/>
        <v xml:space="preserve"> </v>
      </c>
      <c r="H41" s="26" t="s">
        <v>232</v>
      </c>
    </row>
    <row r="42" spans="1:9">
      <c r="A42" s="170">
        <v>41</v>
      </c>
      <c r="B42" s="17" t="s">
        <v>111</v>
      </c>
      <c r="C42" s="17" t="s">
        <v>37</v>
      </c>
      <c r="D42" s="16">
        <v>21</v>
      </c>
      <c r="E42" s="16">
        <f>COUNTIF('Програма-кодове'!$C$2:$AD$36,A42)+E74</f>
        <v>21</v>
      </c>
      <c r="F42" s="16">
        <f t="shared" si="2"/>
        <v>0</v>
      </c>
      <c r="G42" s="127" t="str">
        <f t="shared" si="1"/>
        <v xml:space="preserve"> </v>
      </c>
      <c r="H42" s="26" t="s">
        <v>232</v>
      </c>
    </row>
    <row r="43" spans="1:9">
      <c r="A43" s="170">
        <v>42</v>
      </c>
      <c r="B43" s="17" t="s">
        <v>66</v>
      </c>
      <c r="C43" s="17" t="s">
        <v>40</v>
      </c>
      <c r="D43" s="16">
        <v>20</v>
      </c>
      <c r="E43" s="16">
        <f>COUNTIF('Програма-кодове'!$C$2:$AD$36,A43)</f>
        <v>20</v>
      </c>
      <c r="F43" s="16">
        <f t="shared" si="0"/>
        <v>0</v>
      </c>
      <c r="G43" s="127" t="str">
        <f t="shared" si="1"/>
        <v xml:space="preserve"> </v>
      </c>
      <c r="H43" s="26" t="s">
        <v>232</v>
      </c>
    </row>
    <row r="44" spans="1:9">
      <c r="A44" s="170">
        <v>43</v>
      </c>
      <c r="B44" s="17" t="s">
        <v>166</v>
      </c>
      <c r="C44" s="17" t="s">
        <v>37</v>
      </c>
      <c r="D44" s="16">
        <v>22</v>
      </c>
      <c r="E44" s="16">
        <f>COUNTIF('Програма-кодове'!$C$2:$AD$36,A44)</f>
        <v>22</v>
      </c>
      <c r="F44" s="16">
        <f t="shared" si="0"/>
        <v>0</v>
      </c>
      <c r="G44" s="127" t="str">
        <f t="shared" si="1"/>
        <v xml:space="preserve"> </v>
      </c>
      <c r="H44" s="26" t="s">
        <v>232</v>
      </c>
    </row>
    <row r="45" spans="1:9">
      <c r="A45" s="170">
        <v>44</v>
      </c>
      <c r="B45" s="17" t="s">
        <v>174</v>
      </c>
      <c r="C45" s="17" t="s">
        <v>37</v>
      </c>
      <c r="D45" s="16">
        <v>27</v>
      </c>
      <c r="E45" s="16">
        <f>COUNTIF('Програма-кодове'!$C$2:$AD$36,A45)</f>
        <v>27</v>
      </c>
      <c r="F45" s="16">
        <f t="shared" si="0"/>
        <v>0</v>
      </c>
      <c r="G45" s="127" t="str">
        <f t="shared" si="1"/>
        <v xml:space="preserve"> </v>
      </c>
      <c r="H45" s="26" t="s">
        <v>232</v>
      </c>
    </row>
    <row r="46" spans="1:9">
      <c r="A46" s="170">
        <v>45</v>
      </c>
      <c r="B46" s="17" t="s">
        <v>67</v>
      </c>
      <c r="C46" s="17" t="s">
        <v>38</v>
      </c>
      <c r="D46" s="16">
        <v>18</v>
      </c>
      <c r="E46" s="16">
        <f>COUNTIF('Програма-кодове'!$C$2:$AD$36,A46)+E75</f>
        <v>18</v>
      </c>
      <c r="F46" s="16">
        <f t="shared" si="0"/>
        <v>0</v>
      </c>
      <c r="G46" s="127" t="str">
        <f t="shared" si="1"/>
        <v xml:space="preserve"> </v>
      </c>
      <c r="H46" s="26">
        <v>112</v>
      </c>
    </row>
    <row r="47" spans="1:9">
      <c r="A47" s="170">
        <v>46</v>
      </c>
      <c r="B47" s="24" t="s">
        <v>226</v>
      </c>
      <c r="C47" s="17" t="s">
        <v>39</v>
      </c>
      <c r="D47" s="16">
        <v>18</v>
      </c>
      <c r="E47" s="16">
        <f>COUNTIF('Програма-кодове'!$C$2:$AD$36,A47)+E63+E64+E65+E66</f>
        <v>18</v>
      </c>
      <c r="F47" s="16">
        <f t="shared" si="0"/>
        <v>0</v>
      </c>
      <c r="G47" s="127" t="str">
        <f t="shared" si="1"/>
        <v xml:space="preserve"> </v>
      </c>
      <c r="H47" s="202" t="s">
        <v>376</v>
      </c>
    </row>
    <row r="48" spans="1:9">
      <c r="A48" s="170">
        <v>47</v>
      </c>
      <c r="B48" s="17" t="s">
        <v>89</v>
      </c>
      <c r="C48" s="17" t="s">
        <v>43</v>
      </c>
      <c r="D48" s="16">
        <v>16</v>
      </c>
      <c r="E48" s="16">
        <f>COUNTIF('Програма-кодове'!$C$2:$AD$36,A48)</f>
        <v>16</v>
      </c>
      <c r="F48" s="16">
        <f t="shared" si="0"/>
        <v>0</v>
      </c>
      <c r="G48" s="127" t="str">
        <f t="shared" si="1"/>
        <v xml:space="preserve"> </v>
      </c>
      <c r="H48" s="26" t="s">
        <v>211</v>
      </c>
    </row>
    <row r="49" spans="1:12">
      <c r="A49" s="170">
        <v>48</v>
      </c>
      <c r="B49" s="17" t="s">
        <v>116</v>
      </c>
      <c r="C49" s="17" t="s">
        <v>43</v>
      </c>
      <c r="D49" s="16">
        <v>17</v>
      </c>
      <c r="E49" s="16">
        <f>COUNTIF('Програма-кодове'!$C$2:$AD$36,A49)</f>
        <v>17</v>
      </c>
      <c r="F49" s="16">
        <f t="shared" si="0"/>
        <v>0</v>
      </c>
      <c r="G49" s="127" t="str">
        <f t="shared" si="1"/>
        <v xml:space="preserve"> </v>
      </c>
      <c r="H49" s="26" t="s">
        <v>211</v>
      </c>
    </row>
    <row r="50" spans="1:12">
      <c r="A50" s="170">
        <v>49</v>
      </c>
      <c r="B50" s="17" t="s">
        <v>221</v>
      </c>
      <c r="C50" s="17" t="s">
        <v>43</v>
      </c>
      <c r="D50" s="16">
        <v>17</v>
      </c>
      <c r="E50" s="16">
        <f>COUNTIF('Програма-кодове'!$C$2:$AD$36,A50)</f>
        <v>17</v>
      </c>
      <c r="F50" s="16">
        <f t="shared" si="0"/>
        <v>0</v>
      </c>
      <c r="G50" s="127" t="str">
        <f t="shared" si="1"/>
        <v xml:space="preserve"> </v>
      </c>
      <c r="H50" s="26" t="s">
        <v>211</v>
      </c>
    </row>
    <row r="51" spans="1:12" ht="25.5" customHeight="1">
      <c r="A51" s="173">
        <v>50</v>
      </c>
      <c r="B51" s="18" t="s">
        <v>271</v>
      </c>
      <c r="C51" s="18" t="s">
        <v>41</v>
      </c>
      <c r="D51" s="16">
        <v>15</v>
      </c>
      <c r="E51" s="16">
        <f>COUNTIF('Програма-кодове'!$C$2:$AD$36,A51)+E70</f>
        <v>15</v>
      </c>
      <c r="F51" s="16">
        <f>E51-D51</f>
        <v>0</v>
      </c>
      <c r="G51" s="127" t="str">
        <f>IF(F51&gt;0,"Повече",IF(F51&lt;0,"Липса"," "))</f>
        <v xml:space="preserve"> </v>
      </c>
      <c r="H51" s="200" t="s">
        <v>377</v>
      </c>
      <c r="I51" s="172"/>
    </row>
    <row r="52" spans="1:12">
      <c r="A52" s="173"/>
    </row>
    <row r="53" spans="1:12">
      <c r="B53" s="24"/>
      <c r="E53" s="16">
        <f>COUNTIF('Програма-кодове'!$C$2:$AD$36,A53)</f>
        <v>0</v>
      </c>
      <c r="G53" s="127"/>
      <c r="H53" s="149"/>
    </row>
    <row r="54" spans="1:12">
      <c r="A54" s="342" t="s">
        <v>200</v>
      </c>
      <c r="B54" s="24" t="s">
        <v>201</v>
      </c>
      <c r="C54" s="17" t="s">
        <v>36</v>
      </c>
      <c r="D54" s="16">
        <v>3</v>
      </c>
      <c r="E54" s="16">
        <f>COUNTIF('Програма-кодове'!$C$2:$AD$36,A54)</f>
        <v>3</v>
      </c>
      <c r="F54" s="16">
        <f>E54-D54</f>
        <v>0</v>
      </c>
      <c r="G54" s="127" t="str">
        <f t="shared" ref="G54:G60" si="3">IF(F54&gt;0,"Повече",IF(F54&lt;0,"Липса"," "))</f>
        <v xml:space="preserve"> </v>
      </c>
      <c r="H54" s="26" t="s">
        <v>273</v>
      </c>
    </row>
    <row r="55" spans="1:12">
      <c r="A55" s="342" t="s">
        <v>229</v>
      </c>
      <c r="B55" s="24" t="s">
        <v>228</v>
      </c>
      <c r="C55" s="17" t="s">
        <v>36</v>
      </c>
      <c r="D55" s="16">
        <v>4</v>
      </c>
      <c r="E55" s="16">
        <f>COUNTIF('Програма-кодове'!$C$2:$AD$36,A55)</f>
        <v>4</v>
      </c>
      <c r="F55" s="16">
        <f>E55-D55</f>
        <v>0</v>
      </c>
      <c r="G55" s="127" t="str">
        <f t="shared" si="3"/>
        <v xml:space="preserve"> </v>
      </c>
      <c r="H55" s="26" t="s">
        <v>233</v>
      </c>
    </row>
    <row r="56" spans="1:12">
      <c r="A56" s="173" t="s">
        <v>306</v>
      </c>
      <c r="B56" s="27" t="s">
        <v>307</v>
      </c>
      <c r="C56" s="17" t="s">
        <v>222</v>
      </c>
      <c r="D56" s="16">
        <v>2</v>
      </c>
      <c r="E56" s="16">
        <f>COUNTIF('Програма-кодове'!$C$2:$AD$36,A56)</f>
        <v>2</v>
      </c>
      <c r="F56" s="16">
        <f>E56-D56</f>
        <v>0</v>
      </c>
      <c r="G56" s="127" t="str">
        <f t="shared" si="3"/>
        <v xml:space="preserve"> </v>
      </c>
      <c r="H56" s="26" t="s">
        <v>274</v>
      </c>
    </row>
    <row r="57" spans="1:12">
      <c r="A57" s="342" t="s">
        <v>68</v>
      </c>
      <c r="B57" s="24" t="s">
        <v>69</v>
      </c>
      <c r="C57" s="17" t="s">
        <v>36</v>
      </c>
      <c r="D57" s="16">
        <v>20</v>
      </c>
      <c r="E57" s="16">
        <f>COUNTIF('Програма-кодове'!$C$2:$AD$36,A57)</f>
        <v>20</v>
      </c>
      <c r="F57" s="16">
        <f t="shared" ref="F57:F72" si="4">E57-D57</f>
        <v>0</v>
      </c>
      <c r="G57" s="127" t="str">
        <f t="shared" si="3"/>
        <v xml:space="preserve"> </v>
      </c>
      <c r="H57" s="26" t="s">
        <v>275</v>
      </c>
    </row>
    <row r="58" spans="1:12" s="18" customFormat="1">
      <c r="A58" s="342" t="s">
        <v>161</v>
      </c>
      <c r="B58" s="17" t="s">
        <v>215</v>
      </c>
      <c r="C58" s="17" t="s">
        <v>36</v>
      </c>
      <c r="D58" s="16">
        <v>14</v>
      </c>
      <c r="E58" s="16">
        <f>COUNTIF('Програма-кодове'!$C$2:$AD$36,A58)</f>
        <v>14</v>
      </c>
      <c r="F58" s="16">
        <f t="shared" si="4"/>
        <v>0</v>
      </c>
      <c r="G58" s="127" t="str">
        <f t="shared" si="3"/>
        <v xml:space="preserve"> </v>
      </c>
      <c r="H58" s="26" t="s">
        <v>276</v>
      </c>
      <c r="I58" s="168"/>
      <c r="J58" s="16"/>
      <c r="K58" s="16"/>
      <c r="L58" s="16"/>
    </row>
    <row r="59" spans="1:12" s="18" customFormat="1">
      <c r="A59" s="342" t="s">
        <v>308</v>
      </c>
      <c r="B59" s="24" t="s">
        <v>321</v>
      </c>
      <c r="C59" s="17" t="s">
        <v>36</v>
      </c>
      <c r="D59" s="16">
        <v>7</v>
      </c>
      <c r="E59" s="16">
        <f>COUNTIF('Програма-кодове'!$C$2:$AD$36,A59)</f>
        <v>7</v>
      </c>
      <c r="F59" s="16">
        <f t="shared" si="4"/>
        <v>0</v>
      </c>
      <c r="G59" s="127" t="str">
        <f t="shared" si="3"/>
        <v xml:space="preserve"> </v>
      </c>
      <c r="H59" s="26" t="s">
        <v>277</v>
      </c>
      <c r="I59" s="168"/>
      <c r="J59" s="16"/>
      <c r="K59" s="16"/>
      <c r="L59" s="16"/>
    </row>
    <row r="60" spans="1:12" s="18" customFormat="1">
      <c r="A60" s="173" t="s">
        <v>309</v>
      </c>
      <c r="B60" s="27" t="s">
        <v>310</v>
      </c>
      <c r="C60" s="17" t="s">
        <v>36</v>
      </c>
      <c r="D60" s="16">
        <v>8</v>
      </c>
      <c r="E60" s="16">
        <f>COUNTIF('Програма-кодове'!$C$2:$AD$36,A60)</f>
        <v>8</v>
      </c>
      <c r="F60" s="16">
        <f t="shared" si="4"/>
        <v>0</v>
      </c>
      <c r="G60" s="127" t="str">
        <f t="shared" si="3"/>
        <v xml:space="preserve"> </v>
      </c>
      <c r="H60" s="26" t="s">
        <v>234</v>
      </c>
      <c r="I60" s="168"/>
      <c r="J60" s="16"/>
      <c r="K60" s="16"/>
      <c r="L60" s="16"/>
    </row>
    <row r="61" spans="1:12" s="18" customFormat="1">
      <c r="A61" s="343" t="s">
        <v>248</v>
      </c>
      <c r="B61" s="26" t="s">
        <v>263</v>
      </c>
      <c r="C61" s="17" t="s">
        <v>36</v>
      </c>
      <c r="D61" s="16">
        <v>19</v>
      </c>
      <c r="E61" s="16">
        <f>COUNTIF('Програма-кодове'!$C$2:$AD$36,A61)</f>
        <v>19</v>
      </c>
      <c r="F61" s="16">
        <f t="shared" si="4"/>
        <v>0</v>
      </c>
      <c r="G61" s="127"/>
      <c r="H61" s="26" t="s">
        <v>278</v>
      </c>
      <c r="I61" s="168"/>
      <c r="J61" s="16"/>
      <c r="K61" s="16"/>
      <c r="L61" s="16"/>
    </row>
    <row r="62" spans="1:12" s="18" customFormat="1">
      <c r="A62" s="342" t="s">
        <v>396</v>
      </c>
      <c r="B62" s="17" t="s">
        <v>397</v>
      </c>
      <c r="C62" s="17" t="s">
        <v>76</v>
      </c>
      <c r="D62" s="16">
        <v>1</v>
      </c>
      <c r="E62" s="16">
        <f>COUNTIF('Програма-кодове'!$C$2:$AD$36,A62)</f>
        <v>1</v>
      </c>
      <c r="F62" s="16">
        <f t="shared" si="4"/>
        <v>0</v>
      </c>
      <c r="G62" s="127" t="str">
        <f>IF(F62&gt;0,"Повече",IF(F62&lt;0,"Липса"," "))</f>
        <v xml:space="preserve"> </v>
      </c>
      <c r="H62" s="26" t="s">
        <v>279</v>
      </c>
      <c r="I62" s="168"/>
      <c r="J62" s="16"/>
      <c r="K62" s="16"/>
      <c r="L62" s="16"/>
    </row>
    <row r="63" spans="1:12" s="18" customFormat="1">
      <c r="A63" s="342" t="s">
        <v>315</v>
      </c>
      <c r="B63" s="26" t="s">
        <v>316</v>
      </c>
      <c r="C63" s="17" t="s">
        <v>240</v>
      </c>
      <c r="D63" s="16">
        <v>1</v>
      </c>
      <c r="E63" s="16">
        <f>COUNTIF('Програма-кодове'!$C$2:$AD$36,A63)</f>
        <v>1</v>
      </c>
      <c r="F63" s="16">
        <f t="shared" si="4"/>
        <v>0</v>
      </c>
      <c r="G63" s="127" t="str">
        <f>IF(F63&gt;0,"Повече",IF(F63&lt;0,"Липса"," "))</f>
        <v xml:space="preserve"> </v>
      </c>
      <c r="H63" s="26" t="s">
        <v>280</v>
      </c>
      <c r="I63" s="168"/>
      <c r="J63" s="16"/>
      <c r="K63" s="16"/>
      <c r="L63" s="16"/>
    </row>
    <row r="64" spans="1:12">
      <c r="A64" s="343" t="s">
        <v>317</v>
      </c>
      <c r="B64" s="26" t="s">
        <v>318</v>
      </c>
      <c r="C64" s="17" t="s">
        <v>240</v>
      </c>
      <c r="D64" s="16">
        <v>1</v>
      </c>
      <c r="E64" s="16">
        <f>COUNTIF('Програма-кодове'!$C$2:$AD$36,A64)</f>
        <v>1</v>
      </c>
      <c r="F64" s="16">
        <f t="shared" si="4"/>
        <v>0</v>
      </c>
      <c r="G64" s="127" t="str">
        <f>IF(F64&gt;0,"Повече",IF(F64&lt;0,"Липса"," "))</f>
        <v xml:space="preserve"> </v>
      </c>
      <c r="H64" s="26" t="s">
        <v>378</v>
      </c>
    </row>
    <row r="65" spans="1:12">
      <c r="A65" s="343" t="s">
        <v>246</v>
      </c>
      <c r="B65" s="26" t="s">
        <v>264</v>
      </c>
      <c r="C65" s="17" t="s">
        <v>240</v>
      </c>
      <c r="D65" s="16">
        <v>2</v>
      </c>
      <c r="E65" s="16">
        <f>COUNTIF('Програма-кодове'!$C$2:$AD$36,A65)</f>
        <v>2</v>
      </c>
      <c r="F65" s="16">
        <f t="shared" si="4"/>
        <v>0</v>
      </c>
      <c r="G65" s="127" t="str">
        <f>IF(F65&gt;0,"Повече",IF(F65&lt;0,"Липса"," "))</f>
        <v xml:space="preserve"> </v>
      </c>
      <c r="H65" s="26" t="s">
        <v>281</v>
      </c>
    </row>
    <row r="66" spans="1:12">
      <c r="A66" s="342" t="s">
        <v>162</v>
      </c>
      <c r="B66" s="17" t="s">
        <v>227</v>
      </c>
      <c r="C66" s="17" t="s">
        <v>240</v>
      </c>
      <c r="D66" s="16">
        <v>2</v>
      </c>
      <c r="E66" s="16">
        <f>COUNTIF('Програма-кодове'!$C$2:$AD$36,A66)</f>
        <v>2</v>
      </c>
      <c r="F66" s="16">
        <f t="shared" si="4"/>
        <v>0</v>
      </c>
      <c r="G66" s="127" t="str">
        <f>IF(F66&gt;0,"Повече",IF(F66&lt;0,"Липса"," "))</f>
        <v xml:space="preserve"> </v>
      </c>
      <c r="H66" s="26" t="s">
        <v>366</v>
      </c>
    </row>
    <row r="67" spans="1:12">
      <c r="A67" s="343" t="s">
        <v>282</v>
      </c>
      <c r="B67" s="26" t="s">
        <v>283</v>
      </c>
      <c r="C67" s="17" t="s">
        <v>222</v>
      </c>
      <c r="D67" s="16">
        <v>0</v>
      </c>
      <c r="E67" s="16">
        <f>COUNTIF('Програма-кодове'!$C$2:$AD$36,A67)</f>
        <v>0</v>
      </c>
      <c r="F67" s="16">
        <f t="shared" si="4"/>
        <v>0</v>
      </c>
    </row>
    <row r="68" spans="1:12">
      <c r="A68" s="344">
        <v>0</v>
      </c>
      <c r="B68" s="27"/>
      <c r="D68" s="16">
        <v>0</v>
      </c>
      <c r="E68" s="16">
        <f>COUNTIF('Програма-кодове'!$C$2:$AD$36,A68)</f>
        <v>0</v>
      </c>
      <c r="F68" s="16">
        <f>E68-D68</f>
        <v>0</v>
      </c>
      <c r="G68" s="16" t="str">
        <f t="shared" ref="G68:G76" si="5">IF(F68&gt;0,"Повече",IF(F68&lt;0,"Липса"," "))</f>
        <v xml:space="preserve"> </v>
      </c>
    </row>
    <row r="69" spans="1:12">
      <c r="A69" s="173">
        <v>1</v>
      </c>
      <c r="B69" s="27"/>
      <c r="D69" s="16">
        <v>0</v>
      </c>
      <c r="E69" s="16">
        <f>COUNTIF('Програма-кодове'!$C$2:$AD$36,A69)</f>
        <v>0</v>
      </c>
      <c r="F69" s="16">
        <f>E69-D69</f>
        <v>0</v>
      </c>
    </row>
    <row r="70" spans="1:12" s="18" customFormat="1">
      <c r="A70" s="343" t="s">
        <v>324</v>
      </c>
      <c r="B70" s="27" t="s">
        <v>325</v>
      </c>
      <c r="C70" s="17" t="s">
        <v>115</v>
      </c>
      <c r="D70" s="16">
        <v>2</v>
      </c>
      <c r="E70" s="16">
        <f>COUNTIF('Програма-кодове'!$C$2:$AD$36,A70)</f>
        <v>2</v>
      </c>
      <c r="F70" s="16">
        <f t="shared" si="4"/>
        <v>0</v>
      </c>
      <c r="G70" s="16" t="str">
        <f t="shared" si="5"/>
        <v xml:space="preserve"> </v>
      </c>
      <c r="H70" s="16" t="s">
        <v>365</v>
      </c>
      <c r="I70" s="168"/>
      <c r="J70" s="16"/>
      <c r="K70" s="16"/>
      <c r="L70" s="16"/>
    </row>
    <row r="71" spans="1:12">
      <c r="A71" s="173" t="s">
        <v>311</v>
      </c>
      <c r="B71" s="27" t="s">
        <v>186</v>
      </c>
      <c r="C71" s="17" t="s">
        <v>115</v>
      </c>
      <c r="D71" s="16">
        <v>14</v>
      </c>
      <c r="E71" s="16">
        <f>COUNTIF('Програма-кодове'!C2:AD36,A71)-2</f>
        <v>14</v>
      </c>
      <c r="F71" s="16">
        <f t="shared" si="4"/>
        <v>0</v>
      </c>
      <c r="G71" s="16" t="str">
        <f t="shared" si="5"/>
        <v xml:space="preserve"> </v>
      </c>
      <c r="H71" s="16" t="s">
        <v>212</v>
      </c>
    </row>
    <row r="72" spans="1:12" s="18" customFormat="1">
      <c r="A72" s="345" t="s">
        <v>312</v>
      </c>
      <c r="B72" s="18" t="s">
        <v>187</v>
      </c>
      <c r="C72" s="17" t="s">
        <v>115</v>
      </c>
      <c r="D72" s="86">
        <v>10</v>
      </c>
      <c r="E72" s="16">
        <f>COUNTIF('Програма-кодове'!$C$2:$AD$36,A72)-2</f>
        <v>10</v>
      </c>
      <c r="F72" s="16">
        <f t="shared" si="4"/>
        <v>0</v>
      </c>
      <c r="G72" s="16" t="str">
        <f t="shared" si="5"/>
        <v xml:space="preserve"> </v>
      </c>
      <c r="H72" s="16" t="s">
        <v>213</v>
      </c>
      <c r="I72" s="168"/>
      <c r="J72" s="16"/>
      <c r="K72" s="16"/>
      <c r="L72" s="16"/>
    </row>
    <row r="73" spans="1:12" s="18" customFormat="1">
      <c r="A73" s="345" t="s">
        <v>224</v>
      </c>
      <c r="B73" s="18" t="s">
        <v>216</v>
      </c>
      <c r="C73" s="18" t="s">
        <v>47</v>
      </c>
      <c r="D73" s="86">
        <v>2</v>
      </c>
      <c r="E73" s="16">
        <f>COUNTIF('Програма-кодове'!$C$2:$AD$36,A73)</f>
        <v>2</v>
      </c>
      <c r="F73" s="16">
        <f t="shared" ref="F73:F79" si="6">E73-D73</f>
        <v>0</v>
      </c>
      <c r="G73" s="16" t="str">
        <f t="shared" si="5"/>
        <v xml:space="preserve"> </v>
      </c>
      <c r="H73" s="16"/>
      <c r="I73" s="168"/>
      <c r="J73" s="16"/>
      <c r="K73" s="16"/>
      <c r="L73" s="16"/>
    </row>
    <row r="74" spans="1:12" s="18" customFormat="1">
      <c r="A74" s="345" t="s">
        <v>169</v>
      </c>
      <c r="B74" s="18" t="s">
        <v>111</v>
      </c>
      <c r="C74" s="18" t="s">
        <v>40</v>
      </c>
      <c r="D74" s="86">
        <v>17</v>
      </c>
      <c r="E74" s="16">
        <f>COUNTIF('Програма-кодове'!$C$2:$AD$36,A74)</f>
        <v>17</v>
      </c>
      <c r="F74" s="16">
        <f t="shared" si="6"/>
        <v>0</v>
      </c>
      <c r="G74" s="16" t="str">
        <f t="shared" si="5"/>
        <v xml:space="preserve"> </v>
      </c>
      <c r="H74" s="16"/>
      <c r="I74" s="168"/>
      <c r="J74" s="16"/>
      <c r="K74" s="16"/>
      <c r="L74" s="16"/>
    </row>
    <row r="75" spans="1:12" s="18" customFormat="1">
      <c r="A75" s="342" t="s">
        <v>204</v>
      </c>
      <c r="B75" s="18" t="s">
        <v>364</v>
      </c>
      <c r="C75" s="17" t="s">
        <v>43</v>
      </c>
      <c r="D75" s="86">
        <v>8</v>
      </c>
      <c r="E75" s="16">
        <f>COUNTIF('Програма-кодове'!$C$2:$AD$36,A75)</f>
        <v>8</v>
      </c>
      <c r="F75" s="16">
        <f t="shared" si="6"/>
        <v>0</v>
      </c>
      <c r="G75" s="16" t="str">
        <f t="shared" si="5"/>
        <v xml:space="preserve"> </v>
      </c>
      <c r="H75" s="16" t="s">
        <v>211</v>
      </c>
      <c r="I75" s="168"/>
      <c r="J75" s="16"/>
      <c r="K75" s="16"/>
      <c r="L75" s="16"/>
    </row>
    <row r="76" spans="1:12">
      <c r="A76" s="170" t="s">
        <v>188</v>
      </c>
      <c r="B76" s="17" t="s">
        <v>171</v>
      </c>
      <c r="C76" s="17" t="s">
        <v>45</v>
      </c>
      <c r="E76" s="16">
        <f>COUNTIF('Програма-кодове'!$C$2:$AD$36,A76)</f>
        <v>0</v>
      </c>
      <c r="F76" s="16">
        <f t="shared" si="6"/>
        <v>0</v>
      </c>
      <c r="G76" s="16" t="str">
        <f t="shared" si="5"/>
        <v xml:space="preserve"> </v>
      </c>
    </row>
    <row r="77" spans="1:12">
      <c r="A77" s="170" t="s">
        <v>314</v>
      </c>
      <c r="B77" s="17" t="s">
        <v>271</v>
      </c>
      <c r="C77" s="17" t="s">
        <v>121</v>
      </c>
      <c r="E77" s="16">
        <f>COUNTIF('Програма-кодове'!$C$2:$AD$36,A77)</f>
        <v>0</v>
      </c>
      <c r="F77" s="16">
        <f t="shared" si="6"/>
        <v>0</v>
      </c>
      <c r="G77" s="16" t="str">
        <f>IF(F77&gt;0,"Повече",IF(F77&lt;0,"Липса"," "))</f>
        <v xml:space="preserve"> </v>
      </c>
    </row>
    <row r="78" spans="1:12">
      <c r="A78" s="170" t="s">
        <v>349</v>
      </c>
      <c r="B78" s="17" t="s">
        <v>165</v>
      </c>
      <c r="C78" s="17" t="s">
        <v>47</v>
      </c>
      <c r="D78" s="16">
        <v>8</v>
      </c>
      <c r="E78" s="16">
        <f>COUNTIF('Програма-кодове'!$C$2:$AD$36,A78)</f>
        <v>8</v>
      </c>
      <c r="F78" s="16">
        <f t="shared" si="6"/>
        <v>0</v>
      </c>
      <c r="G78" s="16" t="str">
        <f>IF(F78&gt;0,"Повече",IF(F78&lt;0,"Липса"," "))</f>
        <v xml:space="preserve"> </v>
      </c>
    </row>
    <row r="79" spans="1:12">
      <c r="A79" s="170">
        <v>341</v>
      </c>
      <c r="B79" s="17" t="s">
        <v>165</v>
      </c>
      <c r="C79" s="17" t="s">
        <v>175</v>
      </c>
      <c r="D79" s="16">
        <v>2</v>
      </c>
      <c r="E79" s="16">
        <f>COUNTIF('Програма-кодове'!$C$2:$AD$36,A79)</f>
        <v>2</v>
      </c>
      <c r="F79" s="16">
        <f t="shared" si="6"/>
        <v>0</v>
      </c>
    </row>
    <row r="80" spans="1:12">
      <c r="A80" s="170" t="s">
        <v>352</v>
      </c>
      <c r="B80" s="17" t="s">
        <v>354</v>
      </c>
      <c r="C80" s="17" t="s">
        <v>355</v>
      </c>
    </row>
    <row r="81" spans="1:3">
      <c r="A81" s="170" t="s">
        <v>353</v>
      </c>
      <c r="B81" s="17" t="s">
        <v>356</v>
      </c>
      <c r="C81" s="17" t="s">
        <v>355</v>
      </c>
    </row>
  </sheetData>
  <customSheetViews>
    <customSheetView guid="{CA5C1580-67CF-11D3-927D-444553540000}" showRuler="0">
      <selection activeCell="D11" sqref="D11"/>
      <pageMargins left="0.75" right="0.75" top="1" bottom="1" header="0.5" footer="0.5"/>
      <pageSetup orientation="portrait" horizontalDpi="300" verticalDpi="300" r:id="rId1"/>
      <headerFooter alignWithMargins="0"/>
    </customSheetView>
  </customSheetViews>
  <phoneticPr fontId="0" type="noConversion"/>
  <pageMargins left="0.7" right="0.7" top="0.75" bottom="0.75" header="0.3" footer="0.3"/>
  <pageSetup paperSize="9" scale="9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77"/>
  <sheetViews>
    <sheetView topLeftCell="A204" workbookViewId="0">
      <selection activeCell="G1" sqref="G1:K65536"/>
    </sheetView>
  </sheetViews>
  <sheetFormatPr defaultColWidth="9.140625" defaultRowHeight="12.75"/>
  <cols>
    <col min="1" max="1" width="3.85546875" style="13" customWidth="1"/>
    <col min="2" max="6" width="26" style="12" customWidth="1"/>
    <col min="7" max="7" width="3.85546875" style="12" customWidth="1"/>
    <col min="8" max="11" width="4" style="21" customWidth="1"/>
    <col min="12" max="16384" width="9.140625" style="21"/>
  </cols>
  <sheetData>
    <row r="1" spans="1:7" ht="19.5" customHeight="1" thickBot="1">
      <c r="A1" s="355" t="s">
        <v>24</v>
      </c>
      <c r="B1" s="355"/>
      <c r="C1" s="355"/>
      <c r="D1" s="355"/>
      <c r="E1" s="355"/>
      <c r="F1" s="355"/>
    </row>
    <row r="2" spans="1:7" s="43" customFormat="1" ht="11.25" customHeight="1" thickTop="1">
      <c r="A2" s="13"/>
      <c r="B2" s="13">
        <v>5</v>
      </c>
      <c r="C2" s="13">
        <v>6</v>
      </c>
      <c r="D2" s="13">
        <v>7</v>
      </c>
      <c r="E2" s="13"/>
      <c r="F2" s="13"/>
      <c r="G2" s="12"/>
    </row>
    <row r="3" spans="1:7" ht="11.25" customHeight="1">
      <c r="A3" s="13">
        <v>1</v>
      </c>
      <c r="B3" s="12" t="str">
        <f>VLOOKUP('Програма-кодове'!C2,Списък!$A$1:$C$210,3,FALSE)</f>
        <v>физика</v>
      </c>
      <c r="C3" s="12" t="str">
        <f>VLOOKUP('Програма-кодове'!D2,Списък!$A$1:$C$210,3,FALSE)</f>
        <v>бълг. език</v>
      </c>
      <c r="D3" s="12" t="str">
        <f>VLOOKUP('Програма-кодове'!E2,Списък!$A$1:$C$210,3,FALSE)</f>
        <v>английски език</v>
      </c>
    </row>
    <row r="4" spans="1:7" ht="11.25" customHeight="1">
      <c r="A4" s="13">
        <v>2</v>
      </c>
      <c r="B4" s="12" t="str">
        <f>VLOOKUP('Програма-кодове'!C3,Списък!$A$1:$C$210,3,FALSE)</f>
        <v>английски език</v>
      </c>
      <c r="C4" s="12" t="str">
        <f>VLOOKUP('Програма-кодове'!D3,Списък!$A$1:$C$210,3,FALSE)</f>
        <v>физика</v>
      </c>
      <c r="D4" s="12" t="str">
        <f>VLOOKUP('Програма-кодове'!E3,Списък!$A$1:$C$210,3,FALSE)</f>
        <v>физкултура</v>
      </c>
    </row>
    <row r="5" spans="1:7" ht="11.25" customHeight="1">
      <c r="A5" s="13">
        <v>3</v>
      </c>
      <c r="B5" s="12" t="str">
        <f>VLOOKUP('Програма-кодове'!C4,Списък!$A$1:$C$210,3,FALSE)</f>
        <v>рисуване</v>
      </c>
      <c r="C5" s="12" t="str">
        <f>VLOOKUP('Програма-кодове'!D4,Списък!$A$1:$C$210,3,FALSE)</f>
        <v>математика</v>
      </c>
      <c r="D5" s="12" t="str">
        <f>VLOOKUP('Програма-кодове'!E4,Списък!$A$1:$C$210,3,FALSE)</f>
        <v>география</v>
      </c>
    </row>
    <row r="6" spans="1:7" ht="11.25" customHeight="1">
      <c r="A6" s="13">
        <v>4</v>
      </c>
      <c r="B6" s="12" t="str">
        <f>VLOOKUP('Програма-кодове'!C5,Списък!$A$1:$C$210,3,FALSE)</f>
        <v>ИТ/ТП</v>
      </c>
      <c r="C6" s="12" t="str">
        <f>VLOOKUP('Програма-кодове'!D5,Списък!$A$1:$C$210,3,FALSE)</f>
        <v>ИТ</v>
      </c>
      <c r="D6" s="12" t="str">
        <f>VLOOKUP('Програма-кодове'!E5,Списък!$A$1:$C$210,3,FALSE)</f>
        <v>бълг. език</v>
      </c>
    </row>
    <row r="7" spans="1:7" ht="11.25" customHeight="1">
      <c r="A7" s="13">
        <v>5</v>
      </c>
      <c r="B7" s="12" t="str">
        <f>VLOOKUP('Програма-кодове'!C6,Списък!$A$1:$C$210,3,FALSE)</f>
        <v>математика</v>
      </c>
      <c r="C7" s="12" t="str">
        <f>VLOOKUP('Програма-кодове'!D6,Списък!$A$1:$C$210,3,FALSE)</f>
        <v>физкултура</v>
      </c>
      <c r="D7" s="12" t="str">
        <f>VLOOKUP('Програма-кодове'!E6,Списък!$A$1:$C$210,3,FALSE)</f>
        <v>бълг. език</v>
      </c>
    </row>
    <row r="8" spans="1:7" ht="11.25" customHeight="1">
      <c r="A8" s="13">
        <v>6</v>
      </c>
      <c r="B8" s="12" t="str">
        <f>VLOOKUP('Програма-кодове'!C7,Списък!$A$1:$C$210,3,FALSE)</f>
        <v>ИТ/ТП</v>
      </c>
      <c r="C8" s="12" t="str">
        <f>VLOOKUP('Програма-кодове'!D7,Списък!$A$1:$C$210,3,FALSE)</f>
        <v>история</v>
      </c>
      <c r="D8" s="12" t="str">
        <f>VLOOKUP('Програма-кодове'!E7,Списък!$A$1:$C$210,3,FALSE)</f>
        <v>математика</v>
      </c>
    </row>
    <row r="9" spans="1:7" ht="11.25" customHeight="1">
      <c r="A9" s="13">
        <v>7</v>
      </c>
      <c r="B9" s="12">
        <f>VLOOKUP('Програма-кодове'!C8,Списък!$A$1:$C$210,3,FALSE)</f>
        <v>0</v>
      </c>
      <c r="C9" s="12">
        <f>VLOOKUP('Програма-кодове'!D8,Списък!$A$1:$C$210,3,FALSE)</f>
        <v>0</v>
      </c>
      <c r="D9" s="12" t="str">
        <f>VLOOKUP('Програма-кодове'!E8,Списък!$A$1:$C$210,3,FALSE)</f>
        <v>физика</v>
      </c>
    </row>
    <row r="10" spans="1:7" ht="5.25" customHeight="1">
      <c r="A10" s="14"/>
      <c r="B10" s="15"/>
      <c r="C10" s="15"/>
      <c r="D10" s="15"/>
      <c r="E10" s="15"/>
      <c r="F10" s="15"/>
    </row>
    <row r="11" spans="1:7" ht="11.25" customHeight="1">
      <c r="B11" s="13" t="s">
        <v>0</v>
      </c>
      <c r="C11" s="13" t="s">
        <v>1</v>
      </c>
      <c r="D11" s="13" t="s">
        <v>2</v>
      </c>
      <c r="E11" s="13" t="s">
        <v>3</v>
      </c>
      <c r="F11" s="13" t="s">
        <v>4</v>
      </c>
    </row>
    <row r="12" spans="1:7" ht="11.25" customHeight="1">
      <c r="A12" s="13">
        <v>1</v>
      </c>
      <c r="B12" s="12" t="str">
        <f>VLOOKUP('Програма-кодове'!F2,Списък!$A$1:$C$210,3,FALSE)</f>
        <v>математика</v>
      </c>
      <c r="C12" s="12" t="str">
        <f>VLOOKUP('Програма-кодове'!G2,Списък!$A$1:$C$210,3,FALSE)</f>
        <v>английски език</v>
      </c>
      <c r="D12" s="12" t="str">
        <f>VLOOKUP('Програма-кодове'!H2,Списък!$A$1:$C$210,3,FALSE)</f>
        <v>английски език</v>
      </c>
      <c r="E12" s="12" t="str">
        <f>VLOOKUP('Програма-кодове'!I2,Списък!$A$1:$C$210,3,FALSE)</f>
        <v>информатика</v>
      </c>
      <c r="F12" s="12" t="str">
        <f>VLOOKUP('Програма-кодове'!J2,Списък!$A$1:$C$210,3,FALSE)</f>
        <v>математика</v>
      </c>
    </row>
    <row r="13" spans="1:7" ht="11.25" customHeight="1">
      <c r="A13" s="13">
        <v>2</v>
      </c>
      <c r="B13" s="12" t="str">
        <f>VLOOKUP('Програма-кодове'!F3,Списък!$A$1:$C$210,3,FALSE)</f>
        <v>бълг. език</v>
      </c>
      <c r="C13" s="12" t="str">
        <f>VLOOKUP('Програма-кодове'!G3,Списък!$A$1:$C$210,3,FALSE)</f>
        <v>английски език</v>
      </c>
      <c r="D13" s="12" t="str">
        <f>VLOOKUP('Програма-кодове'!H3,Списък!$A$1:$C$210,3,FALSE)</f>
        <v>английски език</v>
      </c>
      <c r="E13" s="12" t="str">
        <f>VLOOKUP('Програма-кодове'!I3,Списък!$A$1:$C$210,3,FALSE)</f>
        <v>английски език</v>
      </c>
      <c r="F13" s="12" t="str">
        <f>VLOOKUP('Програма-кодове'!J3,Списък!$A$1:$C$210,3,FALSE)</f>
        <v>информатика</v>
      </c>
    </row>
    <row r="14" spans="1:7" ht="11.25" customHeight="1">
      <c r="A14" s="13">
        <v>3</v>
      </c>
      <c r="B14" s="12" t="str">
        <f>VLOOKUP('Програма-кодове'!F4,Списък!$A$1:$C$210,3,FALSE)</f>
        <v>информатика</v>
      </c>
      <c r="C14" s="12" t="str">
        <f>VLOOKUP('Програма-кодове'!G4,Списък!$A$1:$C$210,3,FALSE)</f>
        <v>английски език</v>
      </c>
      <c r="D14" s="12" t="str">
        <f>VLOOKUP('Програма-кодове'!H4,Списък!$A$1:$C$210,3,FALSE)</f>
        <v>английски език</v>
      </c>
      <c r="E14" s="12" t="str">
        <f>VLOOKUP('Програма-кодове'!I4,Списък!$A$1:$C$210,3,FALSE)</f>
        <v>английски език</v>
      </c>
      <c r="F14" s="12" t="str">
        <f>VLOOKUP('Програма-кодове'!J4,Списък!$A$1:$C$210,3,FALSE)</f>
        <v>английски език</v>
      </c>
    </row>
    <row r="15" spans="1:7" ht="11.25" customHeight="1">
      <c r="A15" s="13">
        <v>4</v>
      </c>
      <c r="B15" s="12" t="str">
        <f>VLOOKUP('Програма-кодове'!F5,Списък!$A$1:$C$210,3,FALSE)</f>
        <v>английски език</v>
      </c>
      <c r="C15" s="12" t="str">
        <f>VLOOKUP('Програма-кодове'!G5,Списък!$A$1:$C$210,3,FALSE)</f>
        <v>математика</v>
      </c>
      <c r="D15" s="12" t="str">
        <f>VLOOKUP('Програма-кодове'!H5,Списък!$A$1:$C$210,3,FALSE)</f>
        <v>английски език</v>
      </c>
      <c r="E15" s="12" t="str">
        <f>VLOOKUP('Програма-кодове'!I5,Списък!$A$1:$C$210,3,FALSE)</f>
        <v>английски език</v>
      </c>
      <c r="F15" s="12" t="str">
        <f>VLOOKUP('Програма-кодове'!J5,Списък!$A$1:$C$210,3,FALSE)</f>
        <v>английски език</v>
      </c>
    </row>
    <row r="16" spans="1:7" ht="11.25" customHeight="1">
      <c r="A16" s="13">
        <v>5</v>
      </c>
      <c r="B16" s="12" t="str">
        <f>VLOOKUP('Програма-кодове'!F6,Списък!$A$1:$C$210,3,FALSE)</f>
        <v>английски език</v>
      </c>
      <c r="C16" s="12" t="str">
        <f>VLOOKUP('Програма-кодове'!G6,Списък!$A$1:$C$210,3,FALSE)</f>
        <v>бълг. език</v>
      </c>
      <c r="D16" s="12" t="str">
        <f>VLOOKUP('Програма-кодове'!H6,Списък!$A$1:$C$210,3,FALSE)</f>
        <v>информатика</v>
      </c>
      <c r="E16" s="12" t="str">
        <f>VLOOKUP('Програма-кодове'!I6,Списък!$A$1:$C$210,3,FALSE)</f>
        <v>английски език</v>
      </c>
      <c r="F16" s="12" t="str">
        <f>VLOOKUP('Програма-кодове'!J6,Списък!$A$1:$C$210,3,FALSE)</f>
        <v>философия</v>
      </c>
    </row>
    <row r="17" spans="1:11" ht="11.25" customHeight="1">
      <c r="A17" s="13">
        <v>6</v>
      </c>
      <c r="B17" s="12" t="str">
        <f>VLOOKUP('Програма-кодове'!F7,Списък!$A$1:$C$210,3,FALSE)</f>
        <v>английски език</v>
      </c>
      <c r="C17" s="12" t="str">
        <f>VLOOKUP('Програма-кодове'!G7,Списък!$A$1:$C$210,3,FALSE)</f>
        <v>ИТ/ИТ</v>
      </c>
      <c r="D17" s="12" t="str">
        <f>VLOOKUP('Програма-кодове'!H7,Списък!$A$1:$C$210,3,FALSE)</f>
        <v>математика</v>
      </c>
      <c r="E17" s="12" t="str">
        <f>VLOOKUP('Програма-кодове'!I7,Списък!$A$1:$C$210,3,FALSE)</f>
        <v>философия</v>
      </c>
      <c r="F17" s="12" t="str">
        <f>VLOOKUP('Програма-кодове'!J7,Списък!$A$1:$C$210,3,FALSE)</f>
        <v>английски език</v>
      </c>
    </row>
    <row r="18" spans="1:11" ht="11.25" customHeight="1">
      <c r="A18" s="13">
        <v>7</v>
      </c>
      <c r="B18" s="12" t="str">
        <f>VLOOKUP('Програма-кодове'!F8,Списък!$A$1:$C$210,3,FALSE)</f>
        <v>английски език</v>
      </c>
      <c r="C18" s="12" t="str">
        <f>VLOOKUP('Програма-кодове'!G8,Списък!$A$1:$C$210,3,FALSE)</f>
        <v>физкултура</v>
      </c>
      <c r="D18" s="12" t="str">
        <f>VLOOKUP('Програма-кодове'!H8,Списък!$A$1:$C$210,3,FALSE)</f>
        <v>философия</v>
      </c>
      <c r="E18" s="12" t="str">
        <f>VLOOKUP('Програма-кодове'!I8,Списък!$A$1:$C$210,3,FALSE)</f>
        <v>математика</v>
      </c>
      <c r="F18" s="12" t="str">
        <f>VLOOKUP('Програма-кодове'!J8,Списък!$A$1:$C$210,3,FALSE)</f>
        <v>английски език</v>
      </c>
    </row>
    <row r="19" spans="1:11" ht="3" customHeight="1">
      <c r="A19" s="14"/>
      <c r="B19" s="15"/>
      <c r="C19" s="15"/>
      <c r="D19" s="15"/>
      <c r="E19" s="15"/>
      <c r="F19" s="15"/>
    </row>
    <row r="20" spans="1:11" s="43" customFormat="1" ht="11.25" customHeight="1">
      <c r="A20" s="13"/>
      <c r="B20" s="13" t="s">
        <v>5</v>
      </c>
      <c r="C20" s="13" t="s">
        <v>6</v>
      </c>
      <c r="D20" s="13" t="s">
        <v>7</v>
      </c>
      <c r="E20" s="13" t="s">
        <v>8</v>
      </c>
      <c r="F20" s="13" t="s">
        <v>9</v>
      </c>
      <c r="G20" s="12"/>
    </row>
    <row r="21" spans="1:11" ht="11.25" customHeight="1">
      <c r="A21" s="13">
        <v>1</v>
      </c>
      <c r="B21" s="12" t="str">
        <f>VLOOKUP('Програма-кодове'!K2,Списък!$A$1:$C$210,3,FALSE)</f>
        <v>история</v>
      </c>
      <c r="C21" s="12" t="str">
        <f>VLOOKUP('Програма-кодове'!L2,Списък!$A$1:$C$210,3,FALSE)</f>
        <v>бълг. език</v>
      </c>
      <c r="D21" s="12" t="str">
        <f>VLOOKUP('Програма-кодове'!M2,Списък!$A$1:$C$210,3,FALSE)</f>
        <v>география</v>
      </c>
      <c r="E21" s="12" t="str">
        <f>VLOOKUP('Програма-кодове'!N2,Списък!$A$1:$C$210,3,FALSE)</f>
        <v>английски език</v>
      </c>
      <c r="F21" s="12" t="str">
        <f>VLOOKUP('Програма-кодове'!O2,Списък!$A$1:$C$210,3,FALSE)</f>
        <v>физкултура</v>
      </c>
      <c r="H21" s="12"/>
      <c r="I21" s="12"/>
      <c r="J21" s="12"/>
      <c r="K21" s="12"/>
    </row>
    <row r="22" spans="1:11" ht="11.25" customHeight="1">
      <c r="A22" s="13">
        <v>2</v>
      </c>
      <c r="B22" s="12" t="str">
        <f>VLOOKUP('Програма-кодове'!K3,Списък!$A$1:$C$210,3,FALSE)</f>
        <v>английски език</v>
      </c>
      <c r="C22" s="12" t="str">
        <f>VLOOKUP('Програма-кодове'!L3,Списък!$A$1:$C$210,3,FALSE)</f>
        <v>бълг. език</v>
      </c>
      <c r="D22" s="12" t="str">
        <f>VLOOKUP('Програма-кодове'!M3,Списък!$A$1:$C$210,3,FALSE)</f>
        <v>математика</v>
      </c>
      <c r="E22" s="12" t="str">
        <f>VLOOKUP('Програма-кодове'!N3,Списък!$A$1:$C$210,3,FALSE)</f>
        <v>биология</v>
      </c>
      <c r="F22" s="12" t="str">
        <f>VLOOKUP('Програма-кодове'!O3,Списък!$A$1:$C$210,3,FALSE)</f>
        <v>история</v>
      </c>
      <c r="H22" s="12"/>
      <c r="I22" s="12"/>
      <c r="J22" s="12"/>
      <c r="K22" s="12"/>
    </row>
    <row r="23" spans="1:11" ht="11.25" customHeight="1">
      <c r="A23" s="13">
        <v>3</v>
      </c>
      <c r="B23" s="12" t="str">
        <f>VLOOKUP('Програма-кодове'!K4,Списък!$A$1:$C$210,3,FALSE)</f>
        <v>география</v>
      </c>
      <c r="C23" s="12" t="str">
        <f>VLOOKUP('Програма-кодове'!L4,Списък!$A$1:$C$210,3,FALSE)</f>
        <v>химия</v>
      </c>
      <c r="D23" s="12" t="str">
        <f>VLOOKUP('Програма-кодове'!M4,Списък!$A$1:$C$210,3,FALSE)</f>
        <v>английски език</v>
      </c>
      <c r="E23" s="12" t="str">
        <f>VLOOKUP('Програма-кодове'!N4,Списък!$A$1:$C$210,3,FALSE)</f>
        <v>физика</v>
      </c>
      <c r="F23" s="12" t="str">
        <f>VLOOKUP('Програма-кодове'!O4,Списък!$A$1:$C$210,3,FALSE)</f>
        <v>химия</v>
      </c>
      <c r="H23" s="12"/>
      <c r="I23" s="12"/>
      <c r="J23" s="12"/>
      <c r="K23" s="12"/>
    </row>
    <row r="24" spans="1:11" ht="11.25" customHeight="1">
      <c r="A24" s="13">
        <v>4</v>
      </c>
      <c r="B24" s="12" t="str">
        <f>VLOOKUP('Програма-кодове'!K5,Списък!$A$1:$C$210,3,FALSE)</f>
        <v>бълг. език</v>
      </c>
      <c r="C24" s="12" t="str">
        <f>VLOOKUP('Програма-кодове'!L5,Списък!$A$1:$C$210,3,FALSE)</f>
        <v>география</v>
      </c>
      <c r="D24" s="12" t="str">
        <f>VLOOKUP('Програма-кодове'!M5,Списък!$A$1:$C$210,3,FALSE)</f>
        <v>история</v>
      </c>
      <c r="E24" s="12" t="str">
        <f>VLOOKUP('Програма-кодове'!N5,Списък!$A$1:$C$210,3,FALSE)</f>
        <v>математика</v>
      </c>
      <c r="F24" s="12" t="str">
        <f>VLOOKUP('Програма-кодове'!O5,Списък!$A$1:$C$210,3,FALSE)</f>
        <v>биология</v>
      </c>
      <c r="H24" s="12"/>
      <c r="I24" s="12"/>
      <c r="J24" s="12"/>
      <c r="K24" s="12"/>
    </row>
    <row r="25" spans="1:11" ht="11.25" customHeight="1">
      <c r="A25" s="13">
        <v>5</v>
      </c>
      <c r="B25" s="12" t="str">
        <f>VLOOKUP('Програма-кодове'!K6,Списък!$A$1:$C$210,3,FALSE)</f>
        <v>бълг. език</v>
      </c>
      <c r="C25" s="12" t="str">
        <f>VLOOKUP('Програма-кодове'!L6,Списък!$A$1:$C$210,3,FALSE)</f>
        <v>история</v>
      </c>
      <c r="D25" s="12" t="str">
        <f>VLOOKUP('Програма-кодове'!M6,Списък!$A$1:$C$210,3,FALSE)</f>
        <v>химия</v>
      </c>
      <c r="E25" s="12" t="str">
        <f>VLOOKUP('Програма-кодове'!N6,Списък!$A$1:$C$210,3,FALSE)</f>
        <v>география</v>
      </c>
      <c r="F25" s="12" t="str">
        <f>VLOOKUP('Програма-кодове'!O6,Списък!$A$1:$C$210,3,FALSE)</f>
        <v>математика</v>
      </c>
      <c r="H25" s="12"/>
      <c r="I25" s="12"/>
      <c r="J25" s="12"/>
      <c r="K25" s="12"/>
    </row>
    <row r="26" spans="1:11" ht="11.25" customHeight="1">
      <c r="A26" s="13">
        <v>6</v>
      </c>
      <c r="B26" s="12" t="str">
        <f>VLOOKUP('Програма-кодове'!K7,Списък!$A$1:$C$210,3,FALSE)</f>
        <v>химия</v>
      </c>
      <c r="C26" s="12" t="str">
        <f>VLOOKUP('Програма-кодове'!L7,Списък!$A$1:$C$210,3,FALSE)</f>
        <v>ІІ - ри чужд език</v>
      </c>
      <c r="D26" s="12">
        <f>VLOOKUP('Програма-кодове'!M7,Списък!$A$1:$C$210,3,FALSE)</f>
        <v>0</v>
      </c>
      <c r="E26" s="12">
        <f>VLOOKUP('Програма-кодове'!N7,Списък!$A$1:$C$210,3,FALSE)</f>
        <v>0</v>
      </c>
      <c r="F26" s="12" t="str">
        <f>VLOOKUP('Програма-кодове'!O7,Списък!$A$1:$C$210,3,FALSE)</f>
        <v>бълг. език</v>
      </c>
      <c r="H26" s="12"/>
      <c r="I26" s="12"/>
      <c r="J26" s="12"/>
      <c r="K26" s="12"/>
    </row>
    <row r="27" spans="1:11" ht="11.25" customHeight="1">
      <c r="A27" s="13">
        <v>7</v>
      </c>
      <c r="B27" s="12" t="str">
        <f>VLOOKUP('Програма-кодове'!K8,Списък!$A$1:$C$210,3,FALSE)</f>
        <v>рисуване</v>
      </c>
      <c r="C27" s="12" t="str">
        <f>VLOOKUP('Програма-кодове'!L8,Списък!$A$1:$C$210,3,FALSE)</f>
        <v>ІІ - ри чужд език</v>
      </c>
      <c r="D27" s="12">
        <f>VLOOKUP('Програма-кодове'!M8,Списък!$A$1:$C$210,3,FALSE)</f>
        <v>0</v>
      </c>
      <c r="E27" s="12">
        <f>VLOOKUP('Програма-кодове'!N8,Списък!$A$1:$C$210,3,FALSE)</f>
        <v>0</v>
      </c>
      <c r="F27" s="12" t="str">
        <f>VLOOKUP('Програма-кодове'!O8,Списък!$A$1:$C$210,3,FALSE)</f>
        <v>бълг. език</v>
      </c>
      <c r="H27" s="12"/>
      <c r="I27" s="12"/>
      <c r="J27" s="12"/>
      <c r="K27" s="12"/>
    </row>
    <row r="28" spans="1:11" ht="3" customHeight="1">
      <c r="A28" s="14"/>
      <c r="B28" s="15"/>
      <c r="C28" s="15"/>
      <c r="D28" s="15"/>
      <c r="E28" s="15"/>
      <c r="F28" s="15"/>
      <c r="H28" s="12"/>
      <c r="I28" s="12"/>
      <c r="J28" s="12"/>
      <c r="K28" s="12"/>
    </row>
    <row r="29" spans="1:11" s="43" customFormat="1" ht="11.25" customHeight="1">
      <c r="A29" s="13"/>
      <c r="B29" s="13" t="s">
        <v>10</v>
      </c>
      <c r="C29" s="13" t="s">
        <v>11</v>
      </c>
      <c r="D29" s="13" t="s">
        <v>12</v>
      </c>
      <c r="E29" s="13" t="s">
        <v>13</v>
      </c>
      <c r="F29" s="13" t="s">
        <v>14</v>
      </c>
      <c r="G29" s="12"/>
      <c r="H29" s="12"/>
      <c r="I29" s="12"/>
      <c r="J29" s="12"/>
      <c r="K29" s="12"/>
    </row>
    <row r="30" spans="1:11" ht="11.25" customHeight="1">
      <c r="A30" s="13">
        <v>1</v>
      </c>
      <c r="B30" s="12" t="str">
        <f>VLOOKUP('Програма-кодове'!P2,Списък!$A$1:$C$210,3,FALSE)</f>
        <v>информатика</v>
      </c>
      <c r="C30" s="12" t="str">
        <f>VLOOKUP('Програма-кодове'!Q2,Списък!$A$1:$C$210,3,FALSE)</f>
        <v>история</v>
      </c>
      <c r="D30" s="12" t="str">
        <f>VLOOKUP('Програма-кодове'!R2,Списък!$A$1:$C$210,3,FALSE)</f>
        <v>физкултура</v>
      </c>
      <c r="E30" s="12" t="str">
        <f>VLOOKUP('Програма-кодове'!S2,Списък!$A$1:$C$210,3,FALSE)</f>
        <v>английски език</v>
      </c>
      <c r="F30" s="12" t="str">
        <f>VLOOKUP('Програма-кодове'!T2,Списък!$A$1:$C$210,3,FALSE)</f>
        <v>биология</v>
      </c>
      <c r="H30" s="12"/>
      <c r="I30" s="12"/>
      <c r="J30" s="12"/>
      <c r="K30" s="12"/>
    </row>
    <row r="31" spans="1:11" ht="11.25" customHeight="1">
      <c r="A31" s="13">
        <v>2</v>
      </c>
      <c r="B31" s="12" t="str">
        <f>VLOOKUP('Програма-кодове'!P3,Списък!$A$1:$C$210,3,FALSE)</f>
        <v>математика</v>
      </c>
      <c r="C31" s="12" t="str">
        <f>VLOOKUP('Програма-кодове'!Q3,Списък!$A$1:$C$210,3,FALSE)</f>
        <v>бълг. език</v>
      </c>
      <c r="D31" s="12" t="str">
        <f>VLOOKUP('Програма-кодове'!R3,Списък!$A$1:$C$210,3,FALSE)</f>
        <v>информатика</v>
      </c>
      <c r="E31" s="12" t="str">
        <f>VLOOKUP('Програма-кодове'!S3,Списък!$A$1:$C$210,3,FALSE)</f>
        <v>английски език</v>
      </c>
      <c r="F31" s="12" t="str">
        <f>VLOOKUP('Програма-кодове'!T3,Списък!$A$1:$C$210,3,FALSE)</f>
        <v>биология</v>
      </c>
      <c r="H31" s="12"/>
      <c r="I31" s="12"/>
      <c r="J31" s="12"/>
      <c r="K31" s="12"/>
    </row>
    <row r="32" spans="1:11" ht="11.25" customHeight="1">
      <c r="A32" s="13">
        <v>3</v>
      </c>
      <c r="B32" s="12" t="str">
        <f>VLOOKUP('Програма-кодове'!P4,Списък!$A$1:$C$210,3,FALSE)</f>
        <v>математика</v>
      </c>
      <c r="C32" s="12" t="str">
        <f>VLOOKUP('Програма-кодове'!Q4,Списък!$A$1:$C$210,3,FALSE)</f>
        <v>бълг. език</v>
      </c>
      <c r="D32" s="12" t="str">
        <f>VLOOKUP('Програма-кодове'!R4,Списък!$A$1:$C$210,3,FALSE)</f>
        <v>английски език</v>
      </c>
      <c r="E32" s="12" t="str">
        <f>VLOOKUP('Програма-кодове'!S4,Списък!$A$1:$C$210,3,FALSE)</f>
        <v>история</v>
      </c>
      <c r="F32" s="12" t="str">
        <f>VLOOKUP('Програма-кодове'!T4,Списък!$A$1:$C$210,3,FALSE)</f>
        <v>информатика</v>
      </c>
      <c r="H32" s="12"/>
      <c r="I32" s="12"/>
      <c r="J32" s="12"/>
      <c r="K32" s="12"/>
    </row>
    <row r="33" spans="1:11" ht="11.25" customHeight="1">
      <c r="A33" s="13">
        <v>4</v>
      </c>
      <c r="B33" s="12" t="str">
        <f>VLOOKUP('Програма-кодове'!P5,Списък!$A$1:$C$210,3,FALSE)</f>
        <v>английски език</v>
      </c>
      <c r="C33" s="12" t="str">
        <f>VLOOKUP('Програма-кодове'!Q5,Списък!$A$1:$C$210,3,FALSE)</f>
        <v>химия</v>
      </c>
      <c r="D33" s="12" t="str">
        <f>VLOOKUP('Програма-кодове'!R5,Списък!$A$1:$C$210,3,FALSE)</f>
        <v>биология</v>
      </c>
      <c r="E33" s="12" t="str">
        <f>VLOOKUP('Програма-кодове'!S5,Списък!$A$1:$C$210,3,FALSE)</f>
        <v>информатика</v>
      </c>
      <c r="F33" s="12" t="str">
        <f>VLOOKUP('Програма-кодове'!T5,Списък!$A$1:$C$210,3,FALSE)</f>
        <v>физкултура</v>
      </c>
      <c r="H33" s="12"/>
      <c r="I33" s="12"/>
      <c r="J33" s="12"/>
      <c r="K33" s="12"/>
    </row>
    <row r="34" spans="1:11" ht="11.25" customHeight="1">
      <c r="A34" s="13">
        <v>5</v>
      </c>
      <c r="B34" s="12" t="str">
        <f>VLOOKUP('Програма-кодове'!P6,Списък!$A$1:$C$210,3,FALSE)</f>
        <v>английски език</v>
      </c>
      <c r="C34" s="12" t="str">
        <f>VLOOKUP('Програма-кодове'!Q6,Списък!$A$1:$C$210,3,FALSE)</f>
        <v>информатика</v>
      </c>
      <c r="D34" s="12" t="str">
        <f>VLOOKUP('Програма-кодове'!R6,Списък!$A$1:$C$210,3,FALSE)</f>
        <v>химия</v>
      </c>
      <c r="E34" s="12" t="str">
        <f>VLOOKUP('Програма-кодове'!S6,Списък!$A$1:$C$210,3,FALSE)</f>
        <v>биология</v>
      </c>
      <c r="F34" s="12" t="str">
        <f>VLOOKUP('Програма-кодове'!T6,Списък!$A$1:$C$210,3,FALSE)</f>
        <v>математика</v>
      </c>
      <c r="H34" s="12"/>
      <c r="I34" s="12"/>
      <c r="J34" s="12"/>
      <c r="K34" s="12"/>
    </row>
    <row r="35" spans="1:11" ht="11.25" customHeight="1">
      <c r="A35" s="13">
        <v>6</v>
      </c>
      <c r="B35" s="12" t="str">
        <f>VLOOKUP('Програма-кодове'!P7,Списък!$A$1:$C$210,3,FALSE)</f>
        <v>география</v>
      </c>
      <c r="C35" s="12" t="str">
        <f>VLOOKUP('Програма-кодове'!Q7,Списък!$A$1:$C$210,3,FALSE)</f>
        <v>физкултура</v>
      </c>
      <c r="D35" s="12" t="str">
        <f>VLOOKUP('Програма-кодове'!R7,Списък!$A$1:$C$210,3,FALSE)</f>
        <v>математика</v>
      </c>
      <c r="E35" s="12" t="str">
        <f>VLOOKUP('Програма-кодове'!S7,Списък!$A$1:$C$210,3,FALSE)</f>
        <v>бълг. език</v>
      </c>
      <c r="F35" s="12" t="str">
        <f>VLOOKUP('Програма-кодове'!T7,Списък!$A$1:$C$210,3,FALSE)</f>
        <v>английски език</v>
      </c>
      <c r="H35" s="12"/>
      <c r="I35" s="12"/>
      <c r="J35" s="12"/>
      <c r="K35" s="12"/>
    </row>
    <row r="36" spans="1:11" ht="11.25" customHeight="1">
      <c r="A36" s="13">
        <v>7</v>
      </c>
      <c r="B36" s="12" t="str">
        <f>VLOOKUP('Програма-кодове'!P8,Списък!$A$1:$C$210,3,FALSE)</f>
        <v>биология</v>
      </c>
      <c r="C36" s="12" t="str">
        <f>VLOOKUP('Програма-кодове'!Q8,Списък!$A$1:$C$210,3,FALSE)</f>
        <v>математика</v>
      </c>
      <c r="D36" s="12" t="str">
        <f>VLOOKUP('Програма-кодове'!R8,Списък!$A$1:$C$210,3,FALSE)</f>
        <v>история</v>
      </c>
      <c r="E36" s="12" t="str">
        <f>VLOOKUP('Програма-кодове'!S8,Списък!$A$1:$C$210,3,FALSE)</f>
        <v>бълг. език</v>
      </c>
      <c r="F36" s="12" t="str">
        <f>VLOOKUP('Програма-кодове'!T8,Списък!$A$1:$C$210,3,FALSE)</f>
        <v>история</v>
      </c>
      <c r="H36" s="12"/>
      <c r="I36" s="12"/>
      <c r="J36" s="12"/>
      <c r="K36" s="12"/>
    </row>
    <row r="37" spans="1:11" ht="3" customHeight="1">
      <c r="A37" s="14"/>
      <c r="B37" s="15"/>
      <c r="C37" s="15"/>
      <c r="D37" s="15"/>
      <c r="E37" s="15"/>
      <c r="F37" s="15"/>
      <c r="H37" s="12"/>
      <c r="I37" s="12"/>
      <c r="J37" s="12"/>
      <c r="K37" s="12"/>
    </row>
    <row r="38" spans="1:11" s="43" customFormat="1" ht="11.25" customHeight="1">
      <c r="A38" s="13"/>
      <c r="B38" s="13" t="s">
        <v>15</v>
      </c>
      <c r="C38" s="13" t="s">
        <v>16</v>
      </c>
      <c r="D38" s="13" t="s">
        <v>17</v>
      </c>
      <c r="E38" s="13" t="s">
        <v>46</v>
      </c>
      <c r="F38" s="13" t="s">
        <v>18</v>
      </c>
      <c r="G38" s="12"/>
      <c r="H38" s="12"/>
      <c r="I38" s="12"/>
      <c r="J38" s="12"/>
      <c r="K38" s="12"/>
    </row>
    <row r="39" spans="1:11" ht="11.25" customHeight="1">
      <c r="A39" s="13">
        <v>1</v>
      </c>
      <c r="B39" s="12" t="str">
        <f>VLOOKUP('Програма-кодове'!U2,Списък!$A$1:$C$210,3,FALSE)</f>
        <v>ІІ - ри чужд език</v>
      </c>
      <c r="C39" s="12" t="str">
        <f>VLOOKUP('Програма-кодове'!V2,Списък!$A$1:$C$210,3,FALSE)</f>
        <v>английски език</v>
      </c>
      <c r="D39" s="12" t="str">
        <f>VLOOKUP('Програма-кодове'!W2,Списък!$A$1:$C$210,3,FALSE)</f>
        <v>ІІ - ри чужд език</v>
      </c>
      <c r="E39" s="21" t="str">
        <f>VLOOKUP('Програма-кодове'!X2,Списък!$A$1:$C$210,3,FALSE)</f>
        <v>математика</v>
      </c>
      <c r="F39" s="21" t="str">
        <f>VLOOKUP('Програма-кодове'!Y2,Списък!$A$1:$C$210,3,FALSE)</f>
        <v>география</v>
      </c>
      <c r="H39" s="12"/>
      <c r="I39" s="12"/>
      <c r="J39" s="12"/>
      <c r="K39" s="12"/>
    </row>
    <row r="40" spans="1:11" ht="11.25" customHeight="1">
      <c r="A40" s="13">
        <v>2</v>
      </c>
      <c r="B40" s="12" t="str">
        <f>VLOOKUP('Програма-кодове'!U3,Списък!$A$1:$C$210,3,FALSE)</f>
        <v>ІІ - ри чужд език</v>
      </c>
      <c r="C40" s="12" t="str">
        <f>VLOOKUP('Програма-кодове'!V3,Списък!$A$1:$C$210,3,FALSE)</f>
        <v>математика</v>
      </c>
      <c r="D40" s="12" t="str">
        <f>VLOOKUP('Програма-кодове'!W3,Списък!$A$1:$C$210,3,FALSE)</f>
        <v>ІІ - ри чужд език</v>
      </c>
      <c r="E40" s="21" t="str">
        <f>VLOOKUP('Програма-кодове'!X3,Списък!$A$1:$C$210,3,FALSE)</f>
        <v>физкултура</v>
      </c>
      <c r="F40" s="21" t="str">
        <f>VLOOKUP('Програма-кодове'!Y3,Списък!$A$1:$C$210,3,FALSE)</f>
        <v>английски език</v>
      </c>
      <c r="H40" s="12"/>
      <c r="I40" s="12"/>
      <c r="J40" s="12"/>
      <c r="K40" s="12"/>
    </row>
    <row r="41" spans="1:11" ht="11.25" customHeight="1">
      <c r="A41" s="13">
        <v>3</v>
      </c>
      <c r="B41" s="12" t="str">
        <f>VLOOKUP('Програма-кодове'!U4,Списък!$A$1:$C$210,3,FALSE)</f>
        <v>биология</v>
      </c>
      <c r="C41" s="12" t="str">
        <f>VLOOKUP('Програма-кодове'!V4,Списък!$A$1:$C$210,3,FALSE)</f>
        <v>история</v>
      </c>
      <c r="D41" s="12" t="str">
        <f>VLOOKUP('Програма-кодове'!W4,Списък!$A$1:$C$210,3,FALSE)</f>
        <v>математика</v>
      </c>
      <c r="E41" s="21" t="str">
        <f>VLOOKUP('Програма-кодове'!X4,Списък!$A$1:$C$210,3,FALSE)</f>
        <v>английски език</v>
      </c>
      <c r="F41" s="21" t="str">
        <f>VLOOKUP('Програма-кодове'!Y4,Списък!$A$1:$C$210,3,FALSE)</f>
        <v>биология</v>
      </c>
      <c r="H41" s="12"/>
      <c r="I41" s="12"/>
      <c r="J41" s="12"/>
      <c r="K41" s="12"/>
    </row>
    <row r="42" spans="1:11" ht="11.25" customHeight="1">
      <c r="A42" s="13">
        <v>4</v>
      </c>
      <c r="B42" s="12" t="str">
        <f>VLOOKUP('Програма-кодове'!U5,Списък!$A$1:$C$210,3,FALSE)</f>
        <v>история</v>
      </c>
      <c r="C42" s="12" t="str">
        <f>VLOOKUP('Програма-кодове'!V5,Списък!$A$1:$C$210,3,FALSE)</f>
        <v>ІІ - ри чужд език</v>
      </c>
      <c r="D42" s="12" t="str">
        <f>VLOOKUP('Програма-кодове'!W5,Списък!$A$1:$C$210,3,FALSE)</f>
        <v>английски език</v>
      </c>
      <c r="E42" s="21" t="str">
        <f>VLOOKUP('Програма-кодове'!X5,Списък!$A$1:$C$210,3,FALSE)</f>
        <v>география</v>
      </c>
      <c r="F42" s="21" t="str">
        <f>VLOOKUP('Програма-кодове'!Y5,Списък!$A$1:$C$210,3,FALSE)</f>
        <v>ІІ - ри чужд език</v>
      </c>
      <c r="H42" s="12"/>
      <c r="I42" s="12"/>
      <c r="J42" s="12"/>
      <c r="K42" s="12"/>
    </row>
    <row r="43" spans="1:11" ht="11.25" customHeight="1">
      <c r="A43" s="13">
        <v>5</v>
      </c>
      <c r="B43" s="12" t="str">
        <f>VLOOKUP('Програма-кодове'!U6,Списък!$A$1:$C$210,3,FALSE)</f>
        <v>математика</v>
      </c>
      <c r="C43" s="12" t="str">
        <f>VLOOKUP('Програма-кодове'!V6,Списък!$A$1:$C$210,3,FALSE)</f>
        <v>ІІ - ри чужд език</v>
      </c>
      <c r="D43" s="12" t="str">
        <f>VLOOKUP('Програма-кодове'!W6,Списък!$A$1:$C$210,3,FALSE)</f>
        <v>география</v>
      </c>
      <c r="E43" s="21" t="str">
        <f>VLOOKUP('Програма-кодове'!X6,Списък!$A$1:$C$210,3,FALSE)</f>
        <v>история</v>
      </c>
      <c r="F43" s="21" t="str">
        <f>VLOOKUP('Програма-кодове'!Y6,Списък!$A$1:$C$210,3,FALSE)</f>
        <v>ІІ - ри чужд език</v>
      </c>
      <c r="H43" s="12"/>
      <c r="I43" s="12"/>
      <c r="J43" s="12"/>
      <c r="K43" s="12"/>
    </row>
    <row r="44" spans="1:11" ht="11.25" customHeight="1">
      <c r="A44" s="13">
        <v>6</v>
      </c>
      <c r="B44" s="12" t="str">
        <f>VLOOKUP('Програма-кодове'!U7,Списък!$A$1:$C$210,3,FALSE)</f>
        <v>математика</v>
      </c>
      <c r="C44" s="12" t="str">
        <f>VLOOKUP('Програма-кодове'!V7,Списък!$A$1:$C$210,3,FALSE)</f>
        <v>информатика</v>
      </c>
      <c r="D44" s="12" t="str">
        <f>VLOOKUP('Програма-кодове'!W7,Списък!$A$1:$C$210,3,FALSE)</f>
        <v>бълг. език</v>
      </c>
      <c r="E44" s="21" t="str">
        <f>VLOOKUP('Програма-кодове'!X7,Списък!$A$1:$C$210,3,FALSE)</f>
        <v>биология</v>
      </c>
      <c r="F44" s="21" t="str">
        <f>VLOOKUP('Програма-кодове'!Y7,Списък!$A$1:$C$210,3,FALSE)</f>
        <v>история</v>
      </c>
      <c r="H44" s="12"/>
      <c r="I44" s="12"/>
      <c r="J44" s="12"/>
      <c r="K44" s="12"/>
    </row>
    <row r="45" spans="1:11" ht="11.25" customHeight="1">
      <c r="A45" s="13">
        <v>7</v>
      </c>
      <c r="B45" s="12" t="str">
        <f>VLOOKUP('Програма-кодове'!U8,Списък!$A$1:$C$210,3,FALSE)</f>
        <v>английски език</v>
      </c>
      <c r="C45" s="12" t="str">
        <f>VLOOKUP('Програма-кодове'!V8,Списък!$A$1:$C$210,3,FALSE)</f>
        <v>география</v>
      </c>
      <c r="D45" s="12" t="str">
        <f>VLOOKUP('Програма-кодове'!W8,Списък!$A$1:$C$210,3,FALSE)</f>
        <v>информатика</v>
      </c>
      <c r="E45" s="21" t="str">
        <f>VLOOKUP('Програма-кодове'!X8,Списък!$A$1:$C$210,3,FALSE)</f>
        <v>бълг. език</v>
      </c>
      <c r="F45" s="21" t="str">
        <f>VLOOKUP('Програма-кодове'!Y8,Списък!$A$1:$C$210,3,FALSE)</f>
        <v>химия</v>
      </c>
      <c r="H45" s="12"/>
      <c r="I45" s="12"/>
      <c r="J45" s="12"/>
      <c r="K45" s="12"/>
    </row>
    <row r="46" spans="1:11" ht="3" customHeight="1">
      <c r="A46" s="14"/>
      <c r="B46" s="14"/>
      <c r="C46" s="14"/>
      <c r="D46" s="14"/>
      <c r="E46" s="14"/>
      <c r="F46" s="14"/>
      <c r="H46" s="12"/>
      <c r="I46" s="12"/>
      <c r="J46" s="12"/>
      <c r="K46" s="12"/>
    </row>
    <row r="47" spans="1:11" s="43" customFormat="1" ht="11.25" customHeight="1">
      <c r="A47" s="13"/>
      <c r="B47" s="13" t="s">
        <v>48</v>
      </c>
      <c r="C47" s="13" t="s">
        <v>49</v>
      </c>
      <c r="D47" s="13" t="s">
        <v>50</v>
      </c>
      <c r="E47" s="13" t="s">
        <v>51</v>
      </c>
      <c r="F47" s="13" t="s">
        <v>52</v>
      </c>
      <c r="G47" s="12"/>
      <c r="H47" s="12"/>
      <c r="I47" s="12"/>
      <c r="J47" s="12"/>
      <c r="K47" s="12"/>
    </row>
    <row r="48" spans="1:11" ht="11.25" customHeight="1">
      <c r="A48" s="13">
        <v>1</v>
      </c>
      <c r="B48" s="12" t="str">
        <f>VLOOKUP('Програма-кодове'!Z2,Списък!$A$1:$C$210,3,FALSE)</f>
        <v>физика</v>
      </c>
      <c r="C48" s="12" t="str">
        <f>VLOOKUP('Програма-кодове'!AA2,Списък!$A$1:$C$210,3,FALSE)</f>
        <v>английски език</v>
      </c>
      <c r="D48" s="12" t="str">
        <f>VLOOKUP('Програма-кодове'!AB2,Списък!$A$1:$C$210,3,FALSE)</f>
        <v>бълг. език</v>
      </c>
      <c r="E48" s="12" t="str">
        <f>VLOOKUP('Програма-кодове'!AC2,Списък!$A$1:$C$210,3,FALSE)</f>
        <v>информатика</v>
      </c>
      <c r="F48" s="12" t="str">
        <f>VLOOKUP('Програма-кодове'!AD2,Списък!$A$1:$C$210,3,FALSE)</f>
        <v>биология</v>
      </c>
      <c r="H48" s="12"/>
      <c r="I48" s="12"/>
      <c r="J48" s="12"/>
      <c r="K48" s="12"/>
    </row>
    <row r="49" spans="1:11" ht="11.25" customHeight="1">
      <c r="A49" s="13">
        <v>2</v>
      </c>
      <c r="B49" s="12" t="str">
        <f>VLOOKUP('Програма-кодове'!Z3,Списък!$A$1:$C$210,3,FALSE)</f>
        <v>информатика</v>
      </c>
      <c r="C49" s="12" t="str">
        <f>VLOOKUP('Програма-кодове'!AA3,Списък!$A$1:$C$210,3,FALSE)</f>
        <v>английски език</v>
      </c>
      <c r="D49" s="12" t="str">
        <f>VLOOKUP('Програма-кодове'!AB3,Списък!$A$1:$C$210,3,FALSE)</f>
        <v>бълг. език</v>
      </c>
      <c r="E49" s="12" t="str">
        <f>VLOOKUP('Програма-кодове'!AC3,Списък!$A$1:$C$210,3,FALSE)</f>
        <v>математика</v>
      </c>
      <c r="F49" s="12" t="str">
        <f>VLOOKUP('Програма-кодове'!AD3,Списък!$A$1:$C$210,3,FALSE)</f>
        <v>физика</v>
      </c>
      <c r="H49" s="12"/>
      <c r="I49" s="12"/>
      <c r="J49" s="12"/>
      <c r="K49" s="12"/>
    </row>
    <row r="50" spans="1:11" ht="11.25" customHeight="1">
      <c r="A50" s="13">
        <v>3</v>
      </c>
      <c r="B50" s="12" t="str">
        <f>VLOOKUP('Програма-кодове'!Z4,Списък!$A$1:$C$210,3,FALSE)</f>
        <v>математика</v>
      </c>
      <c r="C50" s="12" t="str">
        <f>VLOOKUP('Програма-кодове'!AA4,Списък!$A$1:$C$210,3,FALSE)</f>
        <v>математика</v>
      </c>
      <c r="D50" s="12" t="str">
        <f>VLOOKUP('Програма-кодове'!AB4,Списък!$A$1:$C$210,3,FALSE)</f>
        <v>информатика</v>
      </c>
      <c r="E50" s="12" t="str">
        <f>VLOOKUP('Програма-кодове'!AC4,Списък!$A$1:$C$210,3,FALSE)</f>
        <v>немски език</v>
      </c>
      <c r="F50" s="12" t="str">
        <f>VLOOKUP('Програма-кодове'!AD4,Списък!$A$1:$C$210,3,FALSE)</f>
        <v>бълг. език</v>
      </c>
      <c r="H50" s="12"/>
      <c r="I50" s="12"/>
      <c r="J50" s="12"/>
      <c r="K50" s="12"/>
    </row>
    <row r="51" spans="1:11" ht="11.25" customHeight="1">
      <c r="A51" s="13">
        <v>4</v>
      </c>
      <c r="B51" s="12" t="str">
        <f>VLOOKUP('Програма-кодове'!Z5,Списък!$A$1:$C$210,3,FALSE)</f>
        <v>английски език</v>
      </c>
      <c r="C51" s="12" t="str">
        <f>VLOOKUP('Програма-кодове'!AA5,Списък!$A$1:$C$210,3,FALSE)</f>
        <v>математика</v>
      </c>
      <c r="D51" s="12" t="str">
        <f>VLOOKUP('Програма-кодове'!AB5,Списък!$A$1:$C$210,3,FALSE)</f>
        <v>физика</v>
      </c>
      <c r="E51" s="12" t="str">
        <f>VLOOKUP('Програма-кодове'!AC5,Списък!$A$1:$C$210,3,FALSE)</f>
        <v>философия</v>
      </c>
      <c r="F51" s="12" t="str">
        <f>VLOOKUP('Програма-кодове'!AD5,Списък!$A$1:$C$210,3,FALSE)</f>
        <v>бълг. език</v>
      </c>
      <c r="H51" s="12"/>
      <c r="I51" s="12"/>
      <c r="J51" s="12"/>
      <c r="K51" s="12"/>
    </row>
    <row r="52" spans="1:11" ht="11.25" customHeight="1">
      <c r="A52" s="13">
        <v>5</v>
      </c>
      <c r="B52" s="12" t="str">
        <f>VLOOKUP('Програма-кодове'!Z6,Списък!$A$1:$C$210,3,FALSE)</f>
        <v>английски език</v>
      </c>
      <c r="C52" s="12" t="str">
        <f>VLOOKUP('Програма-кодове'!AA6,Списък!$A$1:$C$210,3,FALSE)</f>
        <v>информатика</v>
      </c>
      <c r="D52" s="12" t="str">
        <f>VLOOKUP('Програма-кодове'!AB6,Списък!$A$1:$C$210,3,FALSE)</f>
        <v>физкултура</v>
      </c>
      <c r="E52" s="12" t="str">
        <f>VLOOKUP('Програма-кодове'!AC6,Списък!$A$1:$C$210,3,FALSE)</f>
        <v>физика</v>
      </c>
      <c r="F52" s="12" t="str">
        <f>VLOOKUP('Програма-кодове'!AD6,Списък!$A$1:$C$210,3,FALSE)</f>
        <v>философия</v>
      </c>
      <c r="H52" s="12"/>
      <c r="I52" s="12"/>
      <c r="J52" s="12"/>
      <c r="K52" s="12"/>
    </row>
    <row r="53" spans="1:11" ht="11.25" customHeight="1">
      <c r="A53" s="13">
        <v>6</v>
      </c>
      <c r="B53" s="12" t="str">
        <f>VLOOKUP('Програма-кодове'!Z7,Списък!$A$1:$C$210,3,FALSE)</f>
        <v>бълг. език</v>
      </c>
      <c r="C53" s="12" t="str">
        <f>VLOOKUP('Програма-кодове'!AA7,Списък!$A$1:$C$210,3,FALSE)</f>
        <v>физика</v>
      </c>
      <c r="D53" s="12" t="str">
        <f>VLOOKUP('Програма-кодове'!AB7,Списък!$A$1:$C$210,3,FALSE)</f>
        <v>свят и личност</v>
      </c>
      <c r="E53" s="12" t="str">
        <f>VLOOKUP('Програма-кодове'!AC7,Списък!$A$1:$C$210,3,FALSE)</f>
        <v>физкултура</v>
      </c>
      <c r="F53" s="12" t="str">
        <f>VLOOKUP('Програма-кодове'!AD7,Списък!$A$1:$C$210,3,FALSE)</f>
        <v>химия</v>
      </c>
      <c r="H53" s="12"/>
      <c r="I53" s="12"/>
      <c r="J53" s="12"/>
      <c r="K53" s="12"/>
    </row>
    <row r="54" spans="1:11" ht="11.25" customHeight="1">
      <c r="A54" s="13">
        <v>7</v>
      </c>
      <c r="B54" s="12" t="str">
        <f>VLOOKUP('Програма-кодове'!Z8,Списък!$A$1:$C$210,3,FALSE)</f>
        <v>бълг. език</v>
      </c>
      <c r="C54" s="12" t="str">
        <f>VLOOKUP('Програма-кодове'!AA8,Списък!$A$1:$C$210,3,FALSE)</f>
        <v>физкултура</v>
      </c>
      <c r="D54" s="12" t="str">
        <f>VLOOKUP('Програма-кодове'!AB8,Списък!$A$1:$C$210,3,FALSE)</f>
        <v>математика</v>
      </c>
      <c r="E54" s="12" t="str">
        <f>VLOOKUP('Програма-кодове'!AC8,Списък!$A$1:$C$210,3,FALSE)</f>
        <v>география</v>
      </c>
      <c r="F54" s="12" t="str">
        <f>VLOOKUP('Програма-кодове'!AD8,Списък!$A$1:$C$210,3,FALSE)</f>
        <v>химия</v>
      </c>
      <c r="H54" s="12"/>
      <c r="I54" s="12"/>
      <c r="J54" s="12"/>
      <c r="K54" s="12"/>
    </row>
    <row r="55" spans="1:11" ht="3" customHeight="1">
      <c r="A55" s="14"/>
      <c r="B55" s="14"/>
      <c r="C55" s="14"/>
      <c r="D55" s="14"/>
      <c r="E55" s="14"/>
      <c r="F55" s="14"/>
      <c r="H55" s="12"/>
      <c r="I55" s="12"/>
      <c r="J55" s="12"/>
      <c r="K55" s="12"/>
    </row>
    <row r="56" spans="1:11" ht="21" customHeight="1" thickBot="1">
      <c r="A56" s="355" t="s">
        <v>25</v>
      </c>
      <c r="B56" s="355"/>
      <c r="C56" s="355"/>
      <c r="D56" s="355"/>
      <c r="E56" s="355"/>
      <c r="F56" s="355"/>
      <c r="H56" s="12"/>
      <c r="I56" s="12"/>
      <c r="J56" s="12"/>
      <c r="K56" s="12"/>
    </row>
    <row r="57" spans="1:11" s="43" customFormat="1" ht="11.25" customHeight="1" thickTop="1">
      <c r="A57" s="13"/>
      <c r="B57" s="13">
        <v>5</v>
      </c>
      <c r="C57" s="13">
        <v>6</v>
      </c>
      <c r="D57" s="13">
        <v>7</v>
      </c>
      <c r="E57" s="13"/>
      <c r="F57" s="13"/>
      <c r="G57" s="12"/>
      <c r="H57" s="12"/>
      <c r="I57" s="12"/>
      <c r="J57" s="12"/>
      <c r="K57" s="12"/>
    </row>
    <row r="58" spans="1:11" ht="11.25" customHeight="1">
      <c r="A58" s="13">
        <v>1</v>
      </c>
      <c r="B58" s="12" t="str">
        <f>VLOOKUP('Програма-кодове'!C9,Списък!$A$1:$C$210,3,FALSE)</f>
        <v>английски език</v>
      </c>
      <c r="C58" s="12" t="str">
        <f>VLOOKUP('Програма-кодове'!D9,Списък!$A$1:$C$210,3,FALSE)</f>
        <v>английски език</v>
      </c>
      <c r="D58" s="12" t="str">
        <f>VLOOKUP('Програма-кодове'!E9,Списък!$A$1:$C$210,3,FALSE)</f>
        <v>география</v>
      </c>
      <c r="H58" s="12"/>
      <c r="I58" s="12"/>
      <c r="J58" s="12"/>
      <c r="K58" s="12"/>
    </row>
    <row r="59" spans="1:11" ht="11.25" customHeight="1">
      <c r="A59" s="13">
        <v>2</v>
      </c>
      <c r="B59" s="12" t="str">
        <f>VLOOKUP('Програма-кодове'!C10,Списък!$A$1:$C$210,3,FALSE)</f>
        <v>бълг. език</v>
      </c>
      <c r="C59" s="12" t="str">
        <f>VLOOKUP('Програма-кодове'!D10,Списък!$A$1:$C$210,3,FALSE)</f>
        <v>физкултура</v>
      </c>
      <c r="D59" s="12" t="str">
        <f>VLOOKUP('Програма-кодове'!E10,Списък!$A$1:$C$210,3,FALSE)</f>
        <v>математика</v>
      </c>
      <c r="H59" s="12"/>
      <c r="I59" s="12"/>
      <c r="J59" s="12"/>
      <c r="K59" s="12"/>
    </row>
    <row r="60" spans="1:11" ht="11.25" customHeight="1">
      <c r="A60" s="13">
        <v>3</v>
      </c>
      <c r="B60" s="12" t="str">
        <f>VLOOKUP('Програма-кодове'!C11,Списък!$A$1:$C$210,3,FALSE)</f>
        <v>математика</v>
      </c>
      <c r="C60" s="12" t="str">
        <f>VLOOKUP('Програма-кодове'!D11,Списък!$A$1:$C$210,3,FALSE)</f>
        <v>математика</v>
      </c>
      <c r="D60" s="12" t="str">
        <f>VLOOKUP('Програма-кодове'!E11,Списък!$A$1:$C$210,3,FALSE)</f>
        <v>математика</v>
      </c>
      <c r="H60" s="12"/>
      <c r="I60" s="12"/>
      <c r="J60" s="12"/>
      <c r="K60" s="12"/>
    </row>
    <row r="61" spans="1:11" ht="11.25" customHeight="1">
      <c r="A61" s="13">
        <v>4</v>
      </c>
      <c r="B61" s="12" t="str">
        <f>VLOOKUP('Програма-кодове'!C12,Списък!$A$1:$C$210,3,FALSE)</f>
        <v>музика</v>
      </c>
      <c r="C61" s="12" t="str">
        <f>VLOOKUP('Програма-кодове'!D12,Списък!$A$1:$C$210,3,FALSE)</f>
        <v>физика</v>
      </c>
      <c r="D61" s="12" t="str">
        <f>VLOOKUP('Програма-кодове'!E12,Списък!$A$1:$C$210,3,FALSE)</f>
        <v>история</v>
      </c>
      <c r="H61" s="12"/>
      <c r="I61" s="12"/>
      <c r="J61" s="12"/>
      <c r="K61" s="12"/>
    </row>
    <row r="62" spans="1:11" ht="11.25" customHeight="1">
      <c r="A62" s="13">
        <v>5</v>
      </c>
      <c r="B62" s="12" t="str">
        <f>VLOOKUP('Програма-кодове'!C13,Списък!$A$1:$C$210,3,FALSE)</f>
        <v>география</v>
      </c>
      <c r="C62" s="12" t="str">
        <f>VLOOKUP('Програма-кодове'!D13,Списък!$A$1:$C$210,3,FALSE)</f>
        <v>музика</v>
      </c>
      <c r="D62" s="12" t="str">
        <f>VLOOKUP('Програма-кодове'!E13,Списък!$A$1:$C$210,3,FALSE)</f>
        <v>бълг. език</v>
      </c>
      <c r="H62" s="12"/>
      <c r="I62" s="12"/>
      <c r="J62" s="12"/>
      <c r="K62" s="12"/>
    </row>
    <row r="63" spans="1:11" ht="11.25" customHeight="1">
      <c r="A63" s="13">
        <v>6</v>
      </c>
      <c r="B63" s="12" t="str">
        <f>VLOOKUP('Програма-кодове'!C14,Списък!$A$1:$C$210,3,FALSE)</f>
        <v>рисуване</v>
      </c>
      <c r="C63" s="12" t="str">
        <f>VLOOKUP('Програма-кодове'!D14,Списък!$A$1:$C$210,3,FALSE)</f>
        <v>бълг. език</v>
      </c>
      <c r="D63" s="12" t="str">
        <f>VLOOKUP('Програма-кодове'!E14,Списък!$A$1:$C$210,3,FALSE)</f>
        <v>музика</v>
      </c>
      <c r="H63" s="12"/>
      <c r="I63" s="12"/>
      <c r="J63" s="12"/>
      <c r="K63" s="12"/>
    </row>
    <row r="64" spans="1:11" ht="11.25" customHeight="1">
      <c r="A64" s="13">
        <v>7</v>
      </c>
      <c r="B64" s="12">
        <f>VLOOKUP('Програма-кодове'!C15,Списък!$A$1:$C$210,3,FALSE)</f>
        <v>0</v>
      </c>
      <c r="C64" s="12">
        <f>VLOOKUP('Програма-кодове'!D15,Списък!$A$1:$C$210,3,FALSE)</f>
        <v>0</v>
      </c>
      <c r="D64" s="12">
        <f>VLOOKUP('Програма-кодове'!E15,Списък!$A$1:$C$210,3,FALSE)</f>
        <v>0</v>
      </c>
      <c r="H64" s="12"/>
      <c r="I64" s="12"/>
      <c r="J64" s="12"/>
      <c r="K64" s="12"/>
    </row>
    <row r="65" spans="1:11" ht="3" customHeight="1">
      <c r="A65" s="14"/>
      <c r="B65" s="15"/>
      <c r="C65" s="15"/>
      <c r="D65" s="15"/>
      <c r="E65" s="15"/>
      <c r="F65" s="15"/>
      <c r="H65" s="12"/>
      <c r="I65" s="12"/>
      <c r="J65" s="12"/>
      <c r="K65" s="12"/>
    </row>
    <row r="66" spans="1:11" ht="11.25" customHeight="1">
      <c r="B66" s="13" t="s">
        <v>0</v>
      </c>
      <c r="C66" s="13" t="s">
        <v>1</v>
      </c>
      <c r="D66" s="13" t="s">
        <v>2</v>
      </c>
      <c r="E66" s="13" t="s">
        <v>3</v>
      </c>
      <c r="F66" s="13" t="s">
        <v>4</v>
      </c>
      <c r="H66" s="12"/>
      <c r="I66" s="12"/>
      <c r="J66" s="12"/>
      <c r="K66" s="12"/>
    </row>
    <row r="67" spans="1:11" ht="11.25" customHeight="1">
      <c r="A67" s="13">
        <v>1</v>
      </c>
      <c r="B67" s="12" t="str">
        <f>VLOOKUP('Програма-кодове'!F9,Списък!$A$1:$C$210,3,FALSE)</f>
        <v>английски език</v>
      </c>
      <c r="C67" s="12" t="str">
        <f>VLOOKUP('Програма-кодове'!G9,Списък!$A$1:$C$210,3,FALSE)</f>
        <v>бълг. език</v>
      </c>
      <c r="D67" s="12" t="str">
        <f>VLOOKUP('Програма-кодове'!H9,Списък!$A$1:$C$210,3,FALSE)</f>
        <v>информатика</v>
      </c>
      <c r="E67" s="12" t="str">
        <f>VLOOKUP('Програма-кодове'!I9,Списък!$A$1:$C$210,3,FALSE)</f>
        <v>английски език</v>
      </c>
      <c r="F67" s="12" t="str">
        <f>VLOOKUP('Програма-кодове'!J9,Списък!$A$1:$C$210,3,FALSE)</f>
        <v>физкултура</v>
      </c>
      <c r="H67" s="12"/>
      <c r="I67" s="12"/>
      <c r="J67" s="12"/>
      <c r="K67" s="12"/>
    </row>
    <row r="68" spans="1:11" ht="11.25" customHeight="1">
      <c r="A68" s="13">
        <v>2</v>
      </c>
      <c r="B68" s="12" t="str">
        <f>VLOOKUP('Програма-кодове'!F10,Списък!$A$1:$C$210,3,FALSE)</f>
        <v>информатика</v>
      </c>
      <c r="C68" s="12" t="str">
        <f>VLOOKUP('Програма-кодове'!G10,Списък!$A$1:$C$210,3,FALSE)</f>
        <v>философия</v>
      </c>
      <c r="D68" s="12" t="str">
        <f>VLOOKUP('Програма-кодове'!H10,Списък!$A$1:$C$210,3,FALSE)</f>
        <v>английски език</v>
      </c>
      <c r="E68" s="12" t="str">
        <f>VLOOKUP('Програма-кодове'!I10,Списък!$A$1:$C$210,3,FALSE)</f>
        <v>математика</v>
      </c>
      <c r="F68" s="12" t="str">
        <f>VLOOKUP('Програма-кодове'!J10,Списък!$A$1:$C$210,3,FALSE)</f>
        <v>английски език</v>
      </c>
      <c r="H68" s="12"/>
      <c r="I68" s="12"/>
      <c r="J68" s="12"/>
      <c r="K68" s="12"/>
    </row>
    <row r="69" spans="1:11" ht="11.25" customHeight="1">
      <c r="A69" s="13">
        <v>3</v>
      </c>
      <c r="B69" s="12" t="str">
        <f>VLOOKUP('Програма-кодове'!F11,Списък!$A$1:$C$210,3,FALSE)</f>
        <v>английски език</v>
      </c>
      <c r="C69" s="12" t="str">
        <f>VLOOKUP('Програма-кодове'!G11,Списък!$A$1:$C$210,3,FALSE)</f>
        <v>информатика</v>
      </c>
      <c r="D69" s="12" t="str">
        <f>VLOOKUP('Програма-кодове'!H11,Списък!$A$1:$C$210,3,FALSE)</f>
        <v>английски език</v>
      </c>
      <c r="E69" s="12" t="str">
        <f>VLOOKUP('Програма-кодове'!I11,Списък!$A$1:$C$210,3,FALSE)</f>
        <v>английски език</v>
      </c>
      <c r="F69" s="12" t="str">
        <f>VLOOKUP('Програма-кодове'!J11,Списък!$A$1:$C$210,3,FALSE)</f>
        <v>английски език</v>
      </c>
      <c r="H69" s="12"/>
      <c r="I69" s="12"/>
      <c r="J69" s="12"/>
      <c r="K69" s="12"/>
    </row>
    <row r="70" spans="1:11" ht="11.25" customHeight="1">
      <c r="A70" s="13">
        <v>4</v>
      </c>
      <c r="B70" s="12" t="str">
        <f>VLOOKUP('Програма-кодове'!F12,Списък!$A$1:$C$210,3,FALSE)</f>
        <v>английски език</v>
      </c>
      <c r="C70" s="12" t="str">
        <f>VLOOKUP('Програма-кодове'!G12,Списък!$A$1:$C$210,3,FALSE)</f>
        <v>английски език</v>
      </c>
      <c r="D70" s="12" t="str">
        <f>VLOOKUP('Програма-кодове'!H12,Списък!$A$1:$C$210,3,FALSE)</f>
        <v>бълг. език</v>
      </c>
      <c r="E70" s="12" t="str">
        <f>VLOOKUP('Програма-кодове'!I12,Списък!$A$1:$C$210,3,FALSE)</f>
        <v>английски език</v>
      </c>
      <c r="F70" s="12" t="str">
        <f>VLOOKUP('Програма-кодове'!J12,Списък!$A$1:$C$210,3,FALSE)</f>
        <v>английски език</v>
      </c>
      <c r="H70" s="12"/>
      <c r="I70" s="12"/>
      <c r="J70" s="12"/>
      <c r="K70" s="12"/>
    </row>
    <row r="71" spans="1:11" ht="11.25" customHeight="1">
      <c r="A71" s="13">
        <v>5</v>
      </c>
      <c r="B71" s="12" t="str">
        <f>VLOOKUP('Програма-кодове'!F13,Списък!$A$1:$C$210,3,FALSE)</f>
        <v>английски език</v>
      </c>
      <c r="C71" s="12" t="str">
        <f>VLOOKUP('Програма-кодове'!G13,Списък!$A$1:$C$210,3,FALSE)</f>
        <v>английски език</v>
      </c>
      <c r="D71" s="12" t="str">
        <f>VLOOKUP('Програма-кодове'!H13,Списък!$A$1:$C$210,3,FALSE)</f>
        <v>английски език</v>
      </c>
      <c r="E71" s="12" t="str">
        <f>VLOOKUP('Програма-кодове'!I13,Списък!$A$1:$C$210,3,FALSE)</f>
        <v>физкултура</v>
      </c>
      <c r="F71" s="12" t="str">
        <f>VLOOKUP('Програма-кодове'!J13,Списък!$A$1:$C$210,3,FALSE)</f>
        <v>информатика</v>
      </c>
      <c r="H71" s="12"/>
      <c r="I71" s="12"/>
      <c r="J71" s="12"/>
      <c r="K71" s="12"/>
    </row>
    <row r="72" spans="1:11" ht="11.25" customHeight="1">
      <c r="A72" s="13">
        <v>6</v>
      </c>
      <c r="B72" s="12" t="str">
        <f>VLOOKUP('Програма-кодове'!F14,Списък!$A$1:$C$210,3,FALSE)</f>
        <v>философия</v>
      </c>
      <c r="C72" s="12" t="str">
        <f>VLOOKUP('Програма-кодове'!G14,Списък!$A$1:$C$210,3,FALSE)</f>
        <v>английски език</v>
      </c>
      <c r="D72" s="12" t="str">
        <f>VLOOKUP('Програма-кодове'!H14,Списък!$A$1:$C$210,3,FALSE)</f>
        <v>английски език</v>
      </c>
      <c r="E72" s="12" t="str">
        <f>VLOOKUP('Програма-кодове'!I14,Списък!$A$1:$C$210,3,FALSE)</f>
        <v>информатика</v>
      </c>
      <c r="F72" s="12" t="str">
        <f>VLOOKUP('Програма-кодове'!J14,Списък!$A$1:$C$210,3,FALSE)</f>
        <v>бълг. език</v>
      </c>
      <c r="H72" s="12"/>
      <c r="I72" s="12"/>
      <c r="J72" s="12"/>
      <c r="K72" s="12"/>
    </row>
    <row r="73" spans="1:11" ht="11.25" customHeight="1">
      <c r="A73" s="13">
        <v>7</v>
      </c>
      <c r="B73" s="12" t="str">
        <f>VLOOKUP('Програма-кодове'!F15,Списък!$A$1:$C$210,3,FALSE)</f>
        <v>музика</v>
      </c>
      <c r="C73" s="12" t="str">
        <f>VLOOKUP('Програма-кодове'!G15,Списък!$A$1:$C$210,3,FALSE)</f>
        <v>английски език</v>
      </c>
      <c r="D73" s="12" t="str">
        <f>VLOOKUP('Програма-кодове'!H15,Списък!$A$1:$C$210,3,FALSE)</f>
        <v>физкултура</v>
      </c>
      <c r="E73" s="12" t="str">
        <f>VLOOKUP('Програма-кодове'!I15,Списък!$A$1:$C$210,3,FALSE)</f>
        <v>бълг. език</v>
      </c>
      <c r="F73" s="12" t="str">
        <f>VLOOKUP('Програма-кодове'!J15,Списък!$A$1:$C$210,3,FALSE)</f>
        <v>бълг. език</v>
      </c>
      <c r="H73" s="12"/>
      <c r="I73" s="12"/>
      <c r="J73" s="12"/>
      <c r="K73" s="12"/>
    </row>
    <row r="74" spans="1:11" ht="11.25" customHeight="1">
      <c r="B74" s="12" t="e">
        <f>VLOOKUP('Програма-кодове'!#REF!,Списък!$A$1:$C$210,3,FALSE)</f>
        <v>#REF!</v>
      </c>
      <c r="H74" s="12"/>
      <c r="I74" s="12"/>
      <c r="J74" s="12"/>
      <c r="K74" s="12"/>
    </row>
    <row r="75" spans="1:11" ht="3" customHeight="1">
      <c r="A75" s="14"/>
      <c r="B75" s="15"/>
      <c r="C75" s="15"/>
      <c r="D75" s="15"/>
      <c r="E75" s="15"/>
      <c r="F75" s="15"/>
      <c r="H75" s="12"/>
      <c r="I75" s="12"/>
      <c r="J75" s="12"/>
      <c r="K75" s="12"/>
    </row>
    <row r="76" spans="1:11" s="43" customFormat="1" ht="11.25" customHeight="1">
      <c r="A76" s="13"/>
      <c r="B76" s="13" t="s">
        <v>5</v>
      </c>
      <c r="C76" s="13" t="s">
        <v>6</v>
      </c>
      <c r="D76" s="13" t="s">
        <v>7</v>
      </c>
      <c r="E76" s="13" t="s">
        <v>8</v>
      </c>
      <c r="F76" s="13" t="s">
        <v>9</v>
      </c>
      <c r="G76" s="12"/>
      <c r="H76" s="12"/>
      <c r="I76" s="12"/>
      <c r="J76" s="12"/>
      <c r="K76" s="12"/>
    </row>
    <row r="77" spans="1:11" ht="11.25" customHeight="1">
      <c r="A77" s="13">
        <v>1</v>
      </c>
      <c r="B77" s="12" t="str">
        <f>VLOOKUP('Програма-кодове'!K9,Списък!$A$1:$C$210,3,FALSE)</f>
        <v>математика</v>
      </c>
      <c r="C77" s="21" t="str">
        <f>VLOOKUP('Програма-кодове'!L9,Списък!$A$1:$C$210,3,FALSE)</f>
        <v>история</v>
      </c>
      <c r="D77" s="12" t="str">
        <f>VLOOKUP('Програма-кодове'!M9,Списък!$A$1:$C$210,3,FALSE)</f>
        <v>биология</v>
      </c>
      <c r="E77" s="12" t="str">
        <f>VLOOKUP('Програма-кодове'!N9,Списък!$A$1:$C$210,3,FALSE)</f>
        <v>физкултура</v>
      </c>
      <c r="F77" s="12" t="str">
        <f>VLOOKUP('Програма-кодове'!O9,Списък!$A$1:$C$210,3,FALSE)</f>
        <v>физика</v>
      </c>
      <c r="H77" s="12"/>
      <c r="I77" s="12"/>
      <c r="J77" s="12"/>
      <c r="K77" s="12"/>
    </row>
    <row r="78" spans="1:11" ht="11.25" customHeight="1">
      <c r="A78" s="13">
        <v>2</v>
      </c>
      <c r="B78" s="12" t="str">
        <f>VLOOKUP('Програма-кодове'!K10,Списък!$A$1:$C$210,3,FALSE)</f>
        <v>физика</v>
      </c>
      <c r="C78" s="21" t="str">
        <f>VLOOKUP('Програма-кодове'!L10,Списък!$A$1:$C$210,3,FALSE)</f>
        <v>математика</v>
      </c>
      <c r="D78" s="12" t="str">
        <f>VLOOKUP('Програма-кодове'!M10,Списък!$A$1:$C$210,3,FALSE)</f>
        <v>история</v>
      </c>
      <c r="E78" s="12" t="str">
        <f>VLOOKUP('Програма-кодове'!N10,Списък!$A$1:$C$210,3,FALSE)</f>
        <v>биология</v>
      </c>
      <c r="F78" s="12" t="str">
        <f>VLOOKUP('Програма-кодове'!O10,Списък!$A$1:$C$210,3,FALSE)</f>
        <v>физкултура</v>
      </c>
      <c r="H78" s="12"/>
      <c r="I78" s="12"/>
      <c r="J78" s="12"/>
      <c r="K78" s="12"/>
    </row>
    <row r="79" spans="1:11" ht="11.25" customHeight="1">
      <c r="A79" s="13">
        <v>3</v>
      </c>
      <c r="B79" s="12" t="str">
        <f>VLOOKUP('Програма-кодове'!K11,Списък!$A$1:$C$210,3,FALSE)</f>
        <v>история</v>
      </c>
      <c r="C79" s="21" t="str">
        <f>VLOOKUP('Програма-кодове'!L11,Списък!$A$1:$C$210,3,FALSE)</f>
        <v>математика</v>
      </c>
      <c r="D79" s="12" t="str">
        <f>VLOOKUP('Програма-кодове'!M11,Списък!$A$1:$C$210,3,FALSE)</f>
        <v>физкултура</v>
      </c>
      <c r="E79" s="12" t="str">
        <f>VLOOKUP('Програма-кодове'!N11,Списък!$A$1:$C$210,3,FALSE)</f>
        <v>бълг. език</v>
      </c>
      <c r="F79" s="12" t="str">
        <f>VLOOKUP('Програма-кодове'!O11,Списък!$A$1:$C$210,3,FALSE)</f>
        <v>биология</v>
      </c>
      <c r="H79" s="12"/>
      <c r="I79" s="12"/>
      <c r="J79" s="12"/>
      <c r="K79" s="12"/>
    </row>
    <row r="80" spans="1:11" ht="11.25" customHeight="1">
      <c r="A80" s="13">
        <v>4</v>
      </c>
      <c r="B80" s="12" t="str">
        <f>VLOOKUP('Програма-кодове'!K12,Списък!$A$1:$C$210,3,FALSE)</f>
        <v>английски език</v>
      </c>
      <c r="C80" s="21" t="str">
        <f>VLOOKUP('Програма-кодове'!L12,Списък!$A$1:$C$210,3,FALSE)</f>
        <v>биология</v>
      </c>
      <c r="D80" s="12" t="str">
        <f>VLOOKUP('Програма-кодове'!M12,Списък!$A$1:$C$210,3,FALSE)</f>
        <v>физика</v>
      </c>
      <c r="E80" s="12" t="str">
        <f>VLOOKUP('Програма-кодове'!N12,Списък!$A$1:$C$210,3,FALSE)</f>
        <v>бълг. език</v>
      </c>
      <c r="F80" s="12" t="str">
        <f>VLOOKUP('Програма-кодове'!O12,Списък!$A$1:$C$210,3,FALSE)</f>
        <v>география</v>
      </c>
      <c r="H80" s="12"/>
      <c r="I80" s="12"/>
      <c r="J80" s="12"/>
      <c r="K80" s="12"/>
    </row>
    <row r="81" spans="1:11" ht="11.25" customHeight="1">
      <c r="A81" s="13">
        <v>5</v>
      </c>
      <c r="B81" s="12" t="str">
        <f>VLOOKUP('Програма-кодове'!K13,Списък!$A$1:$C$210,3,FALSE)</f>
        <v>биология</v>
      </c>
      <c r="C81" s="21" t="str">
        <f>VLOOKUP('Програма-кодове'!L13,Списък!$A$1:$C$210,3,FALSE)</f>
        <v>английски език</v>
      </c>
      <c r="D81" s="12" t="str">
        <f>VLOOKUP('Програма-кодове'!M13,Списък!$A$1:$C$210,3,FALSE)</f>
        <v>информатика</v>
      </c>
      <c r="E81" s="12" t="str">
        <f>VLOOKUP('Програма-кодове'!N13,Списък!$A$1:$C$210,3,FALSE)</f>
        <v>физика</v>
      </c>
      <c r="F81" s="12" t="str">
        <f>VLOOKUP('Програма-кодове'!O13,Списък!$A$1:$C$210,3,FALSE)</f>
        <v>история</v>
      </c>
      <c r="H81" s="12"/>
      <c r="I81" s="12"/>
      <c r="J81" s="12"/>
      <c r="K81" s="12"/>
    </row>
    <row r="82" spans="1:11" ht="11.25" customHeight="1">
      <c r="A82" s="13">
        <v>6</v>
      </c>
      <c r="B82" s="12" t="str">
        <f>VLOOKUP('Програма-кодове'!K14,Списък!$A$1:$C$210,3,FALSE)</f>
        <v>философия</v>
      </c>
      <c r="C82" s="21" t="str">
        <f>VLOOKUP('Програма-кодове'!L14,Списък!$A$1:$C$210,3,FALSE)</f>
        <v>физика</v>
      </c>
      <c r="D82" s="12" t="str">
        <f>VLOOKUP('Програма-кодове'!M14,Списък!$A$1:$C$210,3,FALSE)</f>
        <v>бълг. език</v>
      </c>
      <c r="E82" s="12" t="str">
        <f>VLOOKUP('Програма-кодове'!N14,Списък!$A$1:$C$210,3,FALSE)</f>
        <v>информатика</v>
      </c>
      <c r="F82" s="12" t="str">
        <f>VLOOKUP('Програма-кодове'!O14,Списък!$A$1:$C$210,3,FALSE)</f>
        <v>английски език</v>
      </c>
      <c r="H82" s="12"/>
      <c r="I82" s="12"/>
      <c r="J82" s="12"/>
      <c r="K82" s="12"/>
    </row>
    <row r="83" spans="1:11" ht="11.25" customHeight="1">
      <c r="A83" s="13">
        <v>7</v>
      </c>
      <c r="B83" s="12" t="str">
        <f>VLOOKUP('Програма-кодове'!K15,Списък!$A$1:$C$210,3,FALSE)</f>
        <v>информатика</v>
      </c>
      <c r="C83" s="21" t="str">
        <f>VLOOKUP('Програма-кодове'!L15,Списък!$A$1:$C$210,3,FALSE)</f>
        <v>физкултура</v>
      </c>
      <c r="D83" s="12" t="str">
        <f>VLOOKUP('Програма-кодове'!M15,Списък!$A$1:$C$210,3,FALSE)</f>
        <v>бълг. език</v>
      </c>
      <c r="E83" s="12" t="str">
        <f>VLOOKUP('Програма-кодове'!N15,Списък!$A$1:$C$210,3,FALSE)</f>
        <v>история</v>
      </c>
      <c r="F83" s="12" t="str">
        <f>VLOOKUP('Програма-кодове'!O15,Списък!$A$1:$C$210,3,FALSE)</f>
        <v>математика</v>
      </c>
      <c r="H83" s="12"/>
      <c r="I83" s="12"/>
      <c r="J83" s="12"/>
      <c r="K83" s="12"/>
    </row>
    <row r="84" spans="1:11" ht="11.25" customHeight="1">
      <c r="C84" s="21"/>
      <c r="H84" s="12"/>
      <c r="I84" s="12"/>
      <c r="J84" s="12"/>
      <c r="K84" s="12"/>
    </row>
    <row r="85" spans="1:11" ht="3" customHeight="1">
      <c r="A85" s="14"/>
      <c r="B85" s="15"/>
      <c r="C85" s="15"/>
      <c r="D85" s="15"/>
      <c r="E85" s="15"/>
      <c r="F85" s="15"/>
      <c r="H85" s="12"/>
      <c r="I85" s="12"/>
      <c r="J85" s="12"/>
      <c r="K85" s="12"/>
    </row>
    <row r="86" spans="1:11" s="43" customFormat="1" ht="11.25" customHeight="1">
      <c r="A86" s="13"/>
      <c r="B86" s="13" t="s">
        <v>10</v>
      </c>
      <c r="C86" s="13" t="s">
        <v>11</v>
      </c>
      <c r="D86" s="13" t="s">
        <v>12</v>
      </c>
      <c r="E86" s="13" t="s">
        <v>13</v>
      </c>
      <c r="F86" s="13" t="s">
        <v>14</v>
      </c>
      <c r="G86" s="12"/>
      <c r="H86" s="12"/>
      <c r="I86" s="12"/>
      <c r="J86" s="12"/>
      <c r="K86" s="12"/>
    </row>
    <row r="87" spans="1:11" ht="11.25" customHeight="1">
      <c r="A87" s="13">
        <v>1</v>
      </c>
      <c r="B87" s="12" t="str">
        <f>VLOOKUP('Програма-кодове'!P9,Списък!$A$1:$C$209,3,FALSE)</f>
        <v>математика</v>
      </c>
      <c r="C87" s="21" t="str">
        <f>VLOOKUP('Програма-кодове'!Q9,Списък!$A$1:$C$209,3,FALSE)</f>
        <v>английски език</v>
      </c>
      <c r="D87" s="12" t="str">
        <f>VLOOKUP('Програма-кодове'!R9,Списък!$A$1:$C$209,3,FALSE)</f>
        <v>математика</v>
      </c>
      <c r="E87" s="12" t="str">
        <f>VLOOKUP('Програма-кодове'!S9,Списък!$A$1:$C$209,3,FALSE)</f>
        <v>информатика</v>
      </c>
      <c r="F87" s="12" t="str">
        <f>VLOOKUP('Програма-кодове'!T9,Списък!$A$1:$C$209,3,FALSE)</f>
        <v>философия</v>
      </c>
      <c r="H87" s="12"/>
      <c r="I87" s="12"/>
      <c r="J87" s="12"/>
      <c r="K87" s="12"/>
    </row>
    <row r="88" spans="1:11" ht="11.25" customHeight="1">
      <c r="A88" s="13">
        <v>2</v>
      </c>
      <c r="B88" s="12" t="str">
        <f>VLOOKUP('Програма-кодове'!P10,Списък!$A$1:$C$209,3,FALSE)</f>
        <v>информатика</v>
      </c>
      <c r="C88" s="21" t="str">
        <f>VLOOKUP('Програма-кодове'!Q10,Списък!$A$1:$C$209,3,FALSE)</f>
        <v>английски език</v>
      </c>
      <c r="D88" s="12" t="str">
        <f>VLOOKUP('Програма-кодове'!R10,Списък!$A$1:$C$209,3,FALSE)</f>
        <v>математика</v>
      </c>
      <c r="E88" s="12" t="str">
        <f>VLOOKUP('Програма-кодове'!S10,Списък!$A$1:$C$209,3,FALSE)</f>
        <v>география</v>
      </c>
      <c r="F88" s="12" t="str">
        <f>VLOOKUP('Програма-кодове'!T10,Списък!$A$1:$C$209,3,FALSE)</f>
        <v>бълг. език</v>
      </c>
      <c r="H88" s="12"/>
      <c r="I88" s="12"/>
      <c r="J88" s="12"/>
      <c r="K88" s="12"/>
    </row>
    <row r="89" spans="1:11" ht="11.25" customHeight="1">
      <c r="A89" s="13">
        <v>3</v>
      </c>
      <c r="B89" s="12" t="str">
        <f>VLOOKUP('Програма-кодове'!P11,Списък!$A$1:$C$209,3,FALSE)</f>
        <v>физика</v>
      </c>
      <c r="C89" s="21" t="str">
        <f>VLOOKUP('Програма-кодове'!Q11,Списък!$A$1:$C$209,3,FALSE)</f>
        <v>информатика</v>
      </c>
      <c r="D89" s="12" t="str">
        <f>VLOOKUP('Програма-кодове'!R11,Списък!$A$1:$C$209,3,FALSE)</f>
        <v>физика</v>
      </c>
      <c r="E89" s="12" t="str">
        <f>VLOOKUP('Програма-кодове'!S11,Списък!$A$1:$C$209,3,FALSE)</f>
        <v>физкултура</v>
      </c>
      <c r="F89" s="12" t="str">
        <f>VLOOKUP('Програма-кодове'!T11,Списък!$A$1:$C$209,3,FALSE)</f>
        <v>бълг. език</v>
      </c>
      <c r="H89" s="12"/>
      <c r="I89" s="12"/>
      <c r="J89" s="12"/>
      <c r="K89" s="12"/>
    </row>
    <row r="90" spans="1:11" ht="11.25" customHeight="1">
      <c r="A90" s="13">
        <v>4</v>
      </c>
      <c r="B90" s="12" t="str">
        <f>VLOOKUP('Програма-кодове'!P12,Списък!$A$1:$C$209,3,FALSE)</f>
        <v>бълг. език</v>
      </c>
      <c r="C90" s="21" t="str">
        <f>VLOOKUP('Програма-кодове'!Q12,Списък!$A$1:$C$209,3,FALSE)</f>
        <v>физкултура</v>
      </c>
      <c r="D90" s="12" t="str">
        <f>VLOOKUP('Програма-кодове'!R12,Списък!$A$1:$C$209,3,FALSE)</f>
        <v>информатика</v>
      </c>
      <c r="E90" s="12" t="str">
        <f>VLOOKUP('Програма-кодове'!S12,Списък!$A$1:$C$209,3,FALSE)</f>
        <v>немски език</v>
      </c>
      <c r="F90" s="12" t="str">
        <f>VLOOKUP('Програма-кодове'!T12,Списък!$A$1:$C$209,3,FALSE)</f>
        <v>биология</v>
      </c>
      <c r="H90" s="12"/>
      <c r="I90" s="12"/>
      <c r="J90" s="12"/>
      <c r="K90" s="12"/>
    </row>
    <row r="91" spans="1:11" ht="11.25" customHeight="1">
      <c r="A91" s="13">
        <v>5</v>
      </c>
      <c r="B91" s="12" t="str">
        <f>VLOOKUP('Програма-кодове'!P13,Списък!$A$1:$C$209,3,FALSE)</f>
        <v>бълг. език</v>
      </c>
      <c r="C91" s="21" t="str">
        <f>VLOOKUP('Програма-кодове'!Q13,Списък!$A$1:$C$209,3,FALSE)</f>
        <v>математика</v>
      </c>
      <c r="D91" s="12" t="str">
        <f>VLOOKUP('Програма-кодове'!R13,Списък!$A$1:$C$209,3,FALSE)</f>
        <v>философия</v>
      </c>
      <c r="E91" s="12" t="str">
        <f>VLOOKUP('Програма-кодове'!S13,Списък!$A$1:$C$209,3,FALSE)</f>
        <v>немски език</v>
      </c>
      <c r="F91" s="12" t="str">
        <f>VLOOKUP('Програма-кодове'!T13,Списък!$A$1:$C$209,3,FALSE)</f>
        <v>химия</v>
      </c>
      <c r="H91" s="12"/>
      <c r="I91" s="12"/>
      <c r="J91" s="12"/>
      <c r="K91" s="12"/>
    </row>
    <row r="92" spans="1:11" ht="11.25" customHeight="1">
      <c r="A92" s="13">
        <v>6</v>
      </c>
      <c r="B92" s="12" t="str">
        <f>VLOOKUP('Програма-кодове'!P14,Списък!$A$1:$C$209,3,FALSE)</f>
        <v>физкултура</v>
      </c>
      <c r="C92" s="21" t="str">
        <f>VLOOKUP('Програма-кодове'!Q14,Списък!$A$1:$C$209,3,FALSE)</f>
        <v>химия</v>
      </c>
      <c r="D92" s="12" t="str">
        <f>VLOOKUP('Програма-кодове'!R14,Списък!$A$1:$C$209,3,FALSE)</f>
        <v>английски език</v>
      </c>
      <c r="E92" s="12" t="str">
        <f>VLOOKUP('Програма-кодове'!S14,Списък!$A$1:$C$209,3,FALSE)</f>
        <v>математика</v>
      </c>
      <c r="F92" s="12" t="str">
        <f>VLOOKUP('Програма-кодове'!T14,Списък!$A$1:$C$209,3,FALSE)</f>
        <v>ІІ - ри чужд език</v>
      </c>
      <c r="H92" s="12"/>
      <c r="I92" s="12"/>
      <c r="J92" s="12"/>
      <c r="K92" s="12"/>
    </row>
    <row r="93" spans="1:11" ht="11.25" customHeight="1">
      <c r="A93" s="13">
        <v>7</v>
      </c>
      <c r="B93" s="12" t="str">
        <f>VLOOKUP('Програма-кодове'!P15,Списък!$A$1:$C$209,3,FALSE)</f>
        <v>философия</v>
      </c>
      <c r="C93" s="21" t="str">
        <f>VLOOKUP('Програма-кодове'!Q15,Списък!$A$1:$C$209,3,FALSE)</f>
        <v>биология</v>
      </c>
      <c r="D93" s="12" t="str">
        <f>VLOOKUP('Програма-кодове'!R15,Списък!$A$1:$C$209,3,FALSE)</f>
        <v>английски език</v>
      </c>
      <c r="E93" s="12" t="str">
        <f>VLOOKUP('Програма-кодове'!S15,Списък!$A$1:$C$209,3,FALSE)</f>
        <v>химия</v>
      </c>
      <c r="F93" s="12" t="str">
        <f>VLOOKUP('Програма-кодове'!T15,Списък!$A$1:$C$209,3,FALSE)</f>
        <v>ІІ - ри чужд език</v>
      </c>
      <c r="H93" s="12"/>
      <c r="I93" s="12"/>
      <c r="J93" s="12"/>
      <c r="K93" s="12"/>
    </row>
    <row r="94" spans="1:11" ht="3" customHeight="1">
      <c r="A94" s="14"/>
      <c r="B94" s="15"/>
      <c r="C94" s="15"/>
      <c r="D94" s="15"/>
      <c r="E94" s="15"/>
      <c r="F94" s="15"/>
      <c r="H94" s="12"/>
      <c r="I94" s="12"/>
      <c r="J94" s="12"/>
      <c r="K94" s="12"/>
    </row>
    <row r="95" spans="1:11" s="43" customFormat="1" ht="11.25" customHeight="1">
      <c r="A95" s="13"/>
      <c r="B95" s="13" t="s">
        <v>15</v>
      </c>
      <c r="C95" s="13" t="s">
        <v>16</v>
      </c>
      <c r="D95" s="43" t="s">
        <v>17</v>
      </c>
      <c r="E95" s="13" t="s">
        <v>46</v>
      </c>
      <c r="F95" s="13" t="s">
        <v>18</v>
      </c>
      <c r="G95" s="12"/>
      <c r="H95" s="12"/>
      <c r="I95" s="12"/>
      <c r="J95" s="12"/>
      <c r="K95" s="12"/>
    </row>
    <row r="96" spans="1:11" ht="11.25" customHeight="1">
      <c r="A96" s="13">
        <v>1</v>
      </c>
      <c r="B96" s="21" t="str">
        <f>VLOOKUP('Програма-кодове'!U9,Списък!$A$1:$C$209,3,FALSE)</f>
        <v>информатика</v>
      </c>
      <c r="C96" s="12" t="str">
        <f>VLOOKUP('Програма-кодове'!V9,Списък!$A$1:$C$209,3,FALSE)</f>
        <v>физика</v>
      </c>
      <c r="D96" s="21" t="str">
        <f>VLOOKUP('Програма-кодове'!W9,Списък!$A$1:$C$209,3,FALSE)</f>
        <v>английски език</v>
      </c>
      <c r="E96" s="12" t="str">
        <f>VLOOKUP('Програма-кодове'!X9,Списък!$A$1:$C$209,3,FALSE)</f>
        <v>немски език</v>
      </c>
      <c r="F96" s="12" t="str">
        <f>VLOOKUP('Програма-кодове'!Y9,Списък!$A$1:$C$209,3,FALSE)</f>
        <v>химия</v>
      </c>
      <c r="H96" s="12"/>
      <c r="I96" s="12"/>
      <c r="J96" s="12"/>
      <c r="K96" s="12"/>
    </row>
    <row r="97" spans="1:11" ht="11.25" customHeight="1">
      <c r="A97" s="13">
        <v>2</v>
      </c>
      <c r="B97" s="21" t="str">
        <f>VLOOKUP('Програма-кодове'!U10,Списък!$A$1:$C$209,3,FALSE)</f>
        <v>физика</v>
      </c>
      <c r="C97" s="12" t="str">
        <f>VLOOKUP('Програма-кодове'!V10,Списък!$A$1:$C$209,3,FALSE)</f>
        <v>химия</v>
      </c>
      <c r="D97" s="21" t="str">
        <f>VLOOKUP('Програма-кодове'!W10,Списък!$A$1:$C$209,3,FALSE)</f>
        <v>английски език</v>
      </c>
      <c r="E97" s="12" t="str">
        <f>VLOOKUP('Програма-кодове'!X10,Списък!$A$1:$C$209,3,FALSE)</f>
        <v>информатика</v>
      </c>
      <c r="F97" s="12" t="str">
        <f>VLOOKUP('Програма-кодове'!Y10,Списък!$A$1:$C$209,3,FALSE)</f>
        <v>химия</v>
      </c>
      <c r="H97" s="12"/>
      <c r="I97" s="12"/>
      <c r="J97" s="12"/>
      <c r="K97" s="12"/>
    </row>
    <row r="98" spans="1:11" ht="11.25" customHeight="1">
      <c r="A98" s="13">
        <v>3</v>
      </c>
      <c r="B98" s="21" t="str">
        <f>VLOOKUP('Програма-кодове'!U11,Списък!$A$1:$C$209,3,FALSE)</f>
        <v>география</v>
      </c>
      <c r="C98" s="12" t="str">
        <f>VLOOKUP('Програма-кодове'!V11,Списък!$A$1:$C$209,3,FALSE)</f>
        <v>информатика</v>
      </c>
      <c r="D98" s="21" t="str">
        <f>VLOOKUP('Програма-кодове'!W11,Списък!$A$1:$C$209,3,FALSE)</f>
        <v>химия</v>
      </c>
      <c r="E98" s="12" t="str">
        <f>VLOOKUP('Програма-кодове'!X11,Списък!$A$1:$C$209,3,FALSE)</f>
        <v>философия</v>
      </c>
      <c r="F98" s="12" t="str">
        <f>VLOOKUP('Програма-кодове'!Y11,Списък!$A$1:$C$209,3,FALSE)</f>
        <v>биология</v>
      </c>
      <c r="H98" s="12"/>
      <c r="I98" s="12"/>
      <c r="J98" s="12"/>
      <c r="K98" s="12"/>
    </row>
    <row r="99" spans="1:11" ht="11.25" customHeight="1">
      <c r="A99" s="13">
        <v>4</v>
      </c>
      <c r="B99" s="21" t="str">
        <f>VLOOKUP('Програма-кодове'!U12,Списък!$A$1:$C$209,3,FALSE)</f>
        <v>химия</v>
      </c>
      <c r="C99" s="12" t="str">
        <f>VLOOKUP('Програма-кодове'!V12,Списък!$A$1:$C$209,3,FALSE)</f>
        <v>английски език</v>
      </c>
      <c r="D99" s="21" t="str">
        <f>VLOOKUP('Програма-кодове'!W12,Списък!$A$1:$C$209,3,FALSE)</f>
        <v>информатика</v>
      </c>
      <c r="E99" s="12" t="str">
        <f>VLOOKUP('Програма-кодове'!X12,Списък!$A$1:$C$209,3,FALSE)</f>
        <v>математика</v>
      </c>
      <c r="F99" s="12" t="str">
        <f>VLOOKUP('Програма-кодове'!Y12,Списък!$A$1:$C$209,3,FALSE)</f>
        <v>физкултура</v>
      </c>
      <c r="H99" s="12"/>
      <c r="I99" s="12"/>
      <c r="J99" s="12"/>
      <c r="K99" s="12"/>
    </row>
    <row r="100" spans="1:11" ht="11.25" customHeight="1">
      <c r="A100" s="13">
        <v>5</v>
      </c>
      <c r="B100" s="21" t="str">
        <f>VLOOKUP('Програма-кодове'!U13,Списък!$A$1:$C$209,3,FALSE)</f>
        <v>бълг. език</v>
      </c>
      <c r="C100" s="12" t="str">
        <f>VLOOKUP('Програма-кодове'!V13,Списък!$A$1:$C$209,3,FALSE)</f>
        <v>английски език</v>
      </c>
      <c r="D100" s="21" t="str">
        <f>VLOOKUP('Програма-кодове'!W13,Списък!$A$1:$C$209,3,FALSE)</f>
        <v>биология</v>
      </c>
      <c r="E100" s="12" t="str">
        <f>VLOOKUP('Програма-кодове'!X13,Списък!$A$1:$C$209,3,FALSE)</f>
        <v>физика</v>
      </c>
      <c r="F100" s="12" t="str">
        <f>VLOOKUP('Програма-кодове'!Y13,Списък!$A$1:$C$209,3,FALSE)</f>
        <v>математика</v>
      </c>
      <c r="H100" s="12"/>
      <c r="I100" s="12"/>
      <c r="J100" s="12"/>
      <c r="K100" s="12"/>
    </row>
    <row r="101" spans="1:11" ht="11.25" customHeight="1">
      <c r="A101" s="13">
        <v>6</v>
      </c>
      <c r="B101" s="21" t="str">
        <f>VLOOKUP('Програма-кодове'!U14,Списък!$A$1:$C$209,3,FALSE)</f>
        <v>математика</v>
      </c>
      <c r="C101" s="12" t="str">
        <f>VLOOKUP('Програма-кодове'!V14,Списък!$A$1:$C$209,3,FALSE)</f>
        <v>бълг. език</v>
      </c>
      <c r="D101" s="21" t="str">
        <f>VLOOKUP('Програма-кодове'!W14,Списък!$A$1:$C$209,3,FALSE)</f>
        <v>математика</v>
      </c>
      <c r="E101" s="12" t="str">
        <f>VLOOKUP('Програма-кодове'!X14,Списък!$A$1:$C$209,3,FALSE)</f>
        <v>английски език</v>
      </c>
      <c r="F101" s="12" t="str">
        <f>VLOOKUP('Програма-кодове'!Y14,Списък!$A$1:$C$209,3,FALSE)</f>
        <v>физика</v>
      </c>
      <c r="H101" s="12"/>
      <c r="I101" s="12"/>
      <c r="J101" s="12"/>
      <c r="K101" s="12"/>
    </row>
    <row r="102" spans="1:11" ht="11.25" customHeight="1">
      <c r="A102" s="13">
        <v>7</v>
      </c>
      <c r="B102" s="21" t="str">
        <f>VLOOKUP('Програма-кодове'!U15,Списък!$A$1:$C$209,3,FALSE)</f>
        <v>математика</v>
      </c>
      <c r="C102" s="12" t="str">
        <f>VLOOKUP('Програма-кодове'!V15,Списък!$A$1:$C$209,3,FALSE)</f>
        <v>математика</v>
      </c>
      <c r="D102" s="21" t="str">
        <f>VLOOKUP('Програма-кодове'!W15,Списък!$A$1:$C$209,3,FALSE)</f>
        <v>физика</v>
      </c>
      <c r="E102" s="12" t="str">
        <f>VLOOKUP('Програма-кодове'!X15,Списък!$A$1:$C$209,3,FALSE)</f>
        <v>английски език</v>
      </c>
      <c r="F102" s="12" t="str">
        <f>VLOOKUP('Програма-кодове'!Y15,Списък!$A$1:$C$209,3,FALSE)</f>
        <v>бълг. език</v>
      </c>
      <c r="H102" s="12"/>
      <c r="I102" s="12"/>
      <c r="J102" s="12"/>
      <c r="K102" s="12"/>
    </row>
    <row r="103" spans="1:11" ht="3" customHeight="1">
      <c r="A103" s="14"/>
      <c r="B103" s="15"/>
      <c r="C103" s="15"/>
      <c r="D103" s="15"/>
      <c r="E103" s="15"/>
      <c r="F103" s="15"/>
      <c r="H103" s="12"/>
      <c r="I103" s="12"/>
      <c r="J103" s="12"/>
      <c r="K103" s="12"/>
    </row>
    <row r="104" spans="1:11" s="43" customFormat="1" ht="11.25" customHeight="1">
      <c r="A104" s="13"/>
      <c r="B104" s="13" t="s">
        <v>48</v>
      </c>
      <c r="C104" s="13" t="s">
        <v>49</v>
      </c>
      <c r="D104" s="13" t="s">
        <v>50</v>
      </c>
      <c r="E104" s="13" t="s">
        <v>51</v>
      </c>
      <c r="F104" s="13" t="s">
        <v>52</v>
      </c>
      <c r="G104" s="12"/>
      <c r="H104" s="12"/>
      <c r="I104" s="12"/>
      <c r="J104" s="12"/>
      <c r="K104" s="12"/>
    </row>
    <row r="105" spans="1:11" ht="11.25" customHeight="1">
      <c r="A105" s="13">
        <v>1</v>
      </c>
      <c r="B105" s="12" t="str">
        <f>VLOOKUP('Програма-кодове'!Z9,Списък!$A$1:$C$209,3,FALSE)</f>
        <v>информатика</v>
      </c>
      <c r="C105" s="12" t="str">
        <f>VLOOKUP('Програма-кодове'!AA9,Списък!$A$1:$C$209,3,FALSE)</f>
        <v>география</v>
      </c>
      <c r="D105" s="12" t="str">
        <f>VLOOKUP('Програма-кодове'!AB9,Списък!$A$1:$C$209,3,FALSE)</f>
        <v>математика</v>
      </c>
      <c r="E105" s="12" t="str">
        <f>VLOOKUP('Програма-кодове'!AC9,Списък!$A$1:$C$209,3,FALSE)</f>
        <v>бълг. език</v>
      </c>
      <c r="F105" s="12" t="str">
        <f>VLOOKUP('Програма-кодове'!AD9,Списък!$A$1:$C$209,3,FALSE)</f>
        <v>английски език</v>
      </c>
      <c r="H105" s="12"/>
      <c r="I105" s="12"/>
      <c r="J105" s="12"/>
      <c r="K105" s="12"/>
    </row>
    <row r="106" spans="1:11" ht="11.25" customHeight="1">
      <c r="A106" s="13">
        <v>2</v>
      </c>
      <c r="B106" s="12" t="str">
        <f>VLOOKUP('Програма-кодове'!Z10,Списък!$A$1:$C$209,3,FALSE)</f>
        <v>география</v>
      </c>
      <c r="C106" s="12" t="str">
        <f>VLOOKUP('Програма-кодове'!AA10,Списък!$A$1:$C$209,3,FALSE)</f>
        <v>информатика</v>
      </c>
      <c r="D106" s="12" t="str">
        <f>VLOOKUP('Програма-кодове'!AB10,Списък!$A$1:$C$209,3,FALSE)</f>
        <v>математика</v>
      </c>
      <c r="E106" s="12" t="str">
        <f>VLOOKUP('Програма-кодове'!AC10,Списък!$A$1:$C$209,3,FALSE)</f>
        <v>бълг. език</v>
      </c>
      <c r="F106" s="12" t="str">
        <f>VLOOKUP('Програма-кодове'!AD10,Списък!$A$1:$C$209,3,FALSE)</f>
        <v>английски език</v>
      </c>
      <c r="H106" s="12"/>
      <c r="I106" s="12"/>
      <c r="J106" s="12"/>
      <c r="K106" s="12"/>
    </row>
    <row r="107" spans="1:11" ht="11.25" customHeight="1">
      <c r="A107" s="13">
        <v>3</v>
      </c>
      <c r="B107" s="12" t="str">
        <f>VLOOKUP('Програма-кодове'!Z11,Списък!$A$1:$C$209,3,FALSE)</f>
        <v>английски език</v>
      </c>
      <c r="C107" s="12" t="str">
        <f>VLOOKUP('Програма-кодове'!AA11,Списък!$A$1:$C$209,3,FALSE)</f>
        <v>бълг. език</v>
      </c>
      <c r="D107" s="12" t="str">
        <f>VLOOKUP('Програма-кодове'!AB11,Списък!$A$1:$C$209,3,FALSE)</f>
        <v>информатика</v>
      </c>
      <c r="E107" s="12" t="str">
        <f>VLOOKUP('Програма-кодове'!AC11,Списък!$A$1:$C$209,3,FALSE)</f>
        <v>математика</v>
      </c>
      <c r="F107" s="12" t="str">
        <f>VLOOKUP('Програма-кодове'!AD11,Списък!$A$1:$C$209,3,FALSE)</f>
        <v>география</v>
      </c>
      <c r="H107" s="12"/>
      <c r="I107" s="12"/>
      <c r="J107" s="12"/>
      <c r="K107" s="12"/>
    </row>
    <row r="108" spans="1:11" ht="11.25" customHeight="1">
      <c r="A108" s="13">
        <v>4</v>
      </c>
      <c r="B108" s="12" t="str">
        <f>VLOOKUP('Програма-кодове'!Z12,Списък!$A$1:$C$209,3,FALSE)</f>
        <v>математика</v>
      </c>
      <c r="C108" s="12" t="str">
        <f>VLOOKUP('Програма-кодове'!AA12,Списък!$A$1:$C$209,3,FALSE)</f>
        <v>бълг. език</v>
      </c>
      <c r="D108" s="12" t="str">
        <f>VLOOKUP('Програма-кодове'!AB12,Списък!$A$1:$C$209,3,FALSE)</f>
        <v>английски език</v>
      </c>
      <c r="E108" s="12" t="str">
        <f>VLOOKUP('Програма-кодове'!AC12,Списък!$A$1:$C$209,3,FALSE)</f>
        <v>информатика</v>
      </c>
      <c r="F108" s="12" t="str">
        <f>VLOOKUP('Програма-кодове'!AD12,Списък!$A$1:$C$209,3,FALSE)</f>
        <v>математика</v>
      </c>
      <c r="H108" s="12"/>
      <c r="I108" s="12"/>
      <c r="J108" s="12"/>
      <c r="K108" s="12"/>
    </row>
    <row r="109" spans="1:11" ht="11.25" customHeight="1">
      <c r="A109" s="13">
        <v>5</v>
      </c>
      <c r="B109" s="12" t="str">
        <f>VLOOKUP('Програма-кодове'!Z13,Списък!$A$1:$C$209,3,FALSE)</f>
        <v>математика</v>
      </c>
      <c r="C109" s="12" t="str">
        <f>VLOOKUP('Програма-кодове'!AA13,Списък!$A$1:$C$209,3,FALSE)</f>
        <v>философия</v>
      </c>
      <c r="D109" s="12" t="str">
        <f>VLOOKUP('Програма-кодове'!AB13,Списък!$A$1:$C$209,3,FALSE)</f>
        <v>английски език</v>
      </c>
      <c r="E109" s="12" t="str">
        <f>VLOOKUP('Програма-кодове'!AC13,Списък!$A$1:$C$209,3,FALSE)</f>
        <v>история</v>
      </c>
      <c r="F109" s="12" t="str">
        <f>VLOOKUP('Програма-кодове'!AD13,Списък!$A$1:$C$209,3,FALSE)</f>
        <v>физкултура</v>
      </c>
      <c r="H109" s="12"/>
      <c r="I109" s="12"/>
      <c r="J109" s="12"/>
      <c r="K109" s="12"/>
    </row>
    <row r="110" spans="1:11" ht="11.25" customHeight="1">
      <c r="A110" s="13">
        <v>6</v>
      </c>
      <c r="B110" s="12" t="str">
        <f>VLOOKUP('Програма-кодове'!Z14,Списък!$A$1:$C$209,3,FALSE)</f>
        <v>физкултура</v>
      </c>
      <c r="C110" s="12" t="str">
        <f>VLOOKUP('Програма-кодове'!AA14,Списък!$A$1:$C$209,3,FALSE)</f>
        <v>математика</v>
      </c>
      <c r="D110" s="12" t="str">
        <f>VLOOKUP('Програма-кодове'!AB14,Списък!$A$1:$C$209,3,FALSE)</f>
        <v>география</v>
      </c>
      <c r="E110" s="12" t="str">
        <f>VLOOKUP('Програма-кодове'!AC14,Списък!$A$1:$C$209,3,FALSE)</f>
        <v>английски език</v>
      </c>
      <c r="F110" s="12" t="str">
        <f>VLOOKUP('Програма-кодове'!AD14,Списък!$A$1:$C$209,3,FALSE)</f>
        <v>история</v>
      </c>
      <c r="H110" s="12"/>
      <c r="I110" s="12"/>
      <c r="J110" s="12"/>
      <c r="K110" s="12"/>
    </row>
    <row r="111" spans="1:11" ht="11.25" customHeight="1">
      <c r="A111" s="13">
        <v>7</v>
      </c>
      <c r="B111" s="12" t="str">
        <f>VLOOKUP('Програма-кодове'!Z15,Списък!$A$1:$C$209,3,FALSE)</f>
        <v>философия</v>
      </c>
      <c r="C111" s="12" t="str">
        <f>VLOOKUP('Програма-кодове'!AA15,Списък!$A$1:$C$209,3,FALSE)</f>
        <v>математика</v>
      </c>
      <c r="D111" s="12" t="str">
        <f>VLOOKUP('Програма-кодове'!AB15,Списък!$A$1:$C$209,3,FALSE)</f>
        <v>история</v>
      </c>
      <c r="E111" s="12" t="str">
        <f>VLOOKUP('Програма-кодове'!AC15,Списък!$A$1:$C$209,3,FALSE)</f>
        <v>английски език</v>
      </c>
      <c r="F111" s="12" t="str">
        <f>VLOOKUP('Програма-кодове'!AD15,Списък!$A$1:$C$209,3,FALSE)</f>
        <v>биология</v>
      </c>
      <c r="H111" s="12"/>
      <c r="I111" s="12"/>
      <c r="J111" s="12"/>
      <c r="K111" s="12"/>
    </row>
    <row r="112" spans="1:11" ht="3" customHeight="1">
      <c r="A112" s="125"/>
      <c r="B112" s="97"/>
      <c r="C112" s="97"/>
      <c r="D112" s="97"/>
      <c r="E112" s="97"/>
      <c r="F112" s="97"/>
      <c r="H112" s="12"/>
      <c r="I112" s="12"/>
      <c r="J112" s="12"/>
      <c r="K112" s="12"/>
    </row>
    <row r="113" spans="1:11" ht="24" customHeight="1" thickBot="1">
      <c r="A113" s="355" t="s">
        <v>26</v>
      </c>
      <c r="B113" s="355"/>
      <c r="C113" s="355"/>
      <c r="D113" s="355"/>
      <c r="E113" s="355"/>
      <c r="F113" s="355"/>
      <c r="H113" s="12"/>
      <c r="I113" s="12"/>
      <c r="J113" s="12"/>
      <c r="K113" s="12"/>
    </row>
    <row r="114" spans="1:11" s="43" customFormat="1" ht="11.25" customHeight="1" thickTop="1">
      <c r="A114" s="13"/>
      <c r="B114" s="13">
        <v>5</v>
      </c>
      <c r="C114" s="13">
        <v>6</v>
      </c>
      <c r="D114" s="13">
        <v>7</v>
      </c>
      <c r="E114" s="13"/>
      <c r="F114" s="13"/>
      <c r="G114" s="12"/>
      <c r="H114" s="12"/>
      <c r="I114" s="12"/>
      <c r="J114" s="12"/>
      <c r="K114" s="12"/>
    </row>
    <row r="115" spans="1:11" ht="11.25" customHeight="1">
      <c r="A115" s="13">
        <v>1</v>
      </c>
      <c r="B115" s="12" t="str">
        <f>VLOOKUP('Програма-кодове'!C16,Списък!$A$1:$C$210,3,FALSE)</f>
        <v>музика</v>
      </c>
      <c r="C115" s="12" t="str">
        <f>VLOOKUP('Програма-кодове'!D16,Списък!$A$1:$C$210,3,FALSE)</f>
        <v>математика</v>
      </c>
      <c r="D115" s="12" t="str">
        <f>VLOOKUP('Програма-кодове'!E16,Списък!$A$1:$C$210,3,FALSE)</f>
        <v>ИТ/ТП</v>
      </c>
      <c r="H115" s="12"/>
      <c r="I115" s="12"/>
      <c r="J115" s="12"/>
      <c r="K115" s="12"/>
    </row>
    <row r="116" spans="1:11" ht="11.25" customHeight="1">
      <c r="A116" s="13">
        <v>2</v>
      </c>
      <c r="B116" s="12" t="str">
        <f>VLOOKUP('Програма-кодове'!C17,Списък!$A$1:$C$210,3,FALSE)</f>
        <v>математика</v>
      </c>
      <c r="C116" s="12" t="str">
        <f>VLOOKUP('Програма-кодове'!D17,Списък!$A$1:$C$210,3,FALSE)</f>
        <v>ИТ/ТП</v>
      </c>
      <c r="D116" s="12" t="str">
        <f>VLOOKUP('Програма-кодове'!E17,Списък!$A$1:$C$210,3,FALSE)</f>
        <v>математика</v>
      </c>
      <c r="H116" s="12"/>
      <c r="I116" s="12"/>
      <c r="J116" s="12"/>
      <c r="K116" s="12"/>
    </row>
    <row r="117" spans="1:11" ht="11.25" customHeight="1">
      <c r="A117" s="13">
        <v>3</v>
      </c>
      <c r="B117" s="12" t="str">
        <f>VLOOKUP('Програма-кодове'!C18,Списък!$A$1:$C$210,3,FALSE)</f>
        <v>английски език</v>
      </c>
      <c r="C117" s="12" t="str">
        <f>VLOOKUP('Програма-кодове'!D18,Списък!$A$1:$C$210,3,FALSE)</f>
        <v>бълг. език</v>
      </c>
      <c r="D117" s="12" t="str">
        <f>VLOOKUP('Програма-кодове'!E18,Списък!$A$1:$C$210,3,FALSE)</f>
        <v>ИТ/ТП</v>
      </c>
      <c r="H117" s="12"/>
      <c r="I117" s="12"/>
      <c r="J117" s="12"/>
      <c r="K117" s="12"/>
    </row>
    <row r="118" spans="1:11" ht="11.25" customHeight="1">
      <c r="A118" s="13">
        <v>4</v>
      </c>
      <c r="B118" s="12" t="str">
        <f>VLOOKUP('Програма-кодове'!C19,Списък!$A$1:$C$210,3,FALSE)</f>
        <v>география</v>
      </c>
      <c r="C118" s="12" t="str">
        <f>VLOOKUP('Програма-кодове'!D19,Списък!$A$1:$C$210,3,FALSE)</f>
        <v>ИТ/ТП</v>
      </c>
      <c r="D118" s="12" t="str">
        <f>VLOOKUP('Програма-кодове'!E19,Списък!$A$1:$C$210,3,FALSE)</f>
        <v>бълг. език</v>
      </c>
      <c r="H118" s="12"/>
      <c r="I118" s="12"/>
      <c r="J118" s="12"/>
      <c r="K118" s="12"/>
    </row>
    <row r="119" spans="1:11" ht="11.25" customHeight="1">
      <c r="A119" s="13">
        <v>5</v>
      </c>
      <c r="B119" s="12" t="str">
        <f>VLOOKUP('Програма-кодове'!C20,Списък!$A$1:$C$210,3,FALSE)</f>
        <v>физкултура</v>
      </c>
      <c r="C119" s="12" t="str">
        <f>VLOOKUP('Програма-кодове'!D20,Списък!$A$1:$C$210,3,FALSE)</f>
        <v>физика</v>
      </c>
      <c r="D119" s="12" t="str">
        <f>VLOOKUP('Програма-кодове'!E20,Списък!$A$1:$C$210,3,FALSE)</f>
        <v>английски език</v>
      </c>
      <c r="H119" s="12"/>
      <c r="I119" s="12"/>
      <c r="J119" s="12"/>
      <c r="K119" s="12"/>
    </row>
    <row r="120" spans="1:11" ht="11.25" customHeight="1">
      <c r="A120" s="13">
        <v>6</v>
      </c>
      <c r="B120" s="12" t="str">
        <f>VLOOKUP('Програма-кодове'!C21,Списък!$A$1:$C$210,3,FALSE)</f>
        <v>бълг. език</v>
      </c>
      <c r="C120" s="12" t="str">
        <f>VLOOKUP('Програма-кодове'!D21,Списък!$A$1:$C$210,3,FALSE)</f>
        <v>физкултура</v>
      </c>
      <c r="D120" s="12" t="str">
        <f>VLOOKUP('Програма-кодове'!E21,Списък!$A$1:$C$210,3,FALSE)</f>
        <v>биология</v>
      </c>
      <c r="H120" s="12"/>
      <c r="I120" s="12"/>
      <c r="J120" s="12"/>
      <c r="K120" s="12"/>
    </row>
    <row r="121" spans="1:11" ht="11.25" customHeight="1">
      <c r="A121" s="13">
        <v>7</v>
      </c>
      <c r="B121" s="12" t="s">
        <v>59</v>
      </c>
      <c r="C121" s="12" t="s">
        <v>59</v>
      </c>
      <c r="D121" s="12" t="s">
        <v>59</v>
      </c>
      <c r="H121" s="12"/>
      <c r="I121" s="12"/>
      <c r="J121" s="12"/>
      <c r="K121" s="12"/>
    </row>
    <row r="122" spans="1:11" ht="3" customHeight="1">
      <c r="A122" s="14"/>
      <c r="B122" s="15"/>
      <c r="C122" s="15"/>
      <c r="D122" s="15"/>
      <c r="E122" s="15"/>
      <c r="F122" s="15"/>
      <c r="H122" s="12"/>
      <c r="I122" s="12"/>
      <c r="J122" s="12"/>
      <c r="K122" s="12"/>
    </row>
    <row r="123" spans="1:11" ht="11.25" customHeight="1">
      <c r="A123" s="43"/>
      <c r="B123" s="13" t="s">
        <v>0</v>
      </c>
      <c r="C123" s="13" t="s">
        <v>1</v>
      </c>
      <c r="D123" s="13" t="s">
        <v>2</v>
      </c>
      <c r="E123" s="13" t="s">
        <v>3</v>
      </c>
      <c r="F123" s="13" t="s">
        <v>4</v>
      </c>
      <c r="H123" s="12"/>
      <c r="I123" s="12"/>
      <c r="J123" s="12"/>
      <c r="K123" s="12"/>
    </row>
    <row r="124" spans="1:11" ht="11.25" customHeight="1">
      <c r="A124" s="13">
        <v>1</v>
      </c>
      <c r="B124" s="12" t="str">
        <f>VLOOKUP('Програма-кодове'!F16,Списък!$A$1:$C$210,3,FALSE)</f>
        <v>математика</v>
      </c>
      <c r="C124" s="12" t="str">
        <f>VLOOKUP('Програма-кодове'!G16,Списък!$A$1:$C$210,3,FALSE)</f>
        <v>математика</v>
      </c>
      <c r="D124" s="12" t="str">
        <f>VLOOKUP('Програма-кодове'!H16,Списък!$A$1:$C$210,3,FALSE)</f>
        <v>бълг. език</v>
      </c>
      <c r="E124" s="12" t="str">
        <f>VLOOKUP('Програма-кодове'!I16,Списък!$A$1:$C$210,3,FALSE)</f>
        <v>английски език</v>
      </c>
      <c r="F124" s="12" t="str">
        <f>VLOOKUP('Програма-кодове'!J16,Списък!$A$1:$C$210,3,FALSE)</f>
        <v>английски език</v>
      </c>
      <c r="H124" s="12"/>
      <c r="I124" s="12"/>
      <c r="J124" s="12"/>
      <c r="K124" s="12"/>
    </row>
    <row r="125" spans="1:11" ht="11.25" customHeight="1">
      <c r="A125" s="13">
        <v>2</v>
      </c>
      <c r="B125" s="12" t="str">
        <f>VLOOKUP('Програма-кодове'!F17,Списък!$A$1:$C$210,3,FALSE)</f>
        <v>бълг. език</v>
      </c>
      <c r="C125" s="12" t="str">
        <f>VLOOKUP('Програма-кодове'!G17,Списък!$A$1:$C$210,3,FALSE)</f>
        <v>музика</v>
      </c>
      <c r="D125" s="12" t="str">
        <f>VLOOKUP('Програма-кодове'!H17,Списък!$A$1:$C$210,3,FALSE)</f>
        <v>бълг. език</v>
      </c>
      <c r="E125" s="12" t="str">
        <f>VLOOKUP('Програма-кодове'!I17,Списък!$A$1:$C$210,3,FALSE)</f>
        <v>английски език</v>
      </c>
      <c r="F125" s="12" t="str">
        <f>VLOOKUP('Програма-кодове'!J17,Списък!$A$1:$C$210,3,FALSE)</f>
        <v>английски език</v>
      </c>
      <c r="H125" s="12"/>
      <c r="I125" s="12"/>
      <c r="J125" s="12"/>
      <c r="K125" s="12"/>
    </row>
    <row r="126" spans="1:11" ht="11.25" customHeight="1">
      <c r="A126" s="13">
        <v>3</v>
      </c>
      <c r="B126" s="12" t="str">
        <f>VLOOKUP('Програма-кодове'!F18,Списък!$A$1:$C$210,3,FALSE)</f>
        <v>английски език</v>
      </c>
      <c r="C126" s="12" t="str">
        <f>VLOOKUP('Програма-кодове'!G18,Списък!$A$1:$C$210,3,FALSE)</f>
        <v>английски език</v>
      </c>
      <c r="D126" s="12" t="str">
        <f>VLOOKUP('Програма-кодове'!H18,Списък!$A$1:$C$210,3,FALSE)</f>
        <v>математика</v>
      </c>
      <c r="E126" s="12" t="str">
        <f>VLOOKUP('Програма-кодове'!I18,Списък!$A$1:$C$210,3,FALSE)</f>
        <v>английски език</v>
      </c>
      <c r="F126" s="12" t="str">
        <f>VLOOKUP('Програма-кодове'!J18,Списък!$A$1:$C$210,3,FALSE)</f>
        <v>музика</v>
      </c>
      <c r="H126" s="12"/>
      <c r="I126" s="12"/>
      <c r="J126" s="12"/>
      <c r="K126" s="12"/>
    </row>
    <row r="127" spans="1:11" ht="11.25" customHeight="1">
      <c r="A127" s="13">
        <v>4</v>
      </c>
      <c r="B127" s="12" t="str">
        <f>VLOOKUP('Програма-кодове'!F19,Списък!$A$1:$C$210,3,FALSE)</f>
        <v>английски език</v>
      </c>
      <c r="C127" s="12" t="str">
        <f>VLOOKUP('Програма-кодове'!G19,Списък!$A$1:$C$210,3,FALSE)</f>
        <v>английски език</v>
      </c>
      <c r="D127" s="12" t="str">
        <f>VLOOKUP('Програма-кодове'!H19,Списък!$A$1:$C$210,3,FALSE)</f>
        <v>английски език</v>
      </c>
      <c r="E127" s="12" t="str">
        <f>VLOOKUP('Програма-кодове'!I19,Списък!$A$1:$C$210,3,FALSE)</f>
        <v>английски език</v>
      </c>
      <c r="F127" s="12" t="str">
        <f>VLOOKUP('Програма-кодове'!J19,Списък!$A$1:$C$210,3,FALSE)</f>
        <v>математика</v>
      </c>
      <c r="H127" s="12"/>
      <c r="I127" s="12"/>
      <c r="J127" s="12"/>
      <c r="K127" s="12"/>
    </row>
    <row r="128" spans="1:11" ht="11.25" customHeight="1">
      <c r="A128" s="13">
        <v>5</v>
      </c>
      <c r="B128" s="12" t="str">
        <f>VLOOKUP('Програма-кодове'!F20,Списък!$A$1:$C$210,3,FALSE)</f>
        <v>физкултура</v>
      </c>
      <c r="C128" s="12" t="str">
        <f>VLOOKUP('Програма-кодове'!G20,Списък!$A$1:$C$210,3,FALSE)</f>
        <v>английски език</v>
      </c>
      <c r="D128" s="12" t="str">
        <f>VLOOKUP('Програма-кодове'!H20,Списък!$A$1:$C$210,3,FALSE)</f>
        <v>английски език</v>
      </c>
      <c r="E128" s="12" t="str">
        <f>VLOOKUP('Програма-кодове'!I20,Списък!$A$1:$C$210,3,FALSE)</f>
        <v>математика</v>
      </c>
      <c r="F128" s="12" t="str">
        <f>VLOOKUP('Програма-кодове'!J20,Списък!$A$1:$C$210,3,FALSE)</f>
        <v>английски език</v>
      </c>
      <c r="H128" s="12"/>
      <c r="I128" s="12"/>
      <c r="J128" s="12"/>
      <c r="K128" s="12"/>
    </row>
    <row r="129" spans="1:11" ht="11.25" customHeight="1">
      <c r="A129" s="13">
        <v>6</v>
      </c>
      <c r="B129" s="12" t="str">
        <f>VLOOKUP('Програма-кодове'!F21,Списък!$A$1:$C$210,3,FALSE)</f>
        <v>английски език</v>
      </c>
      <c r="C129" s="12" t="str">
        <f>VLOOKUP('Програма-кодове'!G21,Списък!$A$1:$C$210,3,FALSE)</f>
        <v>английски език</v>
      </c>
      <c r="D129" s="12" t="str">
        <f>VLOOKUP('Програма-кодове'!H21,Списък!$A$1:$C$210,3,FALSE)</f>
        <v>английски език</v>
      </c>
      <c r="E129" s="12" t="str">
        <f>VLOOKUP('Програма-кодове'!I21,Списък!$A$1:$C$210,3,FALSE)</f>
        <v>бълг. език</v>
      </c>
      <c r="F129" s="12" t="str">
        <f>VLOOKUP('Програма-кодове'!J21,Списък!$A$1:$C$210,3,FALSE)</f>
        <v>английски език</v>
      </c>
      <c r="H129" s="12"/>
      <c r="I129" s="12"/>
      <c r="J129" s="12"/>
      <c r="K129" s="12"/>
    </row>
    <row r="130" spans="1:11" ht="11.25" customHeight="1">
      <c r="A130" s="13">
        <v>7</v>
      </c>
      <c r="B130" s="12" t="s">
        <v>59</v>
      </c>
      <c r="C130" s="12" t="s">
        <v>59</v>
      </c>
      <c r="D130" s="12" t="s">
        <v>59</v>
      </c>
      <c r="E130" s="12" t="s">
        <v>59</v>
      </c>
      <c r="F130" s="12" t="s">
        <v>59</v>
      </c>
      <c r="H130" s="12"/>
      <c r="I130" s="12"/>
      <c r="J130" s="12"/>
      <c r="K130" s="12"/>
    </row>
    <row r="131" spans="1:11" ht="11.25" customHeight="1">
      <c r="C131" s="12" t="e">
        <f>VLOOKUP('Програма-кодове'!#REF!,Списък!$A$1:$C$210,3,FALSE)</f>
        <v>#REF!</v>
      </c>
      <c r="H131" s="12"/>
      <c r="I131" s="12"/>
      <c r="J131" s="12"/>
      <c r="K131" s="12"/>
    </row>
    <row r="132" spans="1:11" ht="3" customHeight="1">
      <c r="A132" s="14"/>
      <c r="B132" s="15"/>
      <c r="C132" s="15"/>
      <c r="D132" s="15"/>
      <c r="E132" s="15"/>
      <c r="F132" s="15"/>
      <c r="H132" s="12"/>
      <c r="I132" s="12"/>
      <c r="J132" s="12"/>
      <c r="K132" s="12"/>
    </row>
    <row r="133" spans="1:11" s="43" customFormat="1" ht="11.25" customHeight="1">
      <c r="A133" s="13"/>
      <c r="B133" s="13" t="s">
        <v>5</v>
      </c>
      <c r="C133" s="13" t="s">
        <v>6</v>
      </c>
      <c r="D133" s="13" t="s">
        <v>7</v>
      </c>
      <c r="E133" s="13" t="s">
        <v>8</v>
      </c>
      <c r="F133" s="13" t="s">
        <v>9</v>
      </c>
      <c r="G133" s="12"/>
      <c r="H133" s="12"/>
      <c r="I133" s="12"/>
      <c r="J133" s="12"/>
      <c r="K133" s="12"/>
    </row>
    <row r="134" spans="1:11" ht="11.25" customHeight="1">
      <c r="A134" s="13">
        <v>1</v>
      </c>
      <c r="B134" s="12" t="str">
        <f>VLOOKUP('Програма-кодове'!K16,Списък!$A$1:$C$209,3,FALSE)</f>
        <v>физика</v>
      </c>
      <c r="C134" s="12" t="str">
        <f>VLOOKUP('Програма-кодове'!L16,Списък!$A$1:$C$209,3,FALSE)</f>
        <v>информатика</v>
      </c>
      <c r="D134" s="12" t="str">
        <f>VLOOKUP('Програма-кодове'!M16,Списък!$A$1:$C$209,3,FALSE)</f>
        <v>философия</v>
      </c>
      <c r="E134" s="12" t="str">
        <f>VLOOKUP('Програма-кодове'!N16,Списък!$A$1:$C$209,3,FALSE)</f>
        <v>математика</v>
      </c>
      <c r="F134" s="12" t="str">
        <f>VLOOKUP('Програма-кодове'!O16,Списък!$A$1:$C$209,3,FALSE)</f>
        <v>английски език</v>
      </c>
      <c r="H134" s="12"/>
      <c r="I134" s="12"/>
      <c r="J134" s="12"/>
      <c r="K134" s="12"/>
    </row>
    <row r="135" spans="1:11" ht="11.25" customHeight="1">
      <c r="A135" s="13">
        <v>2</v>
      </c>
      <c r="B135" s="12" t="str">
        <f>VLOOKUP('Програма-кодове'!K17,Списък!$A$1:$C$209,3,FALSE)</f>
        <v>информатика</v>
      </c>
      <c r="C135" s="12" t="str">
        <f>VLOOKUP('Програма-кодове'!L17,Списък!$A$1:$C$209,3,FALSE)</f>
        <v>история</v>
      </c>
      <c r="D135" s="12" t="str">
        <f>VLOOKUP('Програма-кодове'!M17,Списък!$A$1:$C$209,3,FALSE)</f>
        <v>физика</v>
      </c>
      <c r="E135" s="12" t="str">
        <f>VLOOKUP('Програма-кодове'!N17,Списък!$A$1:$C$209,3,FALSE)</f>
        <v>английски език</v>
      </c>
      <c r="F135" s="12" t="str">
        <f>VLOOKUP('Програма-кодове'!O17,Списък!$A$1:$C$209,3,FALSE)</f>
        <v>философия</v>
      </c>
      <c r="H135" s="12"/>
      <c r="I135" s="12"/>
      <c r="J135" s="12"/>
      <c r="K135" s="12"/>
    </row>
    <row r="136" spans="1:11" ht="11.25" customHeight="1">
      <c r="A136" s="13">
        <v>3</v>
      </c>
      <c r="B136" s="12" t="str">
        <f>VLOOKUP('Програма-кодове'!K18,Списък!$A$1:$C$209,3,FALSE)</f>
        <v>история</v>
      </c>
      <c r="C136" s="12" t="str">
        <f>VLOOKUP('Програма-кодове'!L18,Списък!$A$1:$C$209,3,FALSE)</f>
        <v>математика</v>
      </c>
      <c r="D136" s="12" t="str">
        <f>VLOOKUP('Програма-кодове'!M18,Списък!$A$1:$C$209,3,FALSE)</f>
        <v>английски език</v>
      </c>
      <c r="E136" s="12" t="str">
        <f>VLOOKUP('Програма-кодове'!N18,Списък!$A$1:$C$209,3,FALSE)</f>
        <v>философия</v>
      </c>
      <c r="F136" s="12" t="str">
        <f>VLOOKUP('Програма-кодове'!O18,Списък!$A$1:$C$209,3,FALSE)</f>
        <v>физика</v>
      </c>
      <c r="H136" s="12"/>
      <c r="I136" s="12"/>
      <c r="J136" s="12"/>
      <c r="K136" s="12"/>
    </row>
    <row r="137" spans="1:11" ht="11.25" customHeight="1">
      <c r="A137" s="13">
        <v>4</v>
      </c>
      <c r="B137" s="12" t="str">
        <f>VLOOKUP('Програма-кодове'!K19,Списък!$A$1:$C$209,3,FALSE)</f>
        <v>физкултура</v>
      </c>
      <c r="C137" s="12" t="str">
        <f>VLOOKUP('Програма-кодове'!L19,Списък!$A$1:$C$209,3,FALSE)</f>
        <v>английски език</v>
      </c>
      <c r="D137" s="12" t="str">
        <f>VLOOKUP('Програма-кодове'!M19,Списък!$A$1:$C$209,3,FALSE)</f>
        <v>история</v>
      </c>
      <c r="E137" s="12" t="str">
        <f>VLOOKUP('Програма-кодове'!N19,Списък!$A$1:$C$209,3,FALSE)</f>
        <v>история</v>
      </c>
      <c r="F137" s="12" t="str">
        <f>VLOOKUP('Програма-кодове'!O19,Списък!$A$1:$C$209,3,FALSE)</f>
        <v>математика</v>
      </c>
      <c r="H137" s="12"/>
      <c r="I137" s="12"/>
      <c r="J137" s="12"/>
      <c r="K137" s="12"/>
    </row>
    <row r="138" spans="1:11" ht="11.25" customHeight="1">
      <c r="A138" s="13">
        <v>5</v>
      </c>
      <c r="B138" s="12" t="str">
        <f>VLOOKUP('Програма-кодове'!K20,Списък!$A$1:$C$209,3,FALSE)</f>
        <v>биология</v>
      </c>
      <c r="C138" s="12" t="str">
        <f>VLOOKUP('Програма-кодове'!L20,Списък!$A$1:$C$209,3,FALSE)</f>
        <v>английски език</v>
      </c>
      <c r="D138" s="12" t="str">
        <f>VLOOKUP('Програма-кодове'!M20,Списък!$A$1:$C$209,3,FALSE)</f>
        <v>математика</v>
      </c>
      <c r="E138" s="12" t="str">
        <f>VLOOKUP('Програма-кодове'!N20,Списък!$A$1:$C$209,3,FALSE)</f>
        <v>химия</v>
      </c>
      <c r="F138" s="12" t="str">
        <f>VLOOKUP('Програма-кодове'!O20,Списък!$A$1:$C$209,3,FALSE)</f>
        <v>рисуване</v>
      </c>
      <c r="H138" s="12"/>
      <c r="I138" s="12"/>
      <c r="J138" s="12"/>
      <c r="K138" s="12"/>
    </row>
    <row r="139" spans="1:11" ht="11.25" customHeight="1">
      <c r="A139" s="13">
        <v>6</v>
      </c>
      <c r="B139" s="12" t="str">
        <f>VLOOKUP('Програма-кодове'!K21,Списък!$A$1:$C$209,3,FALSE)</f>
        <v>математика</v>
      </c>
      <c r="C139" s="12" t="str">
        <f>VLOOKUP('Програма-кодове'!L21,Списък!$A$1:$C$209,3,FALSE)</f>
        <v>физика</v>
      </c>
      <c r="D139" s="12" t="str">
        <f>VLOOKUP('Програма-кодове'!M21,Списък!$A$1:$C$209,3,FALSE)</f>
        <v>математика</v>
      </c>
      <c r="E139" s="12" t="str">
        <f>VLOOKUP('Програма-кодове'!N21,Списък!$A$1:$C$209,3,FALSE)</f>
        <v>рисуване</v>
      </c>
      <c r="F139" s="12" t="str">
        <f>VLOOKUP('Програма-кодове'!O21,Списък!$A$1:$C$209,3,FALSE)</f>
        <v>история</v>
      </c>
      <c r="H139" s="12"/>
      <c r="I139" s="12"/>
      <c r="J139" s="12"/>
      <c r="K139" s="12"/>
    </row>
    <row r="140" spans="1:11" ht="11.25" customHeight="1">
      <c r="A140" s="13">
        <v>7</v>
      </c>
      <c r="B140" s="12" t="s">
        <v>59</v>
      </c>
      <c r="C140" s="12" t="s">
        <v>59</v>
      </c>
      <c r="D140" s="12" t="s">
        <v>59</v>
      </c>
      <c r="E140" s="12" t="s">
        <v>59</v>
      </c>
      <c r="F140" s="12" t="s">
        <v>59</v>
      </c>
      <c r="H140" s="12"/>
      <c r="I140" s="12"/>
      <c r="J140" s="12"/>
      <c r="K140" s="12"/>
    </row>
    <row r="141" spans="1:11" ht="3" customHeight="1">
      <c r="A141" s="14"/>
      <c r="B141" s="15"/>
      <c r="C141" s="15"/>
      <c r="D141" s="15"/>
      <c r="E141" s="15"/>
      <c r="F141" s="15"/>
      <c r="H141" s="12"/>
      <c r="I141" s="12"/>
      <c r="J141" s="12"/>
      <c r="K141" s="12"/>
    </row>
    <row r="142" spans="1:11" s="43" customFormat="1" ht="11.25" customHeight="1">
      <c r="A142" s="13"/>
      <c r="B142" s="13" t="s">
        <v>10</v>
      </c>
      <c r="C142" s="13" t="s">
        <v>11</v>
      </c>
      <c r="D142" s="13" t="s">
        <v>12</v>
      </c>
      <c r="E142" s="13" t="s">
        <v>13</v>
      </c>
      <c r="F142" s="13" t="s">
        <v>14</v>
      </c>
      <c r="G142" s="12"/>
      <c r="H142" s="12"/>
      <c r="I142" s="12"/>
      <c r="J142" s="12"/>
      <c r="K142" s="12"/>
    </row>
    <row r="143" spans="1:11" ht="11.25" customHeight="1">
      <c r="A143" s="13">
        <v>1</v>
      </c>
      <c r="B143" s="12" t="str">
        <f>VLOOKUP('Програма-кодове'!P16,Списък!$A$1:$C$209,3,FALSE)</f>
        <v>химия</v>
      </c>
      <c r="C143" s="12" t="str">
        <f>VLOOKUP('Програма-кодове'!Q16,Списък!$A$1:$C$209,3,FALSE)</f>
        <v>английски език</v>
      </c>
      <c r="D143" s="12" t="str">
        <f>VLOOKUP('Програма-кодове'!R16,Списък!$A$1:$C$209,3,FALSE)</f>
        <v>информатика</v>
      </c>
      <c r="E143" s="12" t="str">
        <f>VLOOKUP('Програма-кодове'!S16,Списък!$A$1:$C$209,3,FALSE)</f>
        <v>биология</v>
      </c>
      <c r="F143" s="12" t="str">
        <f>VLOOKUP('Програма-кодове'!T16,Списък!$A$1:$C$209,3,FALSE)</f>
        <v>история</v>
      </c>
      <c r="H143" s="12"/>
      <c r="I143" s="12"/>
      <c r="J143" s="12"/>
      <c r="K143" s="12"/>
    </row>
    <row r="144" spans="1:11" ht="11.25" customHeight="1">
      <c r="A144" s="13">
        <v>2</v>
      </c>
      <c r="B144" s="12" t="str">
        <f>VLOOKUP('Програма-кодове'!P17,Списък!$A$1:$C$209,3,FALSE)</f>
        <v>история</v>
      </c>
      <c r="C144" s="12" t="str">
        <f>VLOOKUP('Програма-кодове'!Q17,Списък!$A$1:$C$209,3,FALSE)</f>
        <v>история</v>
      </c>
      <c r="D144" s="12" t="str">
        <f>VLOOKUP('Програма-кодове'!R17,Списък!$A$1:$C$209,3,FALSE)</f>
        <v>математика</v>
      </c>
      <c r="E144" s="12" t="str">
        <f>VLOOKUP('Програма-кодове'!S17,Списък!$A$1:$C$209,3,FALSE)</f>
        <v>информатика</v>
      </c>
      <c r="F144" s="12" t="str">
        <f>VLOOKUP('Програма-кодове'!T17,Списък!$A$1:$C$209,3,FALSE)</f>
        <v>биология</v>
      </c>
      <c r="H144" s="12"/>
      <c r="I144" s="12"/>
      <c r="J144" s="12"/>
      <c r="K144" s="12"/>
    </row>
    <row r="145" spans="1:11" ht="11.25" customHeight="1">
      <c r="A145" s="13">
        <v>3</v>
      </c>
      <c r="B145" s="12" t="str">
        <f>VLOOKUP('Програма-кодове'!P18,Списък!$A$1:$C$209,3,FALSE)</f>
        <v>математика</v>
      </c>
      <c r="C145" s="12" t="str">
        <f>VLOOKUP('Програма-кодове'!Q18,Списък!$A$1:$C$209,3,FALSE)</f>
        <v>информатика</v>
      </c>
      <c r="D145" s="12" t="str">
        <f>VLOOKUP('Програма-кодове'!R18,Списък!$A$1:$C$209,3,FALSE)</f>
        <v>история</v>
      </c>
      <c r="E145" s="12" t="str">
        <f>VLOOKUP('Програма-кодове'!S18,Списък!$A$1:$C$209,3,FALSE)</f>
        <v>математика</v>
      </c>
      <c r="F145" s="12" t="str">
        <f>VLOOKUP('Програма-кодове'!T18,Списък!$A$1:$C$209,3,FALSE)</f>
        <v>английски език</v>
      </c>
      <c r="H145" s="12"/>
      <c r="I145" s="12"/>
      <c r="J145" s="12"/>
      <c r="K145" s="12"/>
    </row>
    <row r="146" spans="1:11" ht="11.25" customHeight="1">
      <c r="A146" s="13">
        <v>4</v>
      </c>
      <c r="B146" s="12" t="str">
        <f>VLOOKUP('Програма-кодове'!P19,Списък!$A$1:$C$209,3,FALSE)</f>
        <v>информатика</v>
      </c>
      <c r="C146" s="12" t="str">
        <f>VLOOKUP('Програма-кодове'!Q19,Списък!$A$1:$C$209,3,FALSE)</f>
        <v>физика</v>
      </c>
      <c r="D146" s="12" t="str">
        <f>VLOOKUP('Програма-кодове'!R19,Списък!$A$1:$C$209,3,FALSE)</f>
        <v>физкултура</v>
      </c>
      <c r="E146" s="12" t="str">
        <f>VLOOKUP('Програма-кодове'!S19,Списък!$A$1:$C$209,3,FALSE)</f>
        <v>физика</v>
      </c>
      <c r="F146" s="12" t="str">
        <f>VLOOKUP('Програма-кодове'!T19,Списък!$A$1:$C$209,3,FALSE)</f>
        <v>английски език</v>
      </c>
      <c r="H146" s="12"/>
      <c r="I146" s="12"/>
      <c r="J146" s="12"/>
      <c r="K146" s="12"/>
    </row>
    <row r="147" spans="1:11" ht="11.25" customHeight="1">
      <c r="A147" s="13">
        <v>5</v>
      </c>
      <c r="B147" s="12" t="str">
        <f>VLOOKUP('Програма-кодове'!P20,Списък!$A$1:$C$209,3,FALSE)</f>
        <v>философия</v>
      </c>
      <c r="C147" s="12" t="str">
        <f>VLOOKUP('Програма-кодове'!Q20,Списък!$A$1:$C$209,3,FALSE)</f>
        <v>математика</v>
      </c>
      <c r="D147" s="12" t="str">
        <f>VLOOKUP('Програма-кодове'!R20,Списък!$A$1:$C$209,3,FALSE)</f>
        <v>бълг. език</v>
      </c>
      <c r="E147" s="12" t="str">
        <f>VLOOKUP('Програма-кодове'!S20,Списък!$A$1:$C$209,3,FALSE)</f>
        <v>история</v>
      </c>
      <c r="F147" s="12" t="str">
        <f>VLOOKUP('Програма-кодове'!T20,Списък!$A$1:$C$209,3,FALSE)</f>
        <v>информатика</v>
      </c>
      <c r="H147" s="12"/>
      <c r="I147" s="12"/>
      <c r="J147" s="12"/>
      <c r="K147" s="12"/>
    </row>
    <row r="148" spans="1:11" ht="11.25" customHeight="1">
      <c r="A148" s="13">
        <v>6</v>
      </c>
      <c r="B148" s="12" t="str">
        <f>VLOOKUP('Програма-кодове'!P21,Списък!$A$1:$C$209,3,FALSE)</f>
        <v>английски език</v>
      </c>
      <c r="C148" s="12" t="str">
        <f>VLOOKUP('Програма-кодове'!Q21,Списък!$A$1:$C$209,3,FALSE)</f>
        <v>математика</v>
      </c>
      <c r="D148" s="12" t="str">
        <f>VLOOKUP('Програма-кодове'!R21,Списък!$A$1:$C$209,3,FALSE)</f>
        <v>бълг. език</v>
      </c>
      <c r="E148" s="12" t="str">
        <f>VLOOKUP('Програма-кодове'!S21,Списък!$A$1:$C$209,3,FALSE)</f>
        <v>философия</v>
      </c>
      <c r="F148" s="12" t="str">
        <f>VLOOKUP('Програма-кодове'!T21,Списък!$A$1:$C$209,3,FALSE)</f>
        <v>физика</v>
      </c>
      <c r="H148" s="12"/>
      <c r="I148" s="12"/>
      <c r="J148" s="12"/>
      <c r="K148" s="12"/>
    </row>
    <row r="149" spans="1:11" ht="11.25" customHeight="1">
      <c r="A149" s="13">
        <v>7</v>
      </c>
      <c r="B149" s="12" t="s">
        <v>59</v>
      </c>
      <c r="C149" s="12" t="s">
        <v>59</v>
      </c>
      <c r="D149" s="12" t="s">
        <v>59</v>
      </c>
      <c r="E149" s="12" t="s">
        <v>59</v>
      </c>
      <c r="F149" s="12" t="s">
        <v>59</v>
      </c>
      <c r="H149" s="12"/>
      <c r="I149" s="12"/>
      <c r="J149" s="12"/>
      <c r="K149" s="12"/>
    </row>
    <row r="150" spans="1:11" ht="3" customHeight="1">
      <c r="A150" s="14"/>
      <c r="B150" s="15"/>
      <c r="C150" s="15"/>
      <c r="D150" s="15"/>
      <c r="E150" s="15"/>
      <c r="F150" s="15"/>
      <c r="H150" s="12"/>
      <c r="I150" s="12"/>
      <c r="J150" s="12"/>
      <c r="K150" s="12"/>
    </row>
    <row r="151" spans="1:11" s="43" customFormat="1" ht="11.25" customHeight="1">
      <c r="A151" s="13"/>
      <c r="B151" s="13" t="s">
        <v>15</v>
      </c>
      <c r="C151" s="13" t="s">
        <v>16</v>
      </c>
      <c r="D151" s="13" t="s">
        <v>17</v>
      </c>
      <c r="E151" s="13" t="s">
        <v>46</v>
      </c>
      <c r="F151" s="13" t="s">
        <v>18</v>
      </c>
      <c r="G151" s="12"/>
      <c r="H151" s="12"/>
      <c r="I151" s="12"/>
      <c r="J151" s="12"/>
      <c r="K151" s="12"/>
    </row>
    <row r="152" spans="1:11" ht="11.25" customHeight="1">
      <c r="A152" s="13">
        <v>1</v>
      </c>
      <c r="B152" s="21" t="str">
        <f>VLOOKUP('Програма-кодове'!U16,Списък!$A$1:$C$209,3,FALSE)</f>
        <v>английски език</v>
      </c>
      <c r="C152" s="21" t="str">
        <f>VLOOKUP('Програма-кодове'!V16,Списък!$A$1:$C$209,3,FALSE)</f>
        <v>география</v>
      </c>
      <c r="D152" s="21" t="str">
        <f>VLOOKUP('Програма-кодове'!W16,Списък!$A$1:$C$209,3,FALSE)</f>
        <v>физкултура</v>
      </c>
      <c r="E152" s="21" t="str">
        <f>VLOOKUP('Програма-кодове'!X16,Списък!$A$1:$C$209,3,FALSE)</f>
        <v>немски език</v>
      </c>
      <c r="F152" s="21" t="str">
        <f>VLOOKUP('Програма-кодове'!Y16,Списък!$A$1:$C$209,3,FALSE)</f>
        <v>биология</v>
      </c>
      <c r="H152" s="12"/>
      <c r="I152" s="12"/>
      <c r="J152" s="12"/>
      <c r="K152" s="12"/>
    </row>
    <row r="153" spans="1:11" ht="11.25" customHeight="1">
      <c r="A153" s="13">
        <v>2</v>
      </c>
      <c r="B153" s="21" t="str">
        <f>VLOOKUP('Програма-кодове'!U17,Списък!$A$1:$C$209,3,FALSE)</f>
        <v>английски език</v>
      </c>
      <c r="C153" s="21" t="str">
        <f>VLOOKUP('Програма-кодове'!V17,Списък!$A$1:$C$209,3,FALSE)</f>
        <v>физкултура</v>
      </c>
      <c r="D153" s="21" t="str">
        <f>VLOOKUP('Програма-кодове'!W17,Списък!$A$1:$C$209,3,FALSE)</f>
        <v>математика</v>
      </c>
      <c r="E153" s="21" t="str">
        <f>VLOOKUP('Програма-кодове'!X17,Списък!$A$1:$C$209,3,FALSE)</f>
        <v>немски език</v>
      </c>
      <c r="F153" s="21" t="str">
        <f>VLOOKUP('Програма-кодове'!Y17,Списък!$A$1:$C$209,3,FALSE)</f>
        <v>биология</v>
      </c>
      <c r="H153" s="12"/>
      <c r="I153" s="12"/>
      <c r="J153" s="12"/>
      <c r="K153" s="12"/>
    </row>
    <row r="154" spans="1:11" ht="11.25" customHeight="1">
      <c r="A154" s="13">
        <v>3</v>
      </c>
      <c r="B154" s="21" t="str">
        <f>VLOOKUP('Програма-кодове'!U18,Списък!$A$1:$C$209,3,FALSE)</f>
        <v>математика</v>
      </c>
      <c r="C154" s="21" t="str">
        <f>VLOOKUP('Програма-кодове'!V18,Списък!$A$1:$C$209,3,FALSE)</f>
        <v>информатика</v>
      </c>
      <c r="D154" s="21" t="str">
        <f>VLOOKUP('Програма-кодове'!W18,Списък!$A$1:$C$209,3,FALSE)</f>
        <v>математика</v>
      </c>
      <c r="E154" s="21" t="str">
        <f>VLOOKUP('Програма-кодове'!X18,Списък!$A$1:$C$209,3,FALSE)</f>
        <v>физкултура</v>
      </c>
      <c r="F154" s="21" t="str">
        <f>VLOOKUP('Програма-кодове'!Y18,Списък!$A$1:$C$209,3,FALSE)</f>
        <v>география</v>
      </c>
      <c r="H154" s="12"/>
      <c r="I154" s="12"/>
      <c r="J154" s="12"/>
      <c r="K154" s="12"/>
    </row>
    <row r="155" spans="1:11" ht="11.25" customHeight="1">
      <c r="A155" s="13">
        <v>4</v>
      </c>
      <c r="B155" s="21" t="str">
        <f>VLOOKUP('Програма-кодове'!U19,Списък!$A$1:$C$209,3,FALSE)</f>
        <v>информатика</v>
      </c>
      <c r="C155" s="21" t="str">
        <f>VLOOKUP('Програма-кодове'!V19,Списък!$A$1:$C$209,3,FALSE)</f>
        <v>математика</v>
      </c>
      <c r="D155" s="21" t="str">
        <f>VLOOKUP('Програма-кодове'!W19,Списък!$A$1:$C$209,3,FALSE)</f>
        <v>история</v>
      </c>
      <c r="E155" s="21" t="str">
        <f>VLOOKUP('Програма-кодове'!X19,Списък!$A$1:$C$209,3,FALSE)</f>
        <v>биология</v>
      </c>
      <c r="F155" s="21" t="str">
        <f>VLOOKUP('Програма-кодове'!Y19,Списък!$A$1:$C$209,3,FALSE)</f>
        <v>химия</v>
      </c>
      <c r="H155" s="12"/>
      <c r="I155" s="12"/>
      <c r="J155" s="12"/>
      <c r="K155" s="12"/>
    </row>
    <row r="156" spans="1:11" ht="11.25" customHeight="1">
      <c r="A156" s="13">
        <v>5</v>
      </c>
      <c r="B156" s="21" t="str">
        <f>VLOOKUP('Програма-кодове'!U20,Списък!$A$1:$C$209,3,FALSE)</f>
        <v>биология</v>
      </c>
      <c r="C156" s="21" t="str">
        <f>VLOOKUP('Програма-кодове'!V20,Списък!$A$1:$C$209,3,FALSE)</f>
        <v>математика</v>
      </c>
      <c r="D156" s="21" t="str">
        <f>VLOOKUP('Програма-кодове'!W20,Списък!$A$1:$C$209,3,FALSE)</f>
        <v>география</v>
      </c>
      <c r="E156" s="21" t="str">
        <f>VLOOKUP('Програма-кодове'!X20,Списък!$A$1:$C$209,3,FALSE)</f>
        <v>информатика</v>
      </c>
      <c r="F156" s="21" t="str">
        <f>VLOOKUP('Програма-кодове'!Y20,Списък!$A$1:$C$209,3,FALSE)</f>
        <v>английски език</v>
      </c>
      <c r="H156" s="12"/>
      <c r="I156" s="12"/>
      <c r="J156" s="12"/>
      <c r="K156" s="12"/>
    </row>
    <row r="157" spans="1:11" ht="11.25" customHeight="1">
      <c r="A157" s="13">
        <v>6</v>
      </c>
      <c r="B157" s="21" t="str">
        <f>VLOOKUP('Програма-кодове'!U21,Списък!$A$1:$C$209,3,FALSE)</f>
        <v>география</v>
      </c>
      <c r="C157" s="21" t="str">
        <f>VLOOKUP('Програма-кодове'!V21,Списък!$A$1:$C$209,3,FALSE)</f>
        <v>биология</v>
      </c>
      <c r="D157" s="21" t="str">
        <f>VLOOKUP('Програма-кодове'!W21,Списък!$A$1:$C$209,3,FALSE)</f>
        <v>информатика</v>
      </c>
      <c r="E157" s="21" t="str">
        <f>VLOOKUP('Програма-кодове'!X21,Списък!$A$1:$C$209,3,FALSE)</f>
        <v>химия</v>
      </c>
      <c r="F157" s="21" t="str">
        <f>VLOOKUP('Програма-кодове'!Y21,Списък!$A$1:$C$209,3,FALSE)</f>
        <v>английски език</v>
      </c>
      <c r="H157" s="12"/>
      <c r="I157" s="12"/>
      <c r="J157" s="12"/>
      <c r="K157" s="12"/>
    </row>
    <row r="158" spans="1:11" ht="11.25" customHeight="1">
      <c r="A158" s="13">
        <v>7</v>
      </c>
      <c r="B158" s="12" t="s">
        <v>59</v>
      </c>
      <c r="C158" s="12" t="s">
        <v>59</v>
      </c>
      <c r="D158" s="12" t="s">
        <v>59</v>
      </c>
      <c r="E158" s="12" t="s">
        <v>59</v>
      </c>
      <c r="F158" s="12" t="s">
        <v>59</v>
      </c>
      <c r="H158" s="12"/>
      <c r="I158" s="12"/>
      <c r="J158" s="12"/>
      <c r="K158" s="12"/>
    </row>
    <row r="159" spans="1:11" ht="3" customHeight="1">
      <c r="A159" s="14"/>
      <c r="B159" s="15"/>
      <c r="C159" s="15"/>
      <c r="D159" s="15"/>
      <c r="E159" s="15"/>
      <c r="F159" s="15"/>
      <c r="H159" s="12"/>
      <c r="I159" s="12"/>
      <c r="J159" s="12"/>
      <c r="K159" s="12"/>
    </row>
    <row r="160" spans="1:11" s="43" customFormat="1" ht="11.25" customHeight="1">
      <c r="A160" s="13"/>
      <c r="B160" s="43" t="s">
        <v>48</v>
      </c>
      <c r="C160" s="43" t="s">
        <v>49</v>
      </c>
      <c r="D160" s="43" t="s">
        <v>50</v>
      </c>
      <c r="E160" s="43" t="s">
        <v>51</v>
      </c>
      <c r="F160" s="43" t="s">
        <v>52</v>
      </c>
      <c r="G160" s="12"/>
      <c r="H160" s="12"/>
      <c r="I160" s="12"/>
      <c r="J160" s="12"/>
      <c r="K160" s="12"/>
    </row>
    <row r="161" spans="1:11" ht="11.25" customHeight="1">
      <c r="A161" s="13">
        <v>1</v>
      </c>
      <c r="B161" s="21" t="str">
        <f>VLOOKUP('Програма-кодове'!Z16,Списък!$A$1:$C$209,3,FALSE)</f>
        <v>английски език</v>
      </c>
      <c r="C161" s="21" t="str">
        <f>VLOOKUP('Програма-кодове'!AA16,Списък!$A$1:$C$209,3,FALSE)</f>
        <v>математика</v>
      </c>
      <c r="D161" s="21" t="str">
        <f>VLOOKUP('Програма-кодове'!AB16,Списък!$A$1:$C$209,3,FALSE)</f>
        <v>математика</v>
      </c>
      <c r="E161" s="21" t="str">
        <f>VLOOKUP('Програма-кодове'!AC16,Списък!$A$1:$C$209,3,FALSE)</f>
        <v>бълг. език</v>
      </c>
      <c r="F161" s="21" t="str">
        <f>VLOOKUP('Програма-кодове'!AD16,Списък!$A$1:$C$209,3,FALSE)</f>
        <v>физкултура</v>
      </c>
      <c r="H161" s="12"/>
      <c r="I161" s="12"/>
      <c r="J161" s="12"/>
      <c r="K161" s="12"/>
    </row>
    <row r="162" spans="1:11" ht="11.25" customHeight="1">
      <c r="A162" s="13">
        <v>2</v>
      </c>
      <c r="B162" s="21" t="str">
        <f>VLOOKUP('Програма-кодове'!Z17,Списък!$A$1:$C$209,3,FALSE)</f>
        <v>бълг. език</v>
      </c>
      <c r="C162" s="21" t="str">
        <f>VLOOKUP('Програма-кодове'!AA17,Списък!$A$1:$C$209,3,FALSE)</f>
        <v>физкултура</v>
      </c>
      <c r="D162" s="21" t="str">
        <f>VLOOKUP('Програма-кодове'!AB17,Списък!$A$1:$C$209,3,FALSE)</f>
        <v>математика</v>
      </c>
      <c r="E162" s="21" t="str">
        <f>VLOOKUP('Програма-кодове'!AC17,Списък!$A$1:$C$209,3,FALSE)</f>
        <v>английски език</v>
      </c>
      <c r="F162" s="21" t="str">
        <f>VLOOKUP('Програма-кодове'!AD17,Списък!$A$1:$C$209,3,FALSE)</f>
        <v>химия</v>
      </c>
      <c r="H162" s="12"/>
      <c r="I162" s="12"/>
      <c r="J162" s="12"/>
      <c r="K162" s="12"/>
    </row>
    <row r="163" spans="1:11" ht="11.25" customHeight="1">
      <c r="A163" s="13">
        <v>3</v>
      </c>
      <c r="B163" s="21" t="str">
        <f>VLOOKUP('Програма-кодове'!Z18,Списък!$A$1:$C$209,3,FALSE)</f>
        <v>физкултура</v>
      </c>
      <c r="C163" s="21" t="str">
        <f>VLOOKUP('Програма-кодове'!AA18,Списък!$A$1:$C$209,3,FALSE)</f>
        <v>информатика</v>
      </c>
      <c r="D163" s="21" t="str">
        <f>VLOOKUP('Програма-кодове'!AB18,Списък!$A$1:$C$209,3,FALSE)</f>
        <v>бълг. език</v>
      </c>
      <c r="E163" s="21" t="str">
        <f>VLOOKUP('Програма-кодове'!AC18,Списък!$A$1:$C$209,3,FALSE)</f>
        <v>немски език</v>
      </c>
      <c r="F163" s="21" t="str">
        <f>VLOOKUP('Програма-кодове'!AD18,Списък!$A$1:$C$209,3,FALSE)</f>
        <v>биология</v>
      </c>
      <c r="H163" s="12"/>
      <c r="I163" s="12"/>
      <c r="J163" s="12"/>
      <c r="K163" s="12"/>
    </row>
    <row r="164" spans="1:11" ht="11.25" customHeight="1">
      <c r="A164" s="13">
        <v>4</v>
      </c>
      <c r="B164" s="21" t="str">
        <f>VLOOKUP('Програма-кодове'!Z19,Списък!$A$1:$C$209,3,FALSE)</f>
        <v>математика</v>
      </c>
      <c r="C164" s="21" t="str">
        <f>VLOOKUP('Програма-кодове'!AA19,Списък!$A$1:$C$209,3,FALSE)</f>
        <v>английски език</v>
      </c>
      <c r="D164" s="21" t="str">
        <f>VLOOKUP('Програма-кодове'!AB19,Списък!$A$1:$C$209,3,FALSE)</f>
        <v>информатика</v>
      </c>
      <c r="E164" s="21" t="str">
        <f>VLOOKUP('Програма-кодове'!AC19,Списък!$A$1:$C$209,3,FALSE)</f>
        <v>немски език</v>
      </c>
      <c r="F164" s="21" t="str">
        <f>VLOOKUP('Програма-кодове'!AD19,Списък!$A$1:$C$209,3,FALSE)</f>
        <v>биология</v>
      </c>
      <c r="H164" s="12"/>
      <c r="I164" s="12"/>
      <c r="J164" s="12"/>
      <c r="K164" s="12"/>
    </row>
    <row r="165" spans="1:11" ht="11.25" customHeight="1">
      <c r="A165" s="13">
        <v>5</v>
      </c>
      <c r="B165" s="21" t="str">
        <f>VLOOKUP('Програма-кодове'!Z20,Списък!$A$1:$C$209,3,FALSE)</f>
        <v>информатика</v>
      </c>
      <c r="C165" s="21" t="str">
        <f>VLOOKUP('Програма-кодове'!AA20,Списък!$A$1:$C$209,3,FALSE)</f>
        <v>ІІ - ри чужд език</v>
      </c>
      <c r="D165" s="21" t="str">
        <f>VLOOKUP('Програма-кодове'!AB20,Списък!$A$1:$C$209,3,FALSE)</f>
        <v>ІІ - ри чужд език</v>
      </c>
      <c r="E165" s="21" t="str">
        <f>VLOOKUP('Програма-кодове'!AC20,Списък!$A$1:$C$209,3,FALSE)</f>
        <v>математика</v>
      </c>
      <c r="F165" s="21" t="str">
        <f>VLOOKUP('Програма-кодове'!AD20,Списък!$A$1:$C$209,3,FALSE)</f>
        <v>английски език</v>
      </c>
      <c r="H165" s="12"/>
      <c r="I165" s="12"/>
      <c r="J165" s="12"/>
      <c r="K165" s="12"/>
    </row>
    <row r="166" spans="1:11" ht="11.25" customHeight="1">
      <c r="A166" s="13">
        <v>6</v>
      </c>
      <c r="B166" s="21" t="str">
        <f>VLOOKUP('Програма-кодове'!Z21,Списък!$A$1:$C$209,3,FALSE)</f>
        <v>история</v>
      </c>
      <c r="C166" s="21" t="str">
        <f>VLOOKUP('Програма-кодове'!AA21,Списък!$A$1:$C$209,3,FALSE)</f>
        <v>ІІ - ри чужд език</v>
      </c>
      <c r="D166" s="21" t="str">
        <f>VLOOKUP('Програма-кодове'!AB21,Списък!$A$1:$C$209,3,FALSE)</f>
        <v>ІІ - ри чужд език</v>
      </c>
      <c r="E166" s="21" t="str">
        <f>VLOOKUP('Програма-кодове'!AC21,Списък!$A$1:$C$209,3,FALSE)</f>
        <v>математика</v>
      </c>
      <c r="F166" s="21" t="str">
        <f>VLOOKUP('Програма-кодове'!AD21,Списък!$A$1:$C$209,3,FALSE)</f>
        <v>английски език</v>
      </c>
      <c r="H166" s="12"/>
      <c r="I166" s="12"/>
      <c r="J166" s="12"/>
      <c r="K166" s="12"/>
    </row>
    <row r="167" spans="1:11" ht="11.25" customHeight="1">
      <c r="A167" s="13">
        <v>7</v>
      </c>
      <c r="B167" s="12" t="s">
        <v>59</v>
      </c>
      <c r="C167" s="12" t="s">
        <v>59</v>
      </c>
      <c r="D167" s="12" t="s">
        <v>59</v>
      </c>
      <c r="E167" s="12" t="s">
        <v>59</v>
      </c>
      <c r="F167" s="12" t="s">
        <v>59</v>
      </c>
      <c r="H167" s="12"/>
      <c r="I167" s="12"/>
      <c r="J167" s="12"/>
      <c r="K167" s="12"/>
    </row>
    <row r="168" spans="1:11" ht="3" customHeight="1">
      <c r="A168" s="14"/>
      <c r="B168" s="15"/>
      <c r="C168" s="15"/>
      <c r="D168" s="15"/>
      <c r="E168" s="15"/>
      <c r="F168" s="15"/>
      <c r="H168" s="12"/>
      <c r="I168" s="12"/>
      <c r="J168" s="12"/>
      <c r="K168" s="12"/>
    </row>
    <row r="169" spans="1:11" ht="23.25" customHeight="1" thickBot="1">
      <c r="A169" s="355" t="s">
        <v>27</v>
      </c>
      <c r="B169" s="355"/>
      <c r="C169" s="355"/>
      <c r="D169" s="355"/>
      <c r="E169" s="355"/>
      <c r="F169" s="355"/>
      <c r="H169" s="12"/>
      <c r="I169" s="12"/>
      <c r="J169" s="12"/>
      <c r="K169" s="12"/>
    </row>
    <row r="170" spans="1:11" s="43" customFormat="1" ht="11.25" customHeight="1" thickTop="1">
      <c r="A170" s="13"/>
      <c r="B170" s="13">
        <v>5</v>
      </c>
      <c r="C170" s="13">
        <v>6</v>
      </c>
      <c r="D170" s="13">
        <v>7</v>
      </c>
      <c r="E170" s="13"/>
      <c r="F170" s="13"/>
      <c r="G170" s="12"/>
      <c r="H170" s="12"/>
      <c r="I170" s="12"/>
      <c r="J170" s="12"/>
      <c r="K170" s="12"/>
    </row>
    <row r="171" spans="1:11" ht="11.25" customHeight="1">
      <c r="A171" s="13">
        <v>1</v>
      </c>
      <c r="B171" s="12" t="str">
        <f>VLOOKUP('Програма-кодове'!C23,Списък!$A$1:$C$209,3,FALSE)</f>
        <v>физика</v>
      </c>
      <c r="C171" s="12" t="str">
        <f>VLOOKUP('Програма-кодове'!D23,Списък!$A$1:$C$209,3,FALSE)</f>
        <v>математика</v>
      </c>
      <c r="D171" s="12" t="str">
        <f>VLOOKUP('Програма-кодове'!E23,Списък!$A$1:$C$209,3,FALSE)</f>
        <v>рисуване</v>
      </c>
      <c r="H171" s="12"/>
      <c r="I171" s="12"/>
      <c r="J171" s="12"/>
      <c r="K171" s="12"/>
    </row>
    <row r="172" spans="1:11" ht="11.25" customHeight="1">
      <c r="A172" s="13">
        <v>2</v>
      </c>
      <c r="B172" s="12" t="str">
        <f>VLOOKUP('Програма-кодове'!C24,Списък!$A$1:$C$209,3,FALSE)</f>
        <v>бълг. език</v>
      </c>
      <c r="C172" s="12" t="str">
        <f>VLOOKUP('Програма-кодове'!D24,Списък!$A$1:$C$209,3,FALSE)</f>
        <v>рисуване</v>
      </c>
      <c r="D172" s="12" t="str">
        <f>VLOOKUP('Програма-кодове'!E24,Списък!$A$1:$C$209,3,FALSE)</f>
        <v>химия</v>
      </c>
      <c r="H172" s="12"/>
      <c r="I172" s="12"/>
      <c r="J172" s="12"/>
      <c r="K172" s="12"/>
    </row>
    <row r="173" spans="1:11" ht="11.25" customHeight="1">
      <c r="A173" s="13">
        <v>3</v>
      </c>
      <c r="B173" s="12" t="str">
        <f>VLOOKUP('Програма-кодове'!C25,Списък!$A$1:$C$209,3,FALSE)</f>
        <v>физкултура</v>
      </c>
      <c r="C173" s="12" t="str">
        <f>VLOOKUP('Програма-кодове'!D25,Списък!$A$1:$C$209,3,FALSE)</f>
        <v>английски език</v>
      </c>
      <c r="D173" s="12" t="str">
        <f>VLOOKUP('Програма-кодове'!E25,Списък!$A$1:$C$209,3,FALSE)</f>
        <v>бълг. език</v>
      </c>
      <c r="H173" s="12"/>
      <c r="I173" s="12"/>
      <c r="J173" s="12"/>
      <c r="K173" s="12"/>
    </row>
    <row r="174" spans="1:11" ht="11.25" customHeight="1">
      <c r="A174" s="13">
        <v>4</v>
      </c>
      <c r="B174" s="12" t="str">
        <f>VLOOKUP('Програма-кодове'!C26,Списък!$A$1:$C$209,3,FALSE)</f>
        <v>математика</v>
      </c>
      <c r="C174" s="12" t="str">
        <f>VLOOKUP('Програма-кодове'!D26,Списък!$A$1:$C$209,3,FALSE)</f>
        <v>география</v>
      </c>
      <c r="D174" s="12" t="str">
        <f>VLOOKUP('Програма-кодове'!E26,Списък!$A$1:$C$209,3,FALSE)</f>
        <v>английски език</v>
      </c>
      <c r="H174" s="12"/>
      <c r="I174" s="12"/>
      <c r="J174" s="12"/>
      <c r="K174" s="12"/>
    </row>
    <row r="175" spans="1:11" ht="11.25" customHeight="1">
      <c r="A175" s="13">
        <v>5</v>
      </c>
      <c r="B175" s="12" t="str">
        <f>VLOOKUP('Програма-кодове'!C27,Списък!$A$1:$C$209,3,FALSE)</f>
        <v>история</v>
      </c>
      <c r="C175" s="12" t="str">
        <f>VLOOKUP('Програма-кодове'!D27,Списък!$A$1:$C$209,3,FALSE)</f>
        <v>бълг. език</v>
      </c>
      <c r="D175" s="12" t="str">
        <f>VLOOKUP('Програма-кодове'!E27,Списък!$A$1:$C$209,3,FALSE)</f>
        <v>физкултура</v>
      </c>
      <c r="H175" s="12"/>
      <c r="I175" s="12"/>
      <c r="J175" s="12"/>
      <c r="K175" s="12"/>
    </row>
    <row r="176" spans="1:11" ht="11.25" customHeight="1">
      <c r="A176" s="13">
        <v>6</v>
      </c>
      <c r="B176" s="12" t="str">
        <f>VLOOKUP('Програма-кодове'!C28,Списък!$A$1:$C$209,3,FALSE)</f>
        <v>информатика</v>
      </c>
      <c r="C176" s="12" t="str">
        <f>VLOOKUP('Програма-кодове'!D28,Списък!$A$1:$C$209,3,FALSE)</f>
        <v>бълг. език</v>
      </c>
      <c r="D176" s="12" t="str">
        <f>VLOOKUP('Програма-кодове'!E28,Списък!$A$1:$C$209,3,FALSE)</f>
        <v>история</v>
      </c>
      <c r="H176" s="12"/>
      <c r="I176" s="12"/>
      <c r="J176" s="12"/>
      <c r="K176" s="12"/>
    </row>
    <row r="177" spans="1:11" ht="11.25" customHeight="1">
      <c r="A177" s="13">
        <v>7</v>
      </c>
      <c r="B177" s="12">
        <f>VLOOKUP('Програма-кодове'!C29,Списък!$A$1:$C$209,3,FALSE)</f>
        <v>0</v>
      </c>
      <c r="C177" s="12">
        <f>VLOOKUP('Програма-кодове'!D29,Списък!$A$1:$C$209,3,FALSE)</f>
        <v>0</v>
      </c>
      <c r="D177" s="12">
        <f>VLOOKUP('Програма-кодове'!E29,Списък!$A$1:$C$209,3,FALSE)</f>
        <v>0</v>
      </c>
      <c r="H177" s="12"/>
      <c r="I177" s="12"/>
      <c r="J177" s="12"/>
      <c r="K177" s="12"/>
    </row>
    <row r="178" spans="1:11" ht="3" customHeight="1">
      <c r="A178" s="14"/>
      <c r="B178" s="15"/>
      <c r="C178" s="15"/>
      <c r="D178" s="15"/>
      <c r="E178" s="15"/>
      <c r="F178" s="15"/>
      <c r="H178" s="12"/>
      <c r="I178" s="12"/>
      <c r="J178" s="12"/>
      <c r="K178" s="12"/>
    </row>
    <row r="179" spans="1:11" ht="11.25" customHeight="1">
      <c r="B179" s="13" t="s">
        <v>0</v>
      </c>
      <c r="C179" s="13" t="s">
        <v>1</v>
      </c>
      <c r="D179" s="13" t="s">
        <v>2</v>
      </c>
      <c r="E179" s="13" t="s">
        <v>3</v>
      </c>
      <c r="F179" s="13" t="s">
        <v>4</v>
      </c>
      <c r="H179" s="12"/>
      <c r="I179" s="12"/>
      <c r="J179" s="12"/>
      <c r="K179" s="12"/>
    </row>
    <row r="180" spans="1:11" ht="11.25" customHeight="1">
      <c r="A180" s="13">
        <v>1</v>
      </c>
      <c r="B180" s="12" t="str">
        <f>VLOOKUP('Програма-кодове'!F23,Списък!$A$1:$C$209,3,FALSE)</f>
        <v>информатика</v>
      </c>
      <c r="C180" s="12" t="str">
        <f>VLOOKUP('Програма-кодове'!G23,Списък!$A$1:$C$209,3,FALSE)</f>
        <v>английски език</v>
      </c>
      <c r="D180" s="12" t="str">
        <f>VLOOKUP('Програма-кодове'!H23,Списък!$A$1:$C$209,3,FALSE)</f>
        <v>английски език</v>
      </c>
      <c r="E180" s="12" t="str">
        <f>VLOOKUP('Програма-кодове'!I23,Списък!$A$1:$C$209,3,FALSE)</f>
        <v>английски език</v>
      </c>
      <c r="F180" s="12" t="str">
        <f>VLOOKUP('Програма-кодове'!J23,Списък!$A$1:$C$209,3,FALSE)</f>
        <v>бълг. език</v>
      </c>
      <c r="H180" s="12"/>
      <c r="I180" s="12"/>
      <c r="J180" s="12"/>
      <c r="K180" s="12"/>
    </row>
    <row r="181" spans="1:11" ht="11.25" customHeight="1">
      <c r="A181" s="13">
        <v>2</v>
      </c>
      <c r="B181" s="12" t="str">
        <f>VLOOKUP('Програма-кодове'!F24,Списък!$A$1:$C$209,3,FALSE)</f>
        <v>математика</v>
      </c>
      <c r="C181" s="12" t="str">
        <f>VLOOKUP('Програма-кодове'!G24,Списък!$A$1:$C$209,3,FALSE)</f>
        <v>английски език</v>
      </c>
      <c r="D181" s="12" t="str">
        <f>VLOOKUP('Програма-кодове'!H24,Списък!$A$1:$C$209,3,FALSE)</f>
        <v>английски език</v>
      </c>
      <c r="E181" s="12" t="str">
        <f>VLOOKUP('Програма-кодове'!I24,Списък!$A$1:$C$209,3,FALSE)</f>
        <v>английски език</v>
      </c>
      <c r="F181" s="12" t="str">
        <f>VLOOKUP('Програма-кодове'!J24,Списък!$A$1:$C$209,3,FALSE)</f>
        <v>информатика</v>
      </c>
      <c r="H181" s="12"/>
      <c r="I181" s="12"/>
      <c r="J181" s="12"/>
      <c r="K181" s="12"/>
    </row>
    <row r="182" spans="1:11" ht="11.25" customHeight="1">
      <c r="A182" s="13">
        <v>3</v>
      </c>
      <c r="B182" s="12" t="str">
        <f>VLOOKUP('Програма-кодове'!F25,Списък!$A$1:$C$209,3,FALSE)</f>
        <v>английски език</v>
      </c>
      <c r="C182" s="12" t="str">
        <f>VLOOKUP('Програма-кодове'!G25,Списък!$A$1:$C$209,3,FALSE)</f>
        <v>английски език</v>
      </c>
      <c r="D182" s="12" t="str">
        <f>VLOOKUP('Програма-кодове'!H25,Списък!$A$1:$C$209,3,FALSE)</f>
        <v>информатика</v>
      </c>
      <c r="E182" s="12" t="str">
        <f>VLOOKUP('Програма-кодове'!I25,Списък!$A$1:$C$209,3,FALSE)</f>
        <v>английски език</v>
      </c>
      <c r="F182" s="12" t="str">
        <f>VLOOKUP('Програма-кодове'!J25,Списък!$A$1:$C$209,3,FALSE)</f>
        <v>математика</v>
      </c>
      <c r="H182" s="12"/>
      <c r="I182" s="12"/>
      <c r="J182" s="12"/>
      <c r="K182" s="12"/>
    </row>
    <row r="183" spans="1:11" ht="11.25" customHeight="1">
      <c r="A183" s="13">
        <v>4</v>
      </c>
      <c r="B183" s="12" t="str">
        <f>VLOOKUP('Програма-кодове'!F26,Списък!$A$1:$C$209,3,FALSE)</f>
        <v>физкултура</v>
      </c>
      <c r="C183" s="12" t="str">
        <f>VLOOKUP('Програма-кодове'!G26,Списък!$A$1:$C$209,3,FALSE)</f>
        <v>английски език</v>
      </c>
      <c r="D183" s="12" t="str">
        <f>VLOOKUP('Програма-кодове'!H26,Списък!$A$1:$C$209,3,FALSE)</f>
        <v>английски език</v>
      </c>
      <c r="E183" s="12" t="str">
        <f>VLOOKUP('Програма-кодове'!I26,Списък!$A$1:$C$209,3,FALSE)</f>
        <v>информатика</v>
      </c>
      <c r="F183" s="12" t="str">
        <f>VLOOKUP('Програма-кодове'!J26,Списък!$A$1:$C$209,3,FALSE)</f>
        <v>английски език</v>
      </c>
      <c r="H183" s="12"/>
      <c r="I183" s="12"/>
      <c r="J183" s="12"/>
      <c r="K183" s="12"/>
    </row>
    <row r="184" spans="1:11" ht="11.25" customHeight="1">
      <c r="A184" s="13">
        <v>5</v>
      </c>
      <c r="B184" s="12" t="str">
        <f>VLOOKUP('Програма-кодове'!F27,Списък!$A$1:$C$209,3,FALSE)</f>
        <v>английски език</v>
      </c>
      <c r="C184" s="12" t="str">
        <f>VLOOKUP('Програма-кодове'!G27,Списък!$A$1:$C$209,3,FALSE)</f>
        <v>ИТ/ИТ</v>
      </c>
      <c r="D184" s="12" t="str">
        <f>VLOOKUP('Програма-кодове'!H27,Списък!$A$1:$C$209,3,FALSE)</f>
        <v>математика</v>
      </c>
      <c r="E184" s="12" t="str">
        <f>VLOOKUP('Програма-кодове'!I27,Списък!$A$1:$C$209,3,FALSE)</f>
        <v>физкултура</v>
      </c>
      <c r="F184" s="12" t="str">
        <f>VLOOKUP('Програма-кодове'!J27,Списък!$A$1:$C$209,3,FALSE)</f>
        <v>английски език</v>
      </c>
      <c r="H184" s="12"/>
      <c r="I184" s="12"/>
      <c r="J184" s="12"/>
      <c r="K184" s="12"/>
    </row>
    <row r="185" spans="1:11" ht="11.25" customHeight="1">
      <c r="A185" s="13">
        <v>6</v>
      </c>
      <c r="B185" s="12" t="str">
        <f>VLOOKUP('Програма-кодове'!F28,Списък!$A$1:$C$209,3,FALSE)</f>
        <v>английски език</v>
      </c>
      <c r="C185" s="12" t="str">
        <f>VLOOKUP('Програма-кодове'!G28,Списък!$A$1:$C$209,3,FALSE)</f>
        <v>физкултура</v>
      </c>
      <c r="D185" s="12" t="str">
        <f>VLOOKUP('Програма-кодове'!H28,Списък!$A$1:$C$209,3,FALSE)</f>
        <v>музика</v>
      </c>
      <c r="E185" s="12" t="str">
        <f>VLOOKUP('Програма-кодове'!I28,Списък!$A$1:$C$209,3,FALSE)</f>
        <v>английски език</v>
      </c>
      <c r="F185" s="12" t="str">
        <f>VLOOKUP('Програма-кодове'!J28,Списък!$A$1:$C$209,3,FALSE)</f>
        <v>английски език</v>
      </c>
      <c r="H185" s="12"/>
      <c r="I185" s="12"/>
      <c r="J185" s="12"/>
      <c r="K185" s="12"/>
    </row>
    <row r="186" spans="1:11" ht="11.25" customHeight="1">
      <c r="A186" s="13">
        <v>7</v>
      </c>
      <c r="B186" s="12">
        <f>VLOOKUP('Програма-кодове'!F29,Списък!$A$1:$C$209,3,FALSE)</f>
        <v>0</v>
      </c>
      <c r="C186" s="12">
        <f>VLOOKUP('Програма-кодове'!G29,Списък!$A$1:$C$209,3,FALSE)</f>
        <v>0</v>
      </c>
      <c r="D186" s="12">
        <f>VLOOKUP('Програма-кодове'!H29,Списък!$A$1:$C$209,3,FALSE)</f>
        <v>0</v>
      </c>
      <c r="E186" s="12">
        <f>VLOOKUP('Програма-кодове'!I29,Списък!$A$1:$C$209,3,FALSE)</f>
        <v>0</v>
      </c>
      <c r="F186" s="12">
        <f>VLOOKUP('Програма-кодове'!J29,Списък!$A$1:$C$209,3,FALSE)</f>
        <v>0</v>
      </c>
      <c r="H186" s="12"/>
      <c r="I186" s="12"/>
      <c r="J186" s="12"/>
      <c r="K186" s="12"/>
    </row>
    <row r="187" spans="1:11" ht="3" customHeight="1">
      <c r="A187" s="14"/>
      <c r="B187" s="15"/>
      <c r="C187" s="15"/>
      <c r="D187" s="15"/>
      <c r="E187" s="15"/>
      <c r="F187" s="15"/>
      <c r="H187" s="12"/>
      <c r="I187" s="12"/>
      <c r="J187" s="12"/>
      <c r="K187" s="12"/>
    </row>
    <row r="188" spans="1:11" s="43" customFormat="1" ht="11.25" customHeight="1">
      <c r="A188" s="13"/>
      <c r="B188" s="13" t="s">
        <v>5</v>
      </c>
      <c r="C188" s="13" t="s">
        <v>6</v>
      </c>
      <c r="D188" s="13" t="s">
        <v>7</v>
      </c>
      <c r="E188" s="13" t="s">
        <v>8</v>
      </c>
      <c r="F188" s="13" t="s">
        <v>9</v>
      </c>
      <c r="G188" s="12"/>
      <c r="H188" s="12"/>
      <c r="I188" s="12"/>
      <c r="J188" s="12"/>
      <c r="K188" s="12"/>
    </row>
    <row r="189" spans="1:11" ht="11.25" customHeight="1">
      <c r="A189" s="13">
        <v>1</v>
      </c>
      <c r="B189" s="12" t="str">
        <f>VLOOKUP('Програма-кодове'!K23,Списък!$A$1:$C$209,3,FALSE)</f>
        <v>английски език</v>
      </c>
      <c r="C189" s="12" t="str">
        <f>VLOOKUP('Програма-кодове'!L23,Списък!$A$1:$C$209,3,FALSE)</f>
        <v>физкултура</v>
      </c>
      <c r="D189" s="21" t="str">
        <f>VLOOKUP('Програма-кодове'!M23,Списък!$A$1:$C$209,3,FALSE)</f>
        <v>физика</v>
      </c>
      <c r="E189" s="12" t="str">
        <f>VLOOKUP('Програма-кодове'!N23,Списък!$A$1:$C$209,3,FALSE)</f>
        <v>бълг. език</v>
      </c>
      <c r="F189" s="12" t="str">
        <f>VLOOKUP('Програма-кодове'!O23,Списък!$A$1:$C$209,3,FALSE)</f>
        <v>биология</v>
      </c>
      <c r="H189" s="12"/>
      <c r="I189" s="12"/>
      <c r="J189" s="12"/>
      <c r="K189" s="12"/>
    </row>
    <row r="190" spans="1:11" ht="11.25" customHeight="1">
      <c r="A190" s="13">
        <v>2</v>
      </c>
      <c r="B190" s="12" t="str">
        <f>VLOOKUP('Програма-кодове'!K24,Списък!$A$1:$C$209,3,FALSE)</f>
        <v>английски език</v>
      </c>
      <c r="C190" s="12" t="str">
        <f>VLOOKUP('Програма-кодове'!L24,Списък!$A$1:$C$209,3,FALSE)</f>
        <v>физика</v>
      </c>
      <c r="D190" s="21" t="str">
        <f>VLOOKUP('Програма-кодове'!M24,Списък!$A$1:$C$209,3,FALSE)</f>
        <v>химия</v>
      </c>
      <c r="E190" s="12" t="str">
        <f>VLOOKUP('Програма-кодове'!N24,Списък!$A$1:$C$209,3,FALSE)</f>
        <v>физкултура</v>
      </c>
      <c r="F190" s="12" t="str">
        <f>VLOOKUP('Програма-кодове'!O24,Списък!$A$1:$C$209,3,FALSE)</f>
        <v>математика</v>
      </c>
      <c r="H190" s="12"/>
      <c r="I190" s="12"/>
      <c r="J190" s="12"/>
      <c r="K190" s="12"/>
    </row>
    <row r="191" spans="1:11" ht="11.25" customHeight="1">
      <c r="A191" s="13">
        <v>3</v>
      </c>
      <c r="B191" s="12" t="str">
        <f>VLOOKUP('Програма-кодове'!K25,Списък!$A$1:$C$209,3,FALSE)</f>
        <v>ІІ - ри чужд език</v>
      </c>
      <c r="C191" s="12" t="str">
        <f>VLOOKUP('Програма-кодове'!L25,Списък!$A$1:$C$209,3,FALSE)</f>
        <v>химия</v>
      </c>
      <c r="D191" s="21" t="str">
        <f>VLOOKUP('Програма-кодове'!M25,Списък!$A$1:$C$209,3,FALSE)</f>
        <v>рисуване</v>
      </c>
      <c r="E191" s="12" t="str">
        <f>VLOOKUP('Програма-кодове'!N25,Списък!$A$1:$C$209,3,FALSE)</f>
        <v>история</v>
      </c>
      <c r="F191" s="12" t="str">
        <f>VLOOKUP('Програма-кодове'!O25,Списък!$A$1:$C$209,3,FALSE)</f>
        <v>ІІ - ри чужд език</v>
      </c>
      <c r="H191" s="12"/>
      <c r="I191" s="12"/>
      <c r="J191" s="12"/>
      <c r="K191" s="12"/>
    </row>
    <row r="192" spans="1:11" ht="11.25" customHeight="1">
      <c r="A192" s="13">
        <v>4</v>
      </c>
      <c r="B192" s="12" t="str">
        <f>VLOOKUP('Програма-кодове'!K26,Списък!$A$1:$C$209,3,FALSE)</f>
        <v>ІІ - ри чужд език</v>
      </c>
      <c r="C192" s="12" t="str">
        <f>VLOOKUP('Програма-кодове'!L26,Списък!$A$1:$C$209,3,FALSE)</f>
        <v>география</v>
      </c>
      <c r="D192" s="21" t="str">
        <f>VLOOKUP('Програма-кодове'!M26,Списък!$A$1:$C$209,3,FALSE)</f>
        <v>английски език</v>
      </c>
      <c r="E192" s="12" t="str">
        <f>VLOOKUP('Програма-кодове'!N26,Списък!$A$1:$C$209,3,FALSE)</f>
        <v>биология</v>
      </c>
      <c r="F192" s="12" t="str">
        <f>VLOOKUP('Програма-кодове'!O26,Списък!$A$1:$C$209,3,FALSE)</f>
        <v>ІІ - ри чужд език</v>
      </c>
      <c r="H192" s="12"/>
      <c r="I192" s="12"/>
      <c r="J192" s="12"/>
      <c r="K192" s="12"/>
    </row>
    <row r="193" spans="1:11" ht="11.25" customHeight="1">
      <c r="A193" s="13">
        <v>5</v>
      </c>
      <c r="B193" s="12" t="str">
        <f>VLOOKUP('Програма-кодове'!K27,Списък!$A$1:$C$209,3,FALSE)</f>
        <v>география</v>
      </c>
      <c r="C193" s="12" t="str">
        <f>VLOOKUP('Програма-кодове'!L27,Списък!$A$1:$C$209,3,FALSE)</f>
        <v>биология</v>
      </c>
      <c r="D193" s="21" t="str">
        <f>VLOOKUP('Програма-кодове'!M27,Списък!$A$1:$C$209,3,FALSE)</f>
        <v>английски език</v>
      </c>
      <c r="E193" s="12" t="str">
        <f>VLOOKUP('Програма-кодове'!N27,Списък!$A$1:$C$209,3,FALSE)</f>
        <v>химия</v>
      </c>
      <c r="F193" s="12" t="str">
        <f>VLOOKUP('Програма-кодове'!O27,Списък!$A$1:$C$209,3,FALSE)</f>
        <v>химия</v>
      </c>
      <c r="H193" s="12"/>
      <c r="I193" s="12"/>
      <c r="J193" s="12"/>
      <c r="K193" s="12"/>
    </row>
    <row r="194" spans="1:11" ht="11.25" customHeight="1">
      <c r="A194" s="13">
        <v>6</v>
      </c>
      <c r="B194" s="12" t="str">
        <f>VLOOKUP('Програма-кодове'!K28,Списък!$A$1:$C$209,3,FALSE)</f>
        <v>химия</v>
      </c>
      <c r="C194" s="12" t="str">
        <f>VLOOKUP('Програма-кодове'!L28,Списък!$A$1:$C$209,3,FALSE)</f>
        <v>математика</v>
      </c>
      <c r="D194" s="21" t="str">
        <f>VLOOKUP('Програма-кодове'!M28,Списък!$A$1:$C$209,3,FALSE)</f>
        <v>биология</v>
      </c>
      <c r="E194" s="12" t="str">
        <f>VLOOKUP('Програма-кодове'!N28,Списък!$A$1:$C$209,3,FALSE)</f>
        <v>математика</v>
      </c>
      <c r="F194" s="12" t="str">
        <f>VLOOKUP('Програма-кодове'!O28,Списък!$A$1:$C$209,3,FALSE)</f>
        <v>география</v>
      </c>
      <c r="H194" s="12"/>
      <c r="I194" s="12"/>
      <c r="J194" s="12"/>
      <c r="K194" s="12"/>
    </row>
    <row r="195" spans="1:11" ht="11.25" customHeight="1">
      <c r="A195" s="13">
        <v>7</v>
      </c>
      <c r="B195" s="12">
        <f>VLOOKUP('Програма-кодове'!K29,Списък!$A$1:$C$209,3,FALSE)</f>
        <v>0</v>
      </c>
      <c r="C195" s="12">
        <f>VLOOKUP('Програма-кодове'!L29,Списък!$A$1:$C$209,3,FALSE)</f>
        <v>0</v>
      </c>
      <c r="D195" s="21">
        <f>VLOOKUP('Програма-кодове'!M29,Списък!$A$1:$C$209,3,FALSE)</f>
        <v>0</v>
      </c>
      <c r="E195" s="12">
        <f>VLOOKUP('Програма-кодове'!N29,Списък!$A$1:$C$209,3,FALSE)</f>
        <v>0</v>
      </c>
      <c r="F195" s="12">
        <f>VLOOKUP('Програма-кодове'!O29,Списък!$A$1:$C$209,3,FALSE)</f>
        <v>0</v>
      </c>
      <c r="H195" s="12"/>
      <c r="I195" s="12"/>
      <c r="J195" s="12"/>
      <c r="K195" s="12"/>
    </row>
    <row r="196" spans="1:11" ht="3" customHeight="1">
      <c r="A196" s="14"/>
      <c r="B196" s="14"/>
      <c r="C196" s="14"/>
      <c r="D196" s="14"/>
      <c r="E196" s="14"/>
      <c r="F196" s="14"/>
      <c r="H196" s="12"/>
      <c r="I196" s="12"/>
      <c r="J196" s="12"/>
      <c r="K196" s="12"/>
    </row>
    <row r="197" spans="1:11" s="43" customFormat="1" ht="11.25" customHeight="1">
      <c r="A197" s="13"/>
      <c r="B197" s="13" t="s">
        <v>10</v>
      </c>
      <c r="C197" s="13" t="s">
        <v>11</v>
      </c>
      <c r="D197" s="13" t="s">
        <v>12</v>
      </c>
      <c r="E197" s="13" t="s">
        <v>13</v>
      </c>
      <c r="F197" s="13" t="s">
        <v>14</v>
      </c>
      <c r="G197" s="12"/>
      <c r="H197" s="12"/>
      <c r="I197" s="12"/>
      <c r="J197" s="12"/>
      <c r="K197" s="12"/>
    </row>
    <row r="198" spans="1:11" ht="11.25" customHeight="1">
      <c r="A198" s="13">
        <v>1</v>
      </c>
      <c r="B198" s="12" t="str">
        <f>VLOOKUP('Програма-кодове'!P23,Списък!$A$1:$C$209,3,FALSE)</f>
        <v>математика</v>
      </c>
      <c r="C198" s="21" t="str">
        <f>VLOOKUP('Програма-кодове'!Q23,Списък!$A$1:$C$209,3,FALSE)</f>
        <v>ІІ - ри чужд език</v>
      </c>
      <c r="D198" s="12" t="str">
        <f>VLOOKUP('Програма-кодове'!R23,Списък!$A$1:$C$209,3,FALSE)</f>
        <v>ІІ - ри чужд език</v>
      </c>
      <c r="E198" s="12" t="str">
        <f>VLOOKUP('Програма-кодове'!S23,Списък!$A$1:$C$209,3,FALSE)</f>
        <v>английски език</v>
      </c>
      <c r="F198" s="12" t="str">
        <f>VLOOKUP('Програма-кодове'!T23,Списък!$A$1:$C$209,3,FALSE)</f>
        <v>химия</v>
      </c>
      <c r="H198" s="12"/>
      <c r="I198" s="12"/>
      <c r="J198" s="12"/>
      <c r="K198" s="12"/>
    </row>
    <row r="199" spans="1:11" ht="11.25" customHeight="1">
      <c r="A199" s="13">
        <v>2</v>
      </c>
      <c r="B199" s="12" t="str">
        <f>VLOOKUP('Програма-кодове'!P24,Списък!$A$1:$C$209,3,FALSE)</f>
        <v>информатика</v>
      </c>
      <c r="C199" s="21" t="str">
        <f>VLOOKUP('Програма-кодове'!Q24,Списък!$A$1:$C$209,3,FALSE)</f>
        <v>ІІ - ри чужд език</v>
      </c>
      <c r="D199" s="12" t="str">
        <f>VLOOKUP('Програма-кодове'!R24,Списък!$A$1:$C$209,3,FALSE)</f>
        <v>ІІ - ри чужд език</v>
      </c>
      <c r="E199" s="12" t="str">
        <f>VLOOKUP('Програма-кодове'!S24,Списък!$A$1:$C$209,3,FALSE)</f>
        <v>философия</v>
      </c>
      <c r="F199" s="12" t="str">
        <f>VLOOKUP('Програма-кодове'!T24,Списък!$A$1:$C$209,3,FALSE)</f>
        <v>английски език</v>
      </c>
      <c r="H199" s="12"/>
      <c r="I199" s="12"/>
      <c r="J199" s="12"/>
      <c r="K199" s="12"/>
    </row>
    <row r="200" spans="1:11" ht="11.25" customHeight="1">
      <c r="A200" s="13">
        <v>3</v>
      </c>
      <c r="B200" s="12" t="str">
        <f>VLOOKUP('Програма-кодове'!P25,Списък!$A$1:$C$209,3,FALSE)</f>
        <v>история</v>
      </c>
      <c r="C200" s="21" t="str">
        <f>VLOOKUP('Програма-кодове'!Q25,Списък!$A$1:$C$209,3,FALSE)</f>
        <v>информатика</v>
      </c>
      <c r="D200" s="12" t="str">
        <f>VLOOKUP('Програма-кодове'!R25,Списък!$A$1:$C$209,3,FALSE)</f>
        <v>английски език</v>
      </c>
      <c r="E200" s="12" t="str">
        <f>VLOOKUP('Програма-кодове'!S25,Списък!$A$1:$C$209,3,FALSE)</f>
        <v>математика</v>
      </c>
      <c r="F200" s="12" t="str">
        <f>VLOOKUP('Програма-кодове'!T25,Списък!$A$1:$C$209,3,FALSE)</f>
        <v>математика</v>
      </c>
      <c r="H200" s="12"/>
      <c r="I200" s="12"/>
      <c r="J200" s="12"/>
      <c r="K200" s="12"/>
    </row>
    <row r="201" spans="1:11" ht="11.25" customHeight="1">
      <c r="A201" s="13">
        <v>4</v>
      </c>
      <c r="B201" s="12" t="str">
        <f>VLOOKUP('Програма-кодове'!P26,Списък!$A$1:$C$209,3,FALSE)</f>
        <v>химия</v>
      </c>
      <c r="C201" s="21" t="str">
        <f>VLOOKUP('Програма-кодове'!Q26,Списък!$A$1:$C$209,3,FALSE)</f>
        <v>философия</v>
      </c>
      <c r="D201" s="12" t="str">
        <f>VLOOKUP('Програма-кодове'!R26,Списък!$A$1:$C$209,3,FALSE)</f>
        <v>информатика</v>
      </c>
      <c r="E201" s="12" t="str">
        <f>VLOOKUP('Програма-кодове'!S26,Списък!$A$1:$C$209,3,FALSE)</f>
        <v>математика</v>
      </c>
      <c r="F201" s="12" t="str">
        <f>VLOOKUP('Програма-кодове'!T26,Списък!$A$1:$C$209,3,FALSE)</f>
        <v>физкултура</v>
      </c>
      <c r="H201" s="12"/>
      <c r="I201" s="12"/>
      <c r="J201" s="12"/>
      <c r="K201" s="12"/>
    </row>
    <row r="202" spans="1:11" ht="11.25" customHeight="1">
      <c r="A202" s="13">
        <v>5</v>
      </c>
      <c r="B202" s="12" t="str">
        <f>VLOOKUP('Програма-кодове'!P27,Списък!$A$1:$C$209,3,FALSE)</f>
        <v>ІІ - ри чужд език</v>
      </c>
      <c r="C202" s="21" t="str">
        <f>VLOOKUP('Програма-кодове'!Q27,Списък!$A$1:$C$209,3,FALSE)</f>
        <v>бълг. език</v>
      </c>
      <c r="D202" s="12" t="str">
        <f>VLOOKUP('Програма-кодове'!R27,Списък!$A$1:$C$209,3,FALSE)</f>
        <v>философия</v>
      </c>
      <c r="E202" s="12" t="str">
        <f>VLOOKUP('Програма-кодове'!S27,Списък!$A$1:$C$209,3,FALSE)</f>
        <v>информатика</v>
      </c>
      <c r="F202" s="12" t="str">
        <f>VLOOKUP('Програма-кодове'!T27,Списък!$A$1:$C$209,3,FALSE)</f>
        <v>биология</v>
      </c>
      <c r="H202" s="12"/>
      <c r="I202" s="12"/>
      <c r="J202" s="12"/>
      <c r="K202" s="12"/>
    </row>
    <row r="203" spans="1:11" ht="11.25" customHeight="1">
      <c r="A203" s="13">
        <v>6</v>
      </c>
      <c r="B203" s="12" t="str">
        <f>VLOOKUP('Програма-кодове'!P28,Списък!$A$1:$C$209,3,FALSE)</f>
        <v>ІІ - ри чужд език</v>
      </c>
      <c r="C203" s="21" t="str">
        <f>VLOOKUP('Програма-кодове'!Q28,Списък!$A$1:$C$209,3,FALSE)</f>
        <v>биология</v>
      </c>
      <c r="D203" s="12" t="str">
        <f>VLOOKUP('Програма-кодове'!R28,Списък!$A$1:$C$209,3,FALSE)</f>
        <v>география</v>
      </c>
      <c r="E203" s="12" t="str">
        <f>VLOOKUP('Програма-кодове'!S28,Списък!$A$1:$C$209,3,FALSE)</f>
        <v>бълг. език</v>
      </c>
      <c r="F203" s="12" t="str">
        <f>VLOOKUP('Програма-кодове'!T28,Списък!$A$1:$C$209,3,FALSE)</f>
        <v>философия</v>
      </c>
      <c r="H203" s="12"/>
      <c r="I203" s="12"/>
      <c r="J203" s="12"/>
      <c r="K203" s="12"/>
    </row>
    <row r="204" spans="1:11" ht="11.25" customHeight="1">
      <c r="A204" s="13">
        <v>7</v>
      </c>
      <c r="B204" s="12">
        <f>VLOOKUP('Програма-кодове'!P29,Списък!$A$1:$C$209,3,FALSE)</f>
        <v>0</v>
      </c>
      <c r="C204" s="21">
        <f>VLOOKUP('Програма-кодове'!Q29,Списък!$A$1:$C$209,3,FALSE)</f>
        <v>0</v>
      </c>
      <c r="D204" s="12">
        <f>VLOOKUP('Програма-кодове'!R29,Списък!$A$1:$C$209,3,FALSE)</f>
        <v>0</v>
      </c>
      <c r="E204" s="12">
        <f>VLOOKUP('Програма-кодове'!S29,Списък!$A$1:$C$209,3,FALSE)</f>
        <v>0</v>
      </c>
      <c r="F204" s="12">
        <f>VLOOKUP('Програма-кодове'!T29,Списък!$A$1:$C$209,3,FALSE)</f>
        <v>0</v>
      </c>
      <c r="H204" s="12"/>
      <c r="I204" s="12"/>
      <c r="J204" s="12"/>
      <c r="K204" s="12"/>
    </row>
    <row r="205" spans="1:11" ht="3" customHeight="1">
      <c r="A205" s="14"/>
      <c r="B205" s="15"/>
      <c r="C205" s="15"/>
      <c r="D205" s="15"/>
      <c r="E205" s="15"/>
      <c r="F205" s="15"/>
      <c r="H205" s="12"/>
      <c r="I205" s="12"/>
      <c r="J205" s="12"/>
      <c r="K205" s="12"/>
    </row>
    <row r="206" spans="1:11" s="43" customFormat="1" ht="11.25" customHeight="1">
      <c r="A206" s="13"/>
      <c r="B206" s="13" t="s">
        <v>15</v>
      </c>
      <c r="C206" s="13" t="s">
        <v>16</v>
      </c>
      <c r="D206" s="13" t="s">
        <v>17</v>
      </c>
      <c r="E206" s="13" t="s">
        <v>46</v>
      </c>
      <c r="F206" s="13" t="s">
        <v>18</v>
      </c>
      <c r="G206" s="12"/>
      <c r="H206" s="12"/>
      <c r="I206" s="12"/>
      <c r="J206" s="12"/>
      <c r="K206" s="12"/>
    </row>
    <row r="207" spans="1:11" ht="11.25" customHeight="1">
      <c r="A207" s="13">
        <v>1</v>
      </c>
      <c r="B207" s="12" t="str">
        <f>VLOOKUP('Програма-кодове'!U23,Списък!$A$1:$C$209,3,FALSE)</f>
        <v>физкултура</v>
      </c>
      <c r="C207" s="12" t="str">
        <f>VLOOKUP('Програма-кодове'!V23,Списък!$A$1:$C$209,3,FALSE)</f>
        <v>математика</v>
      </c>
      <c r="D207" s="21" t="str">
        <f>VLOOKUP('Програма-кодове'!W23,Списък!$A$1:$C$209,3,FALSE)</f>
        <v>английски език</v>
      </c>
      <c r="E207" s="21" t="str">
        <f>VLOOKUP('Програма-кодове'!X23,Списък!$A$1:$C$209,3,FALSE)</f>
        <v>бълг. език</v>
      </c>
      <c r="F207" s="12" t="str">
        <f>VLOOKUP('Програма-кодове'!Y23,Списък!$A$1:$C$209,3,FALSE)</f>
        <v>философия</v>
      </c>
      <c r="H207" s="12"/>
      <c r="I207" s="12"/>
      <c r="J207" s="12"/>
      <c r="K207" s="12"/>
    </row>
    <row r="208" spans="1:11" ht="11.25" customHeight="1">
      <c r="A208" s="13">
        <v>2</v>
      </c>
      <c r="B208" s="12" t="str">
        <f>VLOOKUP('Програма-кодове'!U24,Списък!$A$1:$C$209,3,FALSE)</f>
        <v>физика</v>
      </c>
      <c r="C208" s="12" t="str">
        <f>VLOOKUP('Програма-кодове'!V24,Списък!$A$1:$C$209,3,FALSE)</f>
        <v>английски език</v>
      </c>
      <c r="D208" s="21" t="str">
        <f>VLOOKUP('Програма-кодове'!W24,Списък!$A$1:$C$209,3,FALSE)</f>
        <v>история</v>
      </c>
      <c r="E208" s="21" t="str">
        <f>VLOOKUP('Програма-кодове'!X24,Списък!$A$1:$C$209,3,FALSE)</f>
        <v>бълг. език</v>
      </c>
      <c r="F208" s="12" t="str">
        <f>VLOOKUP('Програма-кодове'!Y24,Списък!$A$1:$C$209,3,FALSE)</f>
        <v>математика</v>
      </c>
      <c r="H208" s="12"/>
      <c r="I208" s="12"/>
      <c r="J208" s="12"/>
      <c r="K208" s="12"/>
    </row>
    <row r="209" spans="1:11" ht="11.25" customHeight="1">
      <c r="A209" s="13">
        <v>3</v>
      </c>
      <c r="B209" s="12" t="str">
        <f>VLOOKUP('Програма-кодове'!U25,Списък!$A$1:$C$209,3,FALSE)</f>
        <v>история</v>
      </c>
      <c r="C209" s="12" t="str">
        <f>VLOOKUP('Програма-кодове'!V25,Списък!$A$1:$C$209,3,FALSE)</f>
        <v>физика</v>
      </c>
      <c r="D209" s="21" t="str">
        <f>VLOOKUP('Програма-кодове'!W25,Списък!$A$1:$C$209,3,FALSE)</f>
        <v>бълг. език</v>
      </c>
      <c r="E209" s="21" t="str">
        <f>VLOOKUP('Програма-кодове'!X25,Списък!$A$1:$C$209,3,FALSE)</f>
        <v>английски език</v>
      </c>
      <c r="F209" s="12" t="str">
        <f>VLOOKUP('Програма-кодове'!Y25,Списък!$A$1:$C$209,3,FALSE)</f>
        <v>биология</v>
      </c>
      <c r="H209" s="12"/>
      <c r="I209" s="12"/>
      <c r="J209" s="12"/>
      <c r="K209" s="12"/>
    </row>
    <row r="210" spans="1:11" ht="11.25" customHeight="1">
      <c r="A210" s="13">
        <v>4</v>
      </c>
      <c r="B210" s="12" t="str">
        <f>VLOOKUP('Програма-кодове'!U26,Списък!$A$1:$C$209,3,FALSE)</f>
        <v>английски език</v>
      </c>
      <c r="C210" s="12" t="str">
        <f>VLOOKUP('Програма-кодове'!V26,Списък!$A$1:$C$209,3,FALSE)</f>
        <v>биология</v>
      </c>
      <c r="D210" s="21" t="str">
        <f>VLOOKUP('Програма-кодове'!W26,Списък!$A$1:$C$209,3,FALSE)</f>
        <v>бълг. език</v>
      </c>
      <c r="E210" s="21" t="str">
        <f>VLOOKUP('Програма-кодове'!X26,Списък!$A$1:$C$209,3,FALSE)</f>
        <v>история</v>
      </c>
      <c r="F210" s="12" t="str">
        <f>VLOOKUP('Програма-кодове'!Y26,Списък!$A$1:$C$209,3,FALSE)</f>
        <v>английски език</v>
      </c>
      <c r="H210" s="12"/>
      <c r="I210" s="12"/>
      <c r="J210" s="12"/>
      <c r="K210" s="12"/>
    </row>
    <row r="211" spans="1:11" ht="11.25" customHeight="1">
      <c r="A211" s="13">
        <v>5</v>
      </c>
      <c r="B211" s="12" t="str">
        <f>VLOOKUP('Програма-кодове'!U27,Списък!$A$1:$C$209,3,FALSE)</f>
        <v>информатика</v>
      </c>
      <c r="C211" s="12" t="str">
        <f>VLOOKUP('Програма-кодове'!V27,Списък!$A$1:$C$209,3,FALSE)</f>
        <v>химия</v>
      </c>
      <c r="D211" s="21" t="str">
        <f>VLOOKUP('Програма-кодове'!W27,Списък!$A$1:$C$209,3,FALSE)</f>
        <v>физика</v>
      </c>
      <c r="E211" s="21" t="str">
        <f>VLOOKUP('Програма-кодове'!X27,Списък!$A$1:$C$209,3,FALSE)</f>
        <v>география</v>
      </c>
      <c r="F211" s="12" t="str">
        <f>VLOOKUP('Програма-кодове'!Y27,Списък!$A$1:$C$209,3,FALSE)</f>
        <v>бълг. език</v>
      </c>
      <c r="H211" s="12"/>
      <c r="I211" s="12"/>
      <c r="J211" s="12"/>
      <c r="K211" s="12"/>
    </row>
    <row r="212" spans="1:11" ht="11.25" customHeight="1">
      <c r="A212" s="13">
        <v>6</v>
      </c>
      <c r="B212" s="12" t="str">
        <f>VLOOKUP('Програма-кодове'!U28,Списък!$A$1:$C$209,3,FALSE)</f>
        <v>математика</v>
      </c>
      <c r="C212" s="12" t="str">
        <f>VLOOKUP('Програма-кодове'!V28,Списък!$A$1:$C$209,3,FALSE)</f>
        <v>информатика</v>
      </c>
      <c r="D212" s="21" t="str">
        <f>VLOOKUP('Програма-кодове'!W28,Списък!$A$1:$C$209,3,FALSE)</f>
        <v>химия</v>
      </c>
      <c r="E212" s="21" t="str">
        <f>VLOOKUP('Програма-кодове'!X28,Списък!$A$1:$C$209,3,FALSE)</f>
        <v>физика</v>
      </c>
      <c r="F212" s="12" t="str">
        <f>VLOOKUP('Програма-кодове'!Y28,Списък!$A$1:$C$209,3,FALSE)</f>
        <v>бълг. език</v>
      </c>
      <c r="H212" s="12"/>
      <c r="I212" s="12"/>
      <c r="J212" s="12"/>
      <c r="K212" s="12"/>
    </row>
    <row r="213" spans="1:11" ht="11.25" customHeight="1">
      <c r="A213" s="13">
        <v>7</v>
      </c>
      <c r="B213" s="12">
        <f>VLOOKUP('Програма-кодове'!U29,Списък!$A$1:$C$209,3,FALSE)</f>
        <v>0</v>
      </c>
      <c r="C213" s="12">
        <f>VLOOKUP('Програма-кодове'!V29,Списък!$A$1:$C$209,3,FALSE)</f>
        <v>0</v>
      </c>
      <c r="D213" s="21">
        <f>VLOOKUP('Програма-кодове'!W29,Списък!$A$1:$C$209,3,FALSE)</f>
        <v>0</v>
      </c>
      <c r="E213" s="21">
        <f>VLOOKUP('Програма-кодове'!X29,Списък!$A$1:$C$209,3,FALSE)</f>
        <v>0</v>
      </c>
      <c r="F213" s="12">
        <f>VLOOKUP('Програма-кодове'!Y29,Списък!$A$1:$C$209,3,FALSE)</f>
        <v>0</v>
      </c>
      <c r="H213" s="12"/>
      <c r="I213" s="12"/>
      <c r="J213" s="12"/>
      <c r="K213" s="12"/>
    </row>
    <row r="214" spans="1:11" ht="3" customHeight="1">
      <c r="A214" s="14"/>
      <c r="B214" s="14"/>
      <c r="C214" s="14"/>
      <c r="D214" s="14"/>
      <c r="E214" s="14"/>
      <c r="F214" s="14"/>
      <c r="H214" s="12"/>
      <c r="I214" s="12"/>
      <c r="J214" s="12"/>
      <c r="K214" s="12"/>
    </row>
    <row r="215" spans="1:11" s="43" customFormat="1" ht="11.25" customHeight="1">
      <c r="A215" s="13"/>
      <c r="B215" s="13" t="s">
        <v>48</v>
      </c>
      <c r="C215" s="13" t="s">
        <v>49</v>
      </c>
      <c r="D215" s="13" t="s">
        <v>50</v>
      </c>
      <c r="E215" s="13" t="s">
        <v>51</v>
      </c>
      <c r="F215" s="13" t="s">
        <v>52</v>
      </c>
      <c r="G215" s="12"/>
      <c r="H215" s="12"/>
      <c r="I215" s="12"/>
      <c r="J215" s="12"/>
      <c r="K215" s="12"/>
    </row>
    <row r="216" spans="1:11" ht="11.25" customHeight="1">
      <c r="A216" s="13">
        <v>1</v>
      </c>
      <c r="B216" s="12" t="str">
        <f>VLOOKUP('Програма-кодове'!Z23,Списък!$A$1:$C$209,3,FALSE)</f>
        <v>информатика</v>
      </c>
      <c r="C216" s="12" t="str">
        <f>VLOOKUP('Програма-кодове'!AA23,Списък!$A$1:$C$209,3,FALSE)</f>
        <v>история</v>
      </c>
      <c r="D216" s="12" t="str">
        <f>VLOOKUP('Програма-кодове'!AB23,Списък!$A$1:$C$209,3,FALSE)</f>
        <v>свят и личност</v>
      </c>
      <c r="E216" s="12" t="str">
        <f>VLOOKUP('Програма-кодове'!AC23,Списък!$A$1:$C$209,3,FALSE)</f>
        <v>математика</v>
      </c>
      <c r="F216" s="12" t="str">
        <f>VLOOKUP('Програма-кодове'!AD23,Списък!$A$1:$C$209,3,FALSE)</f>
        <v>биология</v>
      </c>
      <c r="H216" s="12"/>
      <c r="I216" s="12"/>
      <c r="J216" s="12"/>
      <c r="K216" s="12"/>
    </row>
    <row r="217" spans="1:11" ht="11.25" customHeight="1">
      <c r="A217" s="13">
        <v>2</v>
      </c>
      <c r="B217" s="12" t="str">
        <f>VLOOKUP('Програма-кодове'!Z24,Списък!$A$1:$C$209,3,FALSE)</f>
        <v>информатика</v>
      </c>
      <c r="C217" s="12" t="str">
        <f>VLOOKUP('Програма-кодове'!AA24,Списък!$A$1:$C$209,3,FALSE)</f>
        <v>бълг. език</v>
      </c>
      <c r="D217" s="12" t="str">
        <f>VLOOKUP('Програма-кодове'!AB24,Списък!$A$1:$C$209,3,FALSE)</f>
        <v>физкултура</v>
      </c>
      <c r="E217" s="12" t="str">
        <f>VLOOKUP('Програма-кодове'!AC24,Списък!$A$1:$C$209,3,FALSE)</f>
        <v>математика</v>
      </c>
      <c r="F217" s="12" t="str">
        <f>VLOOKUP('Програма-кодове'!AD24,Списък!$A$1:$C$209,3,FALSE)</f>
        <v>биология</v>
      </c>
      <c r="H217" s="12"/>
      <c r="I217" s="12"/>
      <c r="J217" s="12"/>
      <c r="K217" s="12"/>
    </row>
    <row r="218" spans="1:11" ht="11.25" customHeight="1">
      <c r="A218" s="13">
        <v>3</v>
      </c>
      <c r="B218" s="12" t="str">
        <f>VLOOKUP('Програма-кодове'!Z25,Списък!$A$1:$C$209,3,FALSE)</f>
        <v>математика</v>
      </c>
      <c r="C218" s="12" t="str">
        <f>VLOOKUP('Програма-кодове'!AA25,Списък!$A$1:$C$209,3,FALSE)</f>
        <v>информатика</v>
      </c>
      <c r="D218" s="12" t="str">
        <f>VLOOKUP('Програма-кодове'!AB25,Списък!$A$1:$C$209,3,FALSE)</f>
        <v>английски език</v>
      </c>
      <c r="E218" s="12" t="str">
        <f>VLOOKUP('Програма-кодове'!AC25,Списък!$A$1:$C$209,3,FALSE)</f>
        <v>немски език</v>
      </c>
      <c r="F218" s="12" t="str">
        <f>VLOOKUP('Програма-кодове'!AD25,Списък!$A$1:$C$209,3,FALSE)</f>
        <v>бълг. език</v>
      </c>
      <c r="H218" s="12"/>
      <c r="I218" s="12"/>
      <c r="J218" s="12"/>
      <c r="K218" s="12"/>
    </row>
    <row r="219" spans="1:11" ht="11.25" customHeight="1">
      <c r="A219" s="13">
        <v>4</v>
      </c>
      <c r="B219" s="12" t="str">
        <f>VLOOKUP('Програма-кодове'!Z26,Списък!$A$1:$C$209,3,FALSE)</f>
        <v>математика</v>
      </c>
      <c r="C219" s="12" t="str">
        <f>VLOOKUP('Програма-кодове'!AA26,Списък!$A$1:$C$209,3,FALSE)</f>
        <v>информатика</v>
      </c>
      <c r="D219" s="12" t="str">
        <f>VLOOKUP('Програма-кодове'!AB26,Списък!$A$1:$C$209,3,FALSE)</f>
        <v>английски език</v>
      </c>
      <c r="E219" s="12" t="str">
        <f>VLOOKUP('Програма-кодове'!AC26,Списък!$A$1:$C$209,3,FALSE)</f>
        <v>философия</v>
      </c>
      <c r="F219" s="12" t="str">
        <f>VLOOKUP('Програма-кодове'!AD26,Списък!$A$1:$C$209,3,FALSE)</f>
        <v>математика</v>
      </c>
      <c r="H219" s="12"/>
      <c r="I219" s="12"/>
      <c r="J219" s="12"/>
      <c r="K219" s="12"/>
    </row>
    <row r="220" spans="1:11" ht="11.25" customHeight="1">
      <c r="A220" s="13">
        <v>5</v>
      </c>
      <c r="B220" s="12" t="str">
        <f>VLOOKUP('Програма-кодове'!Z27,Списък!$A$1:$C$209,3,FALSE)</f>
        <v>бълг. език</v>
      </c>
      <c r="C220" s="12" t="str">
        <f>VLOOKUP('Програма-кодове'!AA27,Списък!$A$1:$C$209,3,FALSE)</f>
        <v>математика</v>
      </c>
      <c r="D220" s="12" t="str">
        <f>VLOOKUP('Програма-кодове'!AB27,Списък!$A$1:$C$209,3,FALSE)</f>
        <v>математика</v>
      </c>
      <c r="E220" s="12" t="str">
        <f>VLOOKUP('Програма-кодове'!AC27,Списък!$A$1:$C$209,3,FALSE)</f>
        <v>английски език</v>
      </c>
      <c r="F220" s="12" t="str">
        <f>VLOOKUP('Програма-кодове'!AD27,Списък!$A$1:$C$209,3,FALSE)</f>
        <v>философия</v>
      </c>
      <c r="H220" s="12"/>
      <c r="I220" s="12"/>
      <c r="J220" s="12"/>
      <c r="K220" s="12"/>
    </row>
    <row r="221" spans="1:11" ht="11.25" customHeight="1">
      <c r="A221" s="13">
        <v>6</v>
      </c>
      <c r="B221" s="12" t="str">
        <f>VLOOKUP('Програма-кодове'!Z28,Списък!$A$1:$C$209,3,FALSE)</f>
        <v>философия</v>
      </c>
      <c r="C221" s="12" t="str">
        <f>VLOOKUP('Програма-кодове'!AA28,Списък!$A$1:$C$209,3,FALSE)</f>
        <v>английски език</v>
      </c>
      <c r="D221" s="12" t="str">
        <f>VLOOKUP('Програма-кодове'!AB28,Списък!$A$1:$C$209,3,FALSE)</f>
        <v>бълг. език</v>
      </c>
      <c r="E221" s="12" t="str">
        <f>VLOOKUP('Програма-кодове'!AC28,Списък!$A$1:$C$209,3,FALSE)</f>
        <v>история</v>
      </c>
      <c r="F221" s="12" t="str">
        <f>VLOOKUP('Програма-кодове'!AD28,Списък!$A$1:$C$209,3,FALSE)</f>
        <v>химия</v>
      </c>
      <c r="H221" s="12"/>
      <c r="I221" s="12"/>
      <c r="J221" s="12"/>
      <c r="K221" s="12"/>
    </row>
    <row r="222" spans="1:11" ht="11.25" customHeight="1">
      <c r="A222" s="13">
        <v>7</v>
      </c>
      <c r="B222" s="12">
        <f>VLOOKUP('Програма-кодове'!Z29,Списък!$A$1:$C$209,3,FALSE)</f>
        <v>0</v>
      </c>
      <c r="C222" s="12">
        <f>VLOOKUP('Програма-кодове'!AA29,Списък!$A$1:$C$209,3,FALSE)</f>
        <v>0</v>
      </c>
      <c r="D222" s="12">
        <f>VLOOKUP('Програма-кодове'!AB29,Списък!$A$1:$C$209,3,FALSE)</f>
        <v>0</v>
      </c>
      <c r="E222" s="12">
        <f>VLOOKUP('Програма-кодове'!AC29,Списък!$A$1:$C$209,3,FALSE)</f>
        <v>0</v>
      </c>
      <c r="F222" s="12">
        <f>VLOOKUP('Програма-кодове'!AD29,Списък!$A$1:$C$209,3,FALSE)</f>
        <v>0</v>
      </c>
      <c r="H222" s="12"/>
      <c r="I222" s="12"/>
      <c r="J222" s="12"/>
      <c r="K222" s="12"/>
    </row>
    <row r="223" spans="1:11" ht="3" customHeight="1">
      <c r="A223" s="14"/>
      <c r="B223" s="15"/>
      <c r="C223" s="15"/>
      <c r="D223" s="15"/>
      <c r="E223" s="15"/>
      <c r="F223" s="15"/>
      <c r="H223" s="12"/>
      <c r="I223" s="12"/>
      <c r="J223" s="12"/>
      <c r="K223" s="12"/>
    </row>
    <row r="224" spans="1:11" ht="21" customHeight="1" thickBot="1">
      <c r="A224" s="355" t="s">
        <v>28</v>
      </c>
      <c r="B224" s="355"/>
      <c r="C224" s="355"/>
      <c r="D224" s="355"/>
      <c r="E224" s="355"/>
      <c r="F224" s="355"/>
      <c r="H224" s="12"/>
      <c r="I224" s="12"/>
      <c r="J224" s="12"/>
      <c r="K224" s="12"/>
    </row>
    <row r="225" spans="1:11" s="43" customFormat="1" ht="11.25" customHeight="1" thickTop="1">
      <c r="A225" s="13"/>
      <c r="B225" s="13">
        <v>5</v>
      </c>
      <c r="C225" s="13">
        <v>6</v>
      </c>
      <c r="D225" s="13">
        <v>7</v>
      </c>
      <c r="E225" s="13"/>
      <c r="F225" s="13"/>
      <c r="G225" s="12"/>
      <c r="H225" s="12"/>
      <c r="I225" s="12"/>
      <c r="J225" s="12"/>
      <c r="K225" s="12"/>
    </row>
    <row r="226" spans="1:11" ht="11.25" customHeight="1">
      <c r="A226" s="13">
        <v>1</v>
      </c>
      <c r="B226" s="12" t="str">
        <f>VLOOKUP('Програма-кодове'!C30,Списък!$A$1:$C$209,3,FALSE)</f>
        <v>английски език</v>
      </c>
      <c r="C226" s="12" t="str">
        <f>VLOOKUP('Програма-кодове'!D30,Списък!$A$1:$C$209,3,FALSE)</f>
        <v>математика</v>
      </c>
      <c r="D226" s="12" t="str">
        <f>VLOOKUP('Програма-кодове'!E30,Списък!$A$1:$C$209,3,FALSE)</f>
        <v>биология</v>
      </c>
      <c r="H226" s="12"/>
      <c r="I226" s="12"/>
      <c r="J226" s="12"/>
      <c r="K226" s="12"/>
    </row>
    <row r="227" spans="1:11" ht="11.25" customHeight="1">
      <c r="A227" s="13">
        <v>2</v>
      </c>
      <c r="B227" s="12" t="str">
        <f>VLOOKUP('Програма-кодове'!C31,Списък!$A$1:$C$209,3,FALSE)</f>
        <v>история</v>
      </c>
      <c r="C227" s="12" t="str">
        <f>VLOOKUP('Програма-кодове'!D31,Списък!$A$1:$C$209,3,FALSE)</f>
        <v>музика</v>
      </c>
      <c r="D227" s="12" t="str">
        <f>VLOOKUP('Програма-кодове'!E31,Списък!$A$1:$C$209,3,FALSE)</f>
        <v>рисуване</v>
      </c>
      <c r="H227" s="12"/>
      <c r="I227" s="12"/>
      <c r="J227" s="12"/>
      <c r="K227" s="12"/>
    </row>
    <row r="228" spans="1:11" ht="11.25" customHeight="1">
      <c r="A228" s="13">
        <v>3</v>
      </c>
      <c r="B228" s="12" t="str">
        <f>VLOOKUP('Програма-кодове'!C32,Списък!$A$1:$C$209,3,FALSE)</f>
        <v>физкултура</v>
      </c>
      <c r="C228" s="12" t="str">
        <f>VLOOKUP('Програма-кодове'!D32,Списък!$A$1:$C$209,3,FALSE)</f>
        <v>рисуване</v>
      </c>
      <c r="D228" s="12" t="str">
        <f>VLOOKUP('Програма-кодове'!E32,Списък!$A$1:$C$209,3,FALSE)</f>
        <v>бълг. език</v>
      </c>
      <c r="H228" s="12"/>
      <c r="I228" s="12"/>
      <c r="J228" s="12"/>
      <c r="K228" s="12"/>
    </row>
    <row r="229" spans="1:11" ht="11.25" customHeight="1">
      <c r="A229" s="13">
        <v>4</v>
      </c>
      <c r="B229" s="12" t="str">
        <f>VLOOKUP('Програма-кодове'!C33,Списък!$A$1:$C$209,3,FALSE)</f>
        <v>бълг. език</v>
      </c>
      <c r="C229" s="12" t="str">
        <f>VLOOKUP('Програма-кодове'!D33,Списък!$A$1:$C$209,3,FALSE)</f>
        <v>история</v>
      </c>
      <c r="D229" s="12" t="str">
        <f>VLOOKUP('Програма-кодове'!E33,Списък!$A$1:$C$209,3,FALSE)</f>
        <v>бълг. език</v>
      </c>
      <c r="H229" s="12"/>
      <c r="I229" s="12"/>
      <c r="J229" s="12"/>
      <c r="K229" s="12"/>
    </row>
    <row r="230" spans="1:11" ht="11.25" customHeight="1">
      <c r="A230" s="13">
        <v>5</v>
      </c>
      <c r="B230" s="12" t="str">
        <f>VLOOKUP('Програма-кодове'!C34,Списък!$A$1:$C$209,3,FALSE)</f>
        <v>бълг. език</v>
      </c>
      <c r="C230" s="12" t="str">
        <f>VLOOKUP('Програма-кодове'!D34,Списък!$A$1:$C$209,3,FALSE)</f>
        <v>английски език</v>
      </c>
      <c r="D230" s="12" t="str">
        <f>VLOOKUP('Програма-кодове'!E34,Списък!$A$1:$C$209,3,FALSE)</f>
        <v>математика</v>
      </c>
      <c r="H230" s="12"/>
      <c r="I230" s="12"/>
      <c r="J230" s="12"/>
      <c r="K230" s="12"/>
    </row>
    <row r="231" spans="1:11" ht="11.25" customHeight="1">
      <c r="A231" s="13">
        <v>6</v>
      </c>
      <c r="B231" s="12" t="str">
        <f>VLOOKUP('Програма-кодове'!C35,Списък!$A$1:$C$209,3,FALSE)</f>
        <v>математика</v>
      </c>
      <c r="C231" s="12" t="str">
        <f>VLOOKUP('Програма-кодове'!D35,Списък!$A$1:$C$209,3,FALSE)</f>
        <v>английски език</v>
      </c>
      <c r="D231" s="12" t="str">
        <f>VLOOKUP('Програма-кодове'!E35,Списък!$A$1:$C$209,3,FALSE)</f>
        <v>физика</v>
      </c>
      <c r="H231" s="12"/>
      <c r="I231" s="12"/>
      <c r="J231" s="12"/>
      <c r="K231" s="12"/>
    </row>
    <row r="232" spans="1:11" ht="11.25" customHeight="1">
      <c r="A232" s="13">
        <v>7</v>
      </c>
      <c r="B232" s="12">
        <f>VLOOKUP('Програма-кодове'!C36,Списък!$A$1:$C$209,3,FALSE)</f>
        <v>0</v>
      </c>
      <c r="C232" s="12">
        <f>VLOOKUP('Програма-кодове'!D36,Списък!$A$1:$C$209,3,FALSE)</f>
        <v>0</v>
      </c>
      <c r="D232" s="12">
        <f>VLOOKUP('Програма-кодове'!E36,Списък!$A$1:$C$209,3,FALSE)</f>
        <v>0</v>
      </c>
      <c r="H232" s="12"/>
      <c r="I232" s="12"/>
      <c r="J232" s="12"/>
      <c r="K232" s="12"/>
    </row>
    <row r="233" spans="1:11" ht="3" customHeight="1">
      <c r="A233" s="14"/>
      <c r="B233" s="15"/>
      <c r="C233" s="15"/>
      <c r="D233" s="15"/>
      <c r="E233" s="15"/>
      <c r="F233" s="15"/>
      <c r="H233" s="12"/>
      <c r="I233" s="12"/>
      <c r="J233" s="12"/>
      <c r="K233" s="12"/>
    </row>
    <row r="234" spans="1:11" ht="11.25" customHeight="1">
      <c r="B234" s="13" t="s">
        <v>0</v>
      </c>
      <c r="C234" s="13" t="s">
        <v>1</v>
      </c>
      <c r="D234" s="13" t="s">
        <v>2</v>
      </c>
      <c r="E234" s="13" t="s">
        <v>3</v>
      </c>
      <c r="F234" s="13" t="s">
        <v>4</v>
      </c>
      <c r="H234" s="12"/>
      <c r="I234" s="12"/>
      <c r="J234" s="12"/>
      <c r="K234" s="12"/>
    </row>
    <row r="235" spans="1:11" ht="11.25" customHeight="1">
      <c r="A235" s="13">
        <v>1</v>
      </c>
      <c r="B235" s="12" t="str">
        <f>VLOOKUP('Програма-кодове'!F30,Списък!$A$1:$C$209,3,FALSE)</f>
        <v>бълг. език</v>
      </c>
      <c r="C235" s="12" t="str">
        <f>VLOOKUP('Програма-кодове'!G30,Списък!$A$1:$C$209,3,FALSE)</f>
        <v>бълг. език</v>
      </c>
      <c r="D235" s="12" t="str">
        <f>VLOOKUP('Програма-кодове'!H30,Списък!$A$1:$C$209,3,FALSE)</f>
        <v>английски език</v>
      </c>
      <c r="E235" s="12" t="str">
        <f>VLOOKUP('Програма-кодове'!I30,Списък!$A$1:$C$209,3,FALSE)</f>
        <v>английски език</v>
      </c>
      <c r="F235" s="12" t="str">
        <f>VLOOKUP('Програма-кодове'!J30,Списък!$A$1:$C$209,3,FALSE)</f>
        <v>бълг. език</v>
      </c>
      <c r="H235" s="12"/>
      <c r="I235" s="12"/>
      <c r="J235" s="12"/>
      <c r="K235" s="12"/>
    </row>
    <row r="236" spans="1:11" ht="11.25" customHeight="1">
      <c r="A236" s="13">
        <v>2</v>
      </c>
      <c r="B236" s="12" t="str">
        <f>VLOOKUP('Програма-кодове'!F31,Списък!$A$1:$C$209,3,FALSE)</f>
        <v>бълг. език</v>
      </c>
      <c r="C236" s="12" t="str">
        <f>VLOOKUP('Програма-кодове'!G31,Списък!$A$1:$C$209,3,FALSE)</f>
        <v>бълг. език</v>
      </c>
      <c r="D236" s="12" t="str">
        <f>VLOOKUP('Програма-кодове'!H31,Списък!$A$1:$C$209,3,FALSE)</f>
        <v>английски език</v>
      </c>
      <c r="E236" s="12" t="str">
        <f>VLOOKUP('Програма-кодове'!I31,Списък!$A$1:$C$209,3,FALSE)</f>
        <v>английски език</v>
      </c>
      <c r="F236" s="12" t="str">
        <f>VLOOKUP('Програма-кодове'!J31,Списък!$A$1:$C$209,3,FALSE)</f>
        <v>физкултура</v>
      </c>
      <c r="H236" s="12"/>
      <c r="I236" s="12"/>
      <c r="J236" s="12"/>
      <c r="K236" s="12"/>
    </row>
    <row r="237" spans="1:11" ht="11.25" customHeight="1">
      <c r="A237" s="13">
        <v>3</v>
      </c>
      <c r="B237" s="12" t="str">
        <f>VLOOKUP('Програма-кодове'!F32,Списък!$A$1:$C$209,3,FALSE)</f>
        <v>английски език</v>
      </c>
      <c r="C237" s="12" t="str">
        <f>VLOOKUP('Програма-кодове'!G32,Списък!$A$1:$C$209,3,FALSE)</f>
        <v>математика</v>
      </c>
      <c r="D237" s="12" t="str">
        <f>VLOOKUP('Програма-кодове'!H32,Списък!$A$1:$C$209,3,FALSE)</f>
        <v>английски език</v>
      </c>
      <c r="E237" s="12" t="str">
        <f>VLOOKUP('Програма-кодове'!I32,Списък!$A$1:$C$209,3,FALSE)</f>
        <v>английски език</v>
      </c>
      <c r="F237" s="12" t="str">
        <f>VLOOKUP('Програма-кодове'!J32,Списък!$A$1:$C$209,3,FALSE)</f>
        <v>английски език</v>
      </c>
      <c r="H237" s="12"/>
      <c r="I237" s="12"/>
      <c r="J237" s="12"/>
      <c r="K237" s="12"/>
    </row>
    <row r="238" spans="1:11" ht="11.25" customHeight="1">
      <c r="A238" s="13">
        <v>4</v>
      </c>
      <c r="B238" s="12" t="str">
        <f>VLOOKUP('Програма-кодове'!F33,Списък!$A$1:$C$209,3,FALSE)</f>
        <v>английски език</v>
      </c>
      <c r="C238" s="12" t="str">
        <f>VLOOKUP('Програма-кодове'!G33,Списък!$A$1:$C$209,3,FALSE)</f>
        <v>английски език</v>
      </c>
      <c r="D238" s="12" t="str">
        <f>VLOOKUP('Програма-кодове'!H33,Списък!$A$1:$C$209,3,FALSE)</f>
        <v>английски език</v>
      </c>
      <c r="E238" s="12" t="str">
        <f>VLOOKUP('Програма-кодове'!I33,Списък!$A$1:$C$209,3,FALSE)</f>
        <v>музика</v>
      </c>
      <c r="F238" s="12" t="str">
        <f>VLOOKUP('Програма-кодове'!J33,Списък!$A$1:$C$209,3,FALSE)</f>
        <v>английски език</v>
      </c>
      <c r="H238" s="12"/>
      <c r="I238" s="12"/>
      <c r="J238" s="12"/>
      <c r="K238" s="12"/>
    </row>
    <row r="239" spans="1:11" ht="11.25" customHeight="1">
      <c r="A239" s="13">
        <v>5</v>
      </c>
      <c r="B239" s="12" t="str">
        <f>VLOOKUP('Програма-кодове'!F34,Списък!$A$1:$C$209,3,FALSE)</f>
        <v>английски език</v>
      </c>
      <c r="C239" s="12" t="str">
        <f>VLOOKUP('Програма-кодове'!G34,Списък!$A$1:$C$209,3,FALSE)</f>
        <v>английски език</v>
      </c>
      <c r="D239" s="12" t="str">
        <f>VLOOKUP('Програма-кодове'!H34,Списък!$A$1:$C$209,3,FALSE)</f>
        <v>физкултура</v>
      </c>
      <c r="E239" s="12" t="str">
        <f>VLOOKUP('Програма-кодове'!I34,Списък!$A$1:$C$209,3,FALSE)</f>
        <v>бълг. език</v>
      </c>
      <c r="F239" s="12" t="str">
        <f>VLOOKUP('Програма-кодове'!J34,Списък!$A$1:$C$209,3,FALSE)</f>
        <v>английски език</v>
      </c>
      <c r="H239" s="12"/>
      <c r="I239" s="12"/>
      <c r="J239" s="12"/>
      <c r="K239" s="12"/>
    </row>
    <row r="240" spans="1:11" ht="11.25" customHeight="1">
      <c r="A240" s="13">
        <v>6</v>
      </c>
      <c r="B240" s="12" t="str">
        <f>VLOOKUP('Програма-кодове'!F35,Списък!$A$1:$C$209,3,FALSE)</f>
        <v>английски език</v>
      </c>
      <c r="C240" s="12" t="str">
        <f>VLOOKUP('Програма-кодове'!G35,Списък!$A$1:$C$209,3,FALSE)</f>
        <v>английски език</v>
      </c>
      <c r="D240" s="12" t="str">
        <f>VLOOKUP('Програма-кодове'!H35,Списък!$A$1:$C$209,3,FALSE)</f>
        <v>бълг. език</v>
      </c>
      <c r="E240" s="12" t="str">
        <f>VLOOKUP('Програма-кодове'!I35,Списък!$A$1:$C$209,3,FALSE)</f>
        <v>бълг. език</v>
      </c>
      <c r="F240" s="12" t="str">
        <f>VLOOKUP('Програма-кодове'!J35,Списък!$A$1:$C$209,3,FALSE)</f>
        <v>английски език</v>
      </c>
      <c r="H240" s="12"/>
      <c r="I240" s="12"/>
      <c r="J240" s="12"/>
      <c r="K240" s="12"/>
    </row>
    <row r="241" spans="1:11" ht="11.25" customHeight="1">
      <c r="A241" s="13">
        <v>7</v>
      </c>
      <c r="B241" s="12">
        <f>VLOOKUP('Програма-кодове'!F36,Списък!$A$1:$C$209,3,FALSE)</f>
        <v>0</v>
      </c>
      <c r="C241" s="12">
        <f>VLOOKUP('Програма-кодове'!G36,Списък!$A$1:$C$209,3,FALSE)</f>
        <v>0</v>
      </c>
      <c r="D241" s="12">
        <f>VLOOKUP('Програма-кодове'!H36,Списък!$A$1:$C$209,3,FALSE)</f>
        <v>0</v>
      </c>
      <c r="E241" s="12">
        <f>VLOOKUP('Програма-кодове'!I36,Списък!$A$1:$C$209,3,FALSE)</f>
        <v>0</v>
      </c>
      <c r="F241" s="12">
        <f>VLOOKUP('Програма-кодове'!J36,Списък!$A$1:$C$209,3,FALSE)</f>
        <v>0</v>
      </c>
      <c r="H241" s="12"/>
      <c r="I241" s="12"/>
      <c r="J241" s="12"/>
      <c r="K241" s="12"/>
    </row>
    <row r="242" spans="1:11" ht="3" customHeight="1">
      <c r="A242" s="14"/>
      <c r="B242" s="15"/>
      <c r="C242" s="15"/>
      <c r="D242" s="15"/>
      <c r="E242" s="15"/>
      <c r="F242" s="15"/>
      <c r="H242" s="12"/>
      <c r="I242" s="12"/>
      <c r="J242" s="12"/>
      <c r="K242" s="12"/>
    </row>
    <row r="243" spans="1:11" s="43" customFormat="1" ht="11.25" customHeight="1">
      <c r="A243" s="13"/>
      <c r="B243" s="13" t="s">
        <v>5</v>
      </c>
      <c r="C243" s="13" t="s">
        <v>6</v>
      </c>
      <c r="D243" s="13" t="s">
        <v>7</v>
      </c>
      <c r="E243" s="13" t="s">
        <v>8</v>
      </c>
      <c r="F243" s="13" t="s">
        <v>9</v>
      </c>
      <c r="G243" s="12"/>
      <c r="H243" s="12"/>
      <c r="I243" s="12"/>
      <c r="J243" s="12"/>
      <c r="K243" s="12"/>
    </row>
    <row r="244" spans="1:11" ht="11.25" customHeight="1">
      <c r="A244" s="13">
        <v>1</v>
      </c>
      <c r="B244" s="12" t="str">
        <f>VLOOKUP('Програма-кодове'!K30,Списък!$A$1:$C$209,3,FALSE)</f>
        <v>история</v>
      </c>
      <c r="C244" s="21" t="str">
        <f>VLOOKUP('Програма-кодове'!L30,Списък!$A$1:$C$209,3,FALSE)</f>
        <v>рисуване</v>
      </c>
      <c r="D244" s="12" t="str">
        <f>VLOOKUP('Програма-кодове'!M30,Списък!$A$1:$C$209,3,FALSE)</f>
        <v>география</v>
      </c>
      <c r="E244" s="21" t="str">
        <f>VLOOKUP('Програма-кодове'!N30,Списък!$A$1:$C$209,3,FALSE)</f>
        <v>английски език</v>
      </c>
      <c r="F244" s="21" t="str">
        <f>VLOOKUP('Програма-кодове'!O30,Списък!$A$1:$C$209,3,FALSE)</f>
        <v>бълг. език</v>
      </c>
      <c r="H244" s="12"/>
      <c r="I244" s="12"/>
      <c r="J244" s="12"/>
      <c r="K244" s="12"/>
    </row>
    <row r="245" spans="1:11" ht="11.25" customHeight="1">
      <c r="A245" s="13">
        <v>2</v>
      </c>
      <c r="B245" s="12" t="str">
        <f>VLOOKUP('Програма-кодове'!K31,Списък!$A$1:$C$209,3,FALSE)</f>
        <v>физика</v>
      </c>
      <c r="C245" s="21" t="str">
        <f>VLOOKUP('Програма-кодове'!L31,Списък!$A$1:$C$209,3,FALSE)</f>
        <v>философия</v>
      </c>
      <c r="D245" s="12" t="str">
        <f>VLOOKUP('Програма-кодове'!M31,Списък!$A$1:$C$209,3,FALSE)</f>
        <v>бълг. език</v>
      </c>
      <c r="E245" s="21" t="str">
        <f>VLOOKUP('Програма-кодове'!N31,Списък!$A$1:$C$209,3,FALSE)</f>
        <v>английски език</v>
      </c>
      <c r="F245" s="21" t="str">
        <f>VLOOKUP('Програма-кодове'!O31,Списък!$A$1:$C$209,3,FALSE)</f>
        <v>история</v>
      </c>
      <c r="H245" s="12"/>
      <c r="I245" s="12"/>
      <c r="J245" s="12"/>
      <c r="K245" s="12"/>
    </row>
    <row r="246" spans="1:11" ht="11.25" customHeight="1">
      <c r="A246" s="13">
        <v>3</v>
      </c>
      <c r="B246" s="12" t="str">
        <f>VLOOKUP('Програма-кодове'!K32,Списък!$A$1:$C$209,3,FALSE)</f>
        <v>биология</v>
      </c>
      <c r="C246" s="21" t="str">
        <f>VLOOKUP('Програма-кодове'!L32,Списък!$A$1:$C$209,3,FALSE)</f>
        <v>бълг. език</v>
      </c>
      <c r="D246" s="12" t="str">
        <f>VLOOKUP('Програма-кодове'!M32,Списък!$A$1:$C$209,3,FALSE)</f>
        <v>история</v>
      </c>
      <c r="E246" s="21" t="str">
        <f>VLOOKUP('Програма-кодове'!N32,Списък!$A$1:$C$209,3,FALSE)</f>
        <v>история</v>
      </c>
      <c r="F246" s="21" t="str">
        <f>VLOOKUP('Програма-кодове'!O32,Списък!$A$1:$C$209,3,FALSE)</f>
        <v>физика</v>
      </c>
      <c r="H246" s="12"/>
      <c r="I246" s="12"/>
      <c r="J246" s="12"/>
      <c r="K246" s="12"/>
    </row>
    <row r="247" spans="1:11" ht="11.25" customHeight="1">
      <c r="A247" s="13">
        <v>4</v>
      </c>
      <c r="B247" s="12" t="str">
        <f>VLOOKUP('Програма-кодове'!K33,Списък!$A$1:$C$209,3,FALSE)</f>
        <v>физкултура</v>
      </c>
      <c r="C247" s="21" t="str">
        <f>VLOOKUP('Програма-кодове'!L33,Списък!$A$1:$C$209,3,FALSE)</f>
        <v>английски език</v>
      </c>
      <c r="D247" s="12" t="str">
        <f>VLOOKUP('Програма-кодове'!M33,Списък!$A$1:$C$209,3,FALSE)</f>
        <v>физкултура</v>
      </c>
      <c r="E247" s="21" t="str">
        <f>VLOOKUP('Програма-кодове'!N33,Списък!$A$1:$C$209,3,FALSE)</f>
        <v>география</v>
      </c>
      <c r="F247" s="21" t="str">
        <f>VLOOKUP('Програма-кодове'!O33,Списък!$A$1:$C$209,3,FALSE)</f>
        <v>информатика</v>
      </c>
      <c r="H247" s="12"/>
      <c r="I247" s="12"/>
      <c r="J247" s="12"/>
      <c r="K247" s="12"/>
    </row>
    <row r="248" spans="1:11" ht="11.25" customHeight="1">
      <c r="A248" s="13">
        <v>5</v>
      </c>
      <c r="B248" s="12" t="str">
        <f>VLOOKUP('Програма-кодове'!K34,Списък!$A$1:$C$209,3,FALSE)</f>
        <v>математика</v>
      </c>
      <c r="C248" s="21" t="str">
        <f>VLOOKUP('Програма-кодове'!L34,Списък!$A$1:$C$209,3,FALSE)</f>
        <v>биология</v>
      </c>
      <c r="D248" s="12" t="str">
        <f>VLOOKUP('Програма-кодове'!M34,Списък!$A$1:$C$209,3,FALSE)</f>
        <v>информатика</v>
      </c>
      <c r="E248" s="21" t="str">
        <f>VLOOKUP('Програма-кодове'!N34,Списък!$A$1:$C$209,3,FALSE)</f>
        <v>физика</v>
      </c>
      <c r="F248" s="21" t="str">
        <f>VLOOKUP('Програма-кодове'!O34,Списък!$A$1:$C$209,3,FALSE)</f>
        <v>английски език</v>
      </c>
      <c r="H248" s="12"/>
      <c r="I248" s="12"/>
      <c r="J248" s="12"/>
      <c r="K248" s="12"/>
    </row>
    <row r="249" spans="1:11" ht="11.25" customHeight="1">
      <c r="A249" s="13">
        <v>6</v>
      </c>
      <c r="B249" s="12" t="str">
        <f>VLOOKUP('Програма-кодове'!K35,Списък!$A$1:$C$209,3,FALSE)</f>
        <v>бълг. език</v>
      </c>
      <c r="C249" s="21" t="str">
        <f>VLOOKUP('Програма-кодове'!L35,Списък!$A$1:$C$209,3,FALSE)</f>
        <v>история</v>
      </c>
      <c r="D249" s="12" t="str">
        <f>VLOOKUP('Програма-кодове'!M35,Списък!$A$1:$C$209,3,FALSE)</f>
        <v>биология</v>
      </c>
      <c r="E249" s="21" t="str">
        <f>VLOOKUP('Програма-кодове'!N35,Списък!$A$1:$C$209,3,FALSE)</f>
        <v>информатика</v>
      </c>
      <c r="F249" s="21" t="str">
        <f>VLOOKUP('Програма-кодове'!O35,Списък!$A$1:$C$209,3,FALSE)</f>
        <v>английски език</v>
      </c>
      <c r="H249" s="12"/>
      <c r="I249" s="12"/>
      <c r="J249" s="12"/>
      <c r="K249" s="12"/>
    </row>
    <row r="250" spans="1:11" ht="11.25" customHeight="1">
      <c r="A250" s="13">
        <v>7</v>
      </c>
      <c r="B250" s="12">
        <f>VLOOKUP('Програма-кодове'!K36,Списък!$A$1:$C$209,3,FALSE)</f>
        <v>0</v>
      </c>
      <c r="C250" s="21">
        <f>VLOOKUP('Програма-кодове'!L36,Списък!$A$1:$C$209,3,FALSE)</f>
        <v>0</v>
      </c>
      <c r="D250" s="12">
        <f>VLOOKUP('Програма-кодове'!M36,Списък!$A$1:$C$209,3,FALSE)</f>
        <v>0</v>
      </c>
      <c r="E250" s="21">
        <f>VLOOKUP('Програма-кодове'!N36,Списък!$A$1:$C$209,3,FALSE)</f>
        <v>0</v>
      </c>
      <c r="F250" s="21">
        <f>VLOOKUP('Програма-кодове'!O36,Списък!$A$1:$C$209,3,FALSE)</f>
        <v>0</v>
      </c>
      <c r="H250" s="12"/>
      <c r="I250" s="12"/>
      <c r="J250" s="12"/>
      <c r="K250" s="12"/>
    </row>
    <row r="251" spans="1:11" ht="3" customHeight="1">
      <c r="A251" s="14"/>
      <c r="B251" s="15"/>
      <c r="C251" s="15"/>
      <c r="D251" s="15"/>
      <c r="E251" s="15"/>
      <c r="F251" s="15"/>
      <c r="H251" s="12"/>
      <c r="I251" s="12"/>
      <c r="J251" s="12"/>
      <c r="K251" s="12"/>
    </row>
    <row r="252" spans="1:11" s="43" customFormat="1" ht="11.25" customHeight="1">
      <c r="A252" s="13"/>
      <c r="B252" s="13" t="s">
        <v>10</v>
      </c>
      <c r="C252" s="13" t="s">
        <v>11</v>
      </c>
      <c r="D252" s="13" t="s">
        <v>12</v>
      </c>
      <c r="E252" s="13" t="s">
        <v>13</v>
      </c>
      <c r="F252" s="13" t="s">
        <v>14</v>
      </c>
      <c r="G252" s="12"/>
      <c r="H252" s="12"/>
      <c r="I252" s="12"/>
      <c r="J252" s="12"/>
      <c r="K252" s="12"/>
    </row>
    <row r="253" spans="1:11" ht="11.25" customHeight="1">
      <c r="A253" s="13">
        <v>1</v>
      </c>
      <c r="B253" s="12" t="str">
        <f>VLOOKUP('Програма-кодове'!P30,Списък!$A$1:$C$209,3,FALSE)</f>
        <v>английски език</v>
      </c>
      <c r="C253" s="21" t="str">
        <f>VLOOKUP('Програма-кодове'!Q30,Списък!$A$1:$C$209,3,FALSE)</f>
        <v>информатика</v>
      </c>
      <c r="D253" s="12" t="str">
        <f>VLOOKUP('Програма-кодове'!R30,Списък!$A$1:$C$209,3,FALSE)</f>
        <v>физика</v>
      </c>
      <c r="E253" s="21" t="str">
        <f>VLOOKUP('Програма-кодове'!S30,Списък!$A$1:$C$209,3,FALSE)</f>
        <v>физкултура</v>
      </c>
      <c r="F253" s="12" t="str">
        <f>VLOOKUP('Програма-кодове'!T30,Списък!$A$1:$C$209,3,FALSE)</f>
        <v>физика</v>
      </c>
      <c r="H253" s="12"/>
      <c r="I253" s="12"/>
      <c r="J253" s="12"/>
      <c r="K253" s="12"/>
    </row>
    <row r="254" spans="1:11" ht="11.25" customHeight="1">
      <c r="A254" s="13">
        <v>2</v>
      </c>
      <c r="B254" s="12" t="str">
        <f>VLOOKUP('Програма-кодове'!P31,Списък!$A$1:$C$209,3,FALSE)</f>
        <v>физика</v>
      </c>
      <c r="C254" s="21" t="str">
        <f>VLOOKUP('Програма-кодове'!Q31,Списък!$A$1:$C$209,3,FALSE)</f>
        <v>математика</v>
      </c>
      <c r="D254" s="12" t="str">
        <f>VLOOKUP('Програма-кодове'!R31,Списък!$A$1:$C$209,3,FALSE)</f>
        <v>информатика</v>
      </c>
      <c r="E254" s="21" t="str">
        <f>VLOOKUP('Програма-кодове'!S31,Списък!$A$1:$C$209,3,FALSE)</f>
        <v>английски език</v>
      </c>
      <c r="F254" s="12" t="str">
        <f>VLOOKUP('Програма-кодове'!T31,Списък!$A$1:$C$209,3,FALSE)</f>
        <v>химия</v>
      </c>
      <c r="H254" s="12"/>
      <c r="I254" s="12"/>
      <c r="J254" s="12"/>
      <c r="K254" s="12"/>
    </row>
    <row r="255" spans="1:11" ht="11.25" customHeight="1">
      <c r="A255" s="13">
        <v>3</v>
      </c>
      <c r="B255" s="12" t="str">
        <f>VLOOKUP('Програма-кодове'!P32,Списък!$A$1:$C$209,3,FALSE)</f>
        <v>физкултура</v>
      </c>
      <c r="C255" s="21" t="str">
        <f>VLOOKUP('Програма-кодове'!Q32,Списък!$A$1:$C$209,3,FALSE)</f>
        <v>английски език</v>
      </c>
      <c r="D255" s="12" t="str">
        <f>VLOOKUP('Програма-кодове'!R32,Списък!$A$1:$C$209,3,FALSE)</f>
        <v>математика</v>
      </c>
      <c r="E255" s="21" t="str">
        <f>VLOOKUP('Програма-кодове'!S32,Списък!$A$1:$C$209,3,FALSE)</f>
        <v>немски език</v>
      </c>
      <c r="F255" s="12" t="str">
        <f>VLOOKUP('Програма-кодове'!T32,Списък!$A$1:$C$209,3,FALSE)</f>
        <v>химия</v>
      </c>
      <c r="H255" s="12"/>
      <c r="I255" s="12"/>
      <c r="J255" s="12"/>
      <c r="K255" s="12"/>
    </row>
    <row r="256" spans="1:11" ht="11.25" customHeight="1">
      <c r="A256" s="13">
        <v>4</v>
      </c>
      <c r="B256" s="12" t="str">
        <f>VLOOKUP('Програма-кодове'!P33,Списък!$A$1:$C$209,3,FALSE)</f>
        <v>математика</v>
      </c>
      <c r="C256" s="21" t="str">
        <f>VLOOKUP('Програма-кодове'!Q33,Списък!$A$1:$C$209,3,FALSE)</f>
        <v>физика</v>
      </c>
      <c r="D256" s="12" t="str">
        <f>VLOOKUP('Програма-кодове'!R33,Списък!$A$1:$C$209,3,FALSE)</f>
        <v>биология</v>
      </c>
      <c r="E256" s="21" t="str">
        <f>VLOOKUP('Програма-кодове'!S33,Списък!$A$1:$C$209,3,FALSE)</f>
        <v>немски език</v>
      </c>
      <c r="F256" s="12" t="str">
        <f>VLOOKUP('Програма-кодове'!T33,Списък!$A$1:$C$209,3,FALSE)</f>
        <v>бълг. език</v>
      </c>
      <c r="H256" s="12"/>
      <c r="I256" s="12"/>
      <c r="J256" s="12"/>
      <c r="K256" s="12"/>
    </row>
    <row r="257" spans="1:11" ht="11.25" customHeight="1">
      <c r="A257" s="13">
        <v>5</v>
      </c>
      <c r="B257" s="12" t="str">
        <f>VLOOKUP('Програма-кодове'!P34,Списък!$A$1:$C$209,3,FALSE)</f>
        <v>бълг. език</v>
      </c>
      <c r="C257" s="21" t="str">
        <f>VLOOKUP('Програма-кодове'!Q34,Списък!$A$1:$C$209,3,FALSE)</f>
        <v>философия</v>
      </c>
      <c r="D257" s="12" t="str">
        <f>VLOOKUP('Програма-кодове'!R34,Списък!$A$1:$C$209,3,FALSE)</f>
        <v>химия</v>
      </c>
      <c r="E257" s="21" t="str">
        <f>VLOOKUP('Програма-кодове'!S34,Списък!$A$1:$C$209,3,FALSE)</f>
        <v>физика</v>
      </c>
      <c r="F257" s="12" t="str">
        <f>VLOOKUP('Програма-кодове'!T34,Списък!$A$1:$C$209,3,FALSE)</f>
        <v>география</v>
      </c>
      <c r="H257" s="12"/>
      <c r="I257" s="12"/>
      <c r="J257" s="12"/>
      <c r="K257" s="12"/>
    </row>
    <row r="258" spans="1:11" ht="11.25" customHeight="1">
      <c r="A258" s="13">
        <v>6</v>
      </c>
      <c r="B258" s="12" t="str">
        <f>VLOOKUP('Програма-кодове'!P35,Списък!$A$1:$C$209,3,FALSE)</f>
        <v>биология</v>
      </c>
      <c r="C258" s="21" t="str">
        <f>VLOOKUP('Програма-кодове'!Q35,Списък!$A$1:$C$209,3,FALSE)</f>
        <v>география</v>
      </c>
      <c r="D258" s="12" t="str">
        <f>VLOOKUP('Програма-кодове'!R35,Списък!$A$1:$C$209,3,FALSE)</f>
        <v>бълг. език</v>
      </c>
      <c r="E258" s="21" t="str">
        <f>VLOOKUP('Програма-кодове'!S35,Списък!$A$1:$C$209,3,FALSE)</f>
        <v>химия</v>
      </c>
      <c r="F258" s="12" t="str">
        <f>VLOOKUP('Програма-кодове'!T35,Списък!$A$1:$C$209,3,FALSE)</f>
        <v>математика</v>
      </c>
      <c r="H258" s="12"/>
      <c r="I258" s="12"/>
      <c r="J258" s="12"/>
      <c r="K258" s="12"/>
    </row>
    <row r="259" spans="1:11" ht="11.25" customHeight="1">
      <c r="A259" s="13">
        <v>7</v>
      </c>
      <c r="B259" s="12">
        <f>VLOOKUP('Програма-кодове'!P36,Списък!$A$1:$C$209,3,FALSE)</f>
        <v>0</v>
      </c>
      <c r="C259" s="21">
        <f>VLOOKUP('Програма-кодове'!Q36,Списък!$A$1:$C$209,3,FALSE)</f>
        <v>0</v>
      </c>
      <c r="D259" s="12">
        <f>VLOOKUP('Програма-кодове'!R36,Списък!$A$1:$C$209,3,FALSE)</f>
        <v>0</v>
      </c>
      <c r="E259" s="21">
        <f>VLOOKUP('Програма-кодове'!S36,Списък!$A$1:$C$209,3,FALSE)</f>
        <v>0</v>
      </c>
      <c r="F259" s="12">
        <f>VLOOKUP('Програма-кодове'!T36,Списък!$A$1:$C$209,3,FALSE)</f>
        <v>0</v>
      </c>
      <c r="H259" s="12"/>
      <c r="I259" s="12"/>
      <c r="J259" s="12"/>
      <c r="K259" s="12"/>
    </row>
    <row r="260" spans="1:11" ht="3" customHeight="1">
      <c r="A260" s="14"/>
      <c r="B260" s="15"/>
      <c r="C260" s="15"/>
      <c r="D260" s="15"/>
      <c r="E260" s="15"/>
      <c r="F260" s="15"/>
      <c r="H260" s="12"/>
      <c r="I260" s="12"/>
      <c r="J260" s="12"/>
      <c r="K260" s="12"/>
    </row>
    <row r="261" spans="1:11" s="43" customFormat="1" ht="11.25" customHeight="1">
      <c r="A261" s="13"/>
      <c r="B261" s="13" t="s">
        <v>15</v>
      </c>
      <c r="C261" s="13" t="s">
        <v>16</v>
      </c>
      <c r="D261" s="13" t="s">
        <v>17</v>
      </c>
      <c r="E261" s="13" t="s">
        <v>46</v>
      </c>
      <c r="F261" s="13" t="s">
        <v>18</v>
      </c>
      <c r="G261" s="12"/>
      <c r="H261" s="12"/>
      <c r="I261" s="12"/>
      <c r="J261" s="12"/>
      <c r="K261" s="12"/>
    </row>
    <row r="262" spans="1:11" ht="11.25" customHeight="1">
      <c r="A262" s="13">
        <v>1</v>
      </c>
      <c r="B262" s="12" t="str">
        <f>VLOOKUP('Програма-кодове'!U30,Списък!$A$1:$C$209,3,FALSE)</f>
        <v>бълг. език</v>
      </c>
      <c r="C262" s="12" t="str">
        <f>VLOOKUP('Програма-кодове'!V30,Списък!$A$1:$C$209,3,FALSE)</f>
        <v>физкултура</v>
      </c>
      <c r="D262" s="12" t="str">
        <f>VLOOKUP('Програма-кодове'!W30,Списък!$A$1:$C$209,3,FALSE)</f>
        <v>информатика</v>
      </c>
      <c r="E262" s="12" t="str">
        <f>VLOOKUP('Програма-кодове'!X30,Списък!$A$1:$C$209,3,FALSE)</f>
        <v>химия</v>
      </c>
      <c r="F262" s="12" t="str">
        <f>VLOOKUP('Програма-кодове'!Y30,Списък!$A$1:$C$209,3,FALSE)</f>
        <v>история</v>
      </c>
      <c r="H262" s="12"/>
      <c r="I262" s="12"/>
      <c r="J262" s="12"/>
      <c r="K262" s="12"/>
    </row>
    <row r="263" spans="1:11" ht="11.25" customHeight="1">
      <c r="A263" s="13">
        <v>2</v>
      </c>
      <c r="B263" s="12" t="str">
        <f>VLOOKUP('Програма-кодове'!U31,Списък!$A$1:$C$209,3,FALSE)</f>
        <v>бълг. език</v>
      </c>
      <c r="C263" s="12" t="str">
        <f>VLOOKUP('Програма-кодове'!V31,Списък!$A$1:$C$209,3,FALSE)</f>
        <v>английски език</v>
      </c>
      <c r="D263" s="12" t="str">
        <f>VLOOKUP('Програма-кодове'!W31,Списък!$A$1:$C$209,3,FALSE)</f>
        <v>физкултура</v>
      </c>
      <c r="E263" s="12" t="str">
        <f>VLOOKUP('Програма-кодове'!X31,Списък!$A$1:$C$209,3,FALSE)</f>
        <v>информатика</v>
      </c>
      <c r="F263" s="12" t="str">
        <f>VLOOKUP('Програма-кодове'!Y31,Списък!$A$1:$C$209,3,FALSE)</f>
        <v>биология</v>
      </c>
      <c r="H263" s="12"/>
      <c r="I263" s="12"/>
      <c r="J263" s="12"/>
      <c r="K263" s="12"/>
    </row>
    <row r="264" spans="1:11" ht="11.25" customHeight="1">
      <c r="A264" s="13">
        <v>3</v>
      </c>
      <c r="B264" s="12" t="str">
        <f>VLOOKUP('Програма-кодове'!U32,Списък!$A$1:$C$209,3,FALSE)</f>
        <v>английски език</v>
      </c>
      <c r="C264" s="12" t="str">
        <f>VLOOKUP('Програма-кодове'!V32,Списък!$A$1:$C$209,3,FALSE)</f>
        <v>философия</v>
      </c>
      <c r="D264" s="12" t="str">
        <f>VLOOKUP('Програма-кодове'!W32,Списък!$A$1:$C$209,3,FALSE)</f>
        <v>английски език</v>
      </c>
      <c r="E264" s="12" t="str">
        <f>VLOOKUP('Програма-кодове'!X32,Списък!$A$1:$C$209,3,FALSE)</f>
        <v>немски език</v>
      </c>
      <c r="F264" s="12" t="str">
        <f>VLOOKUP('Програма-кодове'!Y32,Списък!$A$1:$C$209,3,FALSE)</f>
        <v>химия</v>
      </c>
      <c r="H264" s="12"/>
      <c r="I264" s="12"/>
      <c r="J264" s="12"/>
      <c r="K264" s="12"/>
    </row>
    <row r="265" spans="1:11" ht="11.25" customHeight="1">
      <c r="A265" s="13">
        <v>4</v>
      </c>
      <c r="B265" s="12" t="str">
        <f>VLOOKUP('Програма-кодове'!U33,Списък!$A$1:$C$209,3,FALSE)</f>
        <v>химия</v>
      </c>
      <c r="C265" s="12" t="str">
        <f>VLOOKUP('Програма-кодове'!V33,Списък!$A$1:$C$209,3,FALSE)</f>
        <v>бълг. език</v>
      </c>
      <c r="D265" s="12" t="str">
        <f>VLOOKUP('Програма-кодове'!W33,Списък!$A$1:$C$209,3,FALSE)</f>
        <v>философия</v>
      </c>
      <c r="E265" s="12" t="str">
        <f>VLOOKUP('Програма-кодове'!X33,Списък!$A$1:$C$209,3,FALSE)</f>
        <v>математика</v>
      </c>
      <c r="F265" s="12" t="str">
        <f>VLOOKUP('Програма-кодове'!Y33,Списък!$A$1:$C$209,3,FALSE)</f>
        <v>физика</v>
      </c>
      <c r="H265" s="12"/>
      <c r="I265" s="12"/>
      <c r="J265" s="12"/>
      <c r="K265" s="12"/>
    </row>
    <row r="266" spans="1:11" ht="11.25" customHeight="1">
      <c r="A266" s="13">
        <v>5</v>
      </c>
      <c r="B266" s="12" t="str">
        <f>VLOOKUP('Програма-кодове'!U34,Списък!$A$1:$C$209,3,FALSE)</f>
        <v>физкултура</v>
      </c>
      <c r="C266" s="12" t="str">
        <f>VLOOKUP('Програма-кодове'!V34,Списък!$A$1:$C$209,3,FALSE)</f>
        <v>бълг. език</v>
      </c>
      <c r="D266" s="12" t="str">
        <f>VLOOKUP('Програма-кодове'!W34,Списък!$A$1:$C$209,3,FALSE)</f>
        <v>биология</v>
      </c>
      <c r="E266" s="12" t="str">
        <f>VLOOKUP('Програма-кодове'!X34,Списък!$A$1:$C$209,3,FALSE)</f>
        <v>математика</v>
      </c>
      <c r="F266" s="12" t="str">
        <f>VLOOKUP('Програма-кодове'!Y34,Списък!$A$1:$C$209,3,FALSE)</f>
        <v>английски език</v>
      </c>
      <c r="H266" s="12"/>
      <c r="I266" s="12"/>
      <c r="J266" s="12"/>
      <c r="K266" s="12"/>
    </row>
    <row r="267" spans="1:11" ht="11.25" customHeight="1">
      <c r="A267" s="13">
        <v>6</v>
      </c>
      <c r="B267" s="12" t="str">
        <f>VLOOKUP('Програма-кодове'!U35,Списък!$A$1:$C$209,3,FALSE)</f>
        <v>философия</v>
      </c>
      <c r="C267" s="12" t="str">
        <f>VLOOKUP('Програма-кодове'!V35,Списък!$A$1:$C$209,3,FALSE)</f>
        <v>история</v>
      </c>
      <c r="D267" s="12" t="str">
        <f>VLOOKUP('Програма-кодове'!W35,Списък!$A$1:$C$209,3,FALSE)</f>
        <v>математика</v>
      </c>
      <c r="E267" s="12" t="str">
        <f>VLOOKUP('Програма-кодове'!X35,Списък!$A$1:$C$209,3,FALSE)</f>
        <v>английски език</v>
      </c>
      <c r="F267" s="12" t="str">
        <f>VLOOKUP('Програма-кодове'!Y35,Списък!$A$1:$C$209,3,FALSE)</f>
        <v>физкултура</v>
      </c>
      <c r="H267" s="12"/>
      <c r="I267" s="12"/>
      <c r="J267" s="12"/>
      <c r="K267" s="12"/>
    </row>
    <row r="268" spans="1:11" ht="11.25" customHeight="1">
      <c r="A268" s="13">
        <v>7</v>
      </c>
      <c r="B268" s="12">
        <f>VLOOKUP('Програма-кодове'!U36,Списък!$A$1:$C$209,3,FALSE)</f>
        <v>0</v>
      </c>
      <c r="C268" s="12">
        <f>VLOOKUP('Програма-кодове'!V36,Списък!$A$1:$C$209,3,FALSE)</f>
        <v>0</v>
      </c>
      <c r="D268" s="12">
        <f>VLOOKUP('Програма-кодове'!W36,Списък!$A$1:$C$209,3,FALSE)</f>
        <v>0</v>
      </c>
      <c r="E268" s="12">
        <f>VLOOKUP('Програма-кодове'!X36,Списък!$A$1:$C$209,3,FALSE)</f>
        <v>0</v>
      </c>
      <c r="F268" s="12">
        <f>VLOOKUP('Програма-кодове'!Y36,Списък!$A$1:$C$209,3,FALSE)</f>
        <v>0</v>
      </c>
      <c r="H268" s="12"/>
      <c r="I268" s="12"/>
      <c r="J268" s="12"/>
      <c r="K268" s="12"/>
    </row>
    <row r="269" spans="1:11" ht="3" customHeight="1">
      <c r="A269" s="14"/>
      <c r="B269" s="15"/>
      <c r="C269" s="15"/>
      <c r="D269" s="15"/>
      <c r="E269" s="15"/>
      <c r="F269" s="15"/>
      <c r="H269" s="12"/>
      <c r="I269" s="12"/>
      <c r="J269" s="12"/>
      <c r="K269" s="12"/>
    </row>
    <row r="270" spans="1:11" s="43" customFormat="1" ht="11.25" customHeight="1">
      <c r="A270" s="13"/>
      <c r="B270" s="13" t="s">
        <v>48</v>
      </c>
      <c r="C270" s="13" t="s">
        <v>49</v>
      </c>
      <c r="D270" s="13" t="s">
        <v>50</v>
      </c>
      <c r="E270" s="13" t="s">
        <v>51</v>
      </c>
      <c r="F270" s="13" t="s">
        <v>52</v>
      </c>
      <c r="G270" s="12"/>
      <c r="H270" s="12"/>
      <c r="I270" s="12"/>
      <c r="J270" s="12"/>
      <c r="K270" s="12"/>
    </row>
    <row r="271" spans="1:11" ht="11.25" customHeight="1">
      <c r="A271" s="13">
        <v>1</v>
      </c>
      <c r="B271" s="12" t="str">
        <f>VLOOKUP('Програма-кодове'!Z30,Списък!$A$1:$C$209,3,FALSE)</f>
        <v>английски език</v>
      </c>
      <c r="C271" s="12" t="str">
        <f>VLOOKUP('Програма-кодове'!AA30,Списък!$A$1:$C$209,3,FALSE)</f>
        <v>философия</v>
      </c>
      <c r="D271" s="12" t="str">
        <f>VLOOKUP('Програма-кодове'!AB30,Списък!$A$1:$C$209,3,FALSE)</f>
        <v>математика</v>
      </c>
      <c r="E271" s="12" t="str">
        <f>VLOOKUP('Програма-кодове'!AC30,Списък!$A$1:$C$209,3,FALSE)</f>
        <v>информатика</v>
      </c>
      <c r="F271" s="12" t="str">
        <f>VLOOKUP('Програма-кодове'!AD30,Списък!$A$1:$C$209,3,FALSE)</f>
        <v>химия</v>
      </c>
      <c r="H271" s="12"/>
      <c r="I271" s="12"/>
      <c r="J271" s="12"/>
      <c r="K271" s="12"/>
    </row>
    <row r="272" spans="1:11" ht="11.25" customHeight="1">
      <c r="A272" s="13">
        <v>2</v>
      </c>
      <c r="B272" s="12" t="str">
        <f>VLOOKUP('Програма-кодове'!Z31,Списък!$A$1:$C$209,3,FALSE)</f>
        <v>история</v>
      </c>
      <c r="C272" s="12" t="str">
        <f>VLOOKUP('Програма-кодове'!AA31,Списък!$A$1:$C$209,3,FALSE)</f>
        <v>английски език</v>
      </c>
      <c r="D272" s="12" t="str">
        <f>VLOOKUP('Програма-кодове'!AB31,Списък!$A$1:$C$209,3,FALSE)</f>
        <v>математика</v>
      </c>
      <c r="E272" s="12" t="str">
        <f>VLOOKUP('Програма-кодове'!AC31,Списък!$A$1:$C$209,3,FALSE)</f>
        <v>информатика</v>
      </c>
      <c r="F272" s="12" t="str">
        <f>VLOOKUP('Програма-кодове'!AD31,Списък!$A$1:$C$209,3,FALSE)</f>
        <v>бълг. език</v>
      </c>
      <c r="H272" s="12"/>
      <c r="I272" s="12"/>
      <c r="J272" s="12"/>
      <c r="K272" s="12"/>
    </row>
    <row r="273" spans="1:11" ht="11.25" customHeight="1">
      <c r="A273" s="13">
        <v>3</v>
      </c>
      <c r="B273" s="12" t="str">
        <f>VLOOKUP('Програма-кодове'!Z32,Списък!$A$1:$C$209,3,FALSE)</f>
        <v>математика</v>
      </c>
      <c r="C273" s="12" t="str">
        <f>VLOOKUP('Програма-кодове'!AA32,Списък!$A$1:$C$209,3,FALSE)</f>
        <v>история</v>
      </c>
      <c r="D273" s="12" t="str">
        <f>VLOOKUP('Програма-кодове'!AB32,Списък!$A$1:$C$209,3,FALSE)</f>
        <v>информатика</v>
      </c>
      <c r="E273" s="12" t="str">
        <f>VLOOKUP('Програма-кодове'!AC32,Списък!$A$1:$C$209,3,FALSE)</f>
        <v>бълг. език</v>
      </c>
      <c r="F273" s="12" t="str">
        <f>VLOOKUP('Програма-кодове'!AD32,Списък!$A$1:$C$209,3,FALSE)</f>
        <v>английски език</v>
      </c>
      <c r="H273" s="12"/>
      <c r="I273" s="12"/>
      <c r="J273" s="12"/>
      <c r="K273" s="12"/>
    </row>
    <row r="274" spans="1:11" ht="11.25" customHeight="1">
      <c r="A274" s="13">
        <v>4</v>
      </c>
      <c r="B274" s="12" t="str">
        <f>VLOOKUP('Програма-кодове'!Z33,Списък!$A$1:$C$209,3,FALSE)</f>
        <v>математика</v>
      </c>
      <c r="C274" s="12" t="str">
        <f>VLOOKUP('Програма-кодове'!AA33,Списък!$A$1:$C$209,3,FALSE)</f>
        <v>бълг. език</v>
      </c>
      <c r="D274" s="12" t="str">
        <f>VLOOKUP('Програма-кодове'!AB33,Списък!$A$1:$C$209,3,FALSE)</f>
        <v>информатика</v>
      </c>
      <c r="E274" s="12" t="str">
        <f>VLOOKUP('Програма-кодове'!AC33,Списък!$A$1:$C$209,3,FALSE)</f>
        <v>немски език</v>
      </c>
      <c r="F274" s="12" t="str">
        <f>VLOOKUP('Програма-кодове'!AD33,Списък!$A$1:$C$209,3,FALSE)</f>
        <v>история</v>
      </c>
      <c r="H274" s="12"/>
      <c r="I274" s="12"/>
      <c r="J274" s="12"/>
      <c r="K274" s="12"/>
    </row>
    <row r="275" spans="1:11" ht="11.25" customHeight="1">
      <c r="A275" s="13">
        <v>5</v>
      </c>
      <c r="B275" s="12" t="str">
        <f>VLOOKUP('Програма-кодове'!Z34,Списък!$A$1:$C$209,3,FALSE)</f>
        <v>ІІ - ри чужд език</v>
      </c>
      <c r="C275" s="12" t="str">
        <f>VLOOKUP('Програма-кодове'!AA34,Списък!$A$1:$C$209,3,FALSE)</f>
        <v>математика</v>
      </c>
      <c r="D275" s="12" t="str">
        <f>VLOOKUP('Програма-кодове'!AB34,Списък!$A$1:$C$209,3,FALSE)</f>
        <v>история</v>
      </c>
      <c r="E275" s="12" t="str">
        <f>VLOOKUP('Програма-кодове'!AC34,Списък!$A$1:$C$209,3,FALSE)</f>
        <v>английски език</v>
      </c>
      <c r="F275" s="12" t="str">
        <f>VLOOKUP('Програма-кодове'!AD34,Списък!$A$1:$C$209,3,FALSE)</f>
        <v>ІІ - ри чужд език</v>
      </c>
      <c r="H275" s="12"/>
      <c r="I275" s="12"/>
      <c r="J275" s="12"/>
      <c r="K275" s="12"/>
    </row>
    <row r="276" spans="1:11" ht="11.25" customHeight="1">
      <c r="A276" s="13">
        <v>6</v>
      </c>
      <c r="B276" s="12" t="str">
        <f>VLOOKUP('Програма-кодове'!Z35,Списък!$A$1:$C$209,3,FALSE)</f>
        <v>ІІ - ри чужд език</v>
      </c>
      <c r="C276" s="12" t="str">
        <f>VLOOKUP('Програма-кодове'!AA35,Списък!$A$1:$C$209,3,FALSE)</f>
        <v>математика</v>
      </c>
      <c r="D276" s="12" t="str">
        <f>VLOOKUP('Програма-кодове'!AB35,Списък!$A$1:$C$209,3,FALSE)</f>
        <v>английски език</v>
      </c>
      <c r="E276" s="12" t="str">
        <f>VLOOKUP('Програма-кодове'!AC35,Списък!$A$1:$C$209,3,FALSE)</f>
        <v>физкултура</v>
      </c>
      <c r="F276" s="12" t="str">
        <f>VLOOKUP('Програма-кодове'!AD35,Списък!$A$1:$C$209,3,FALSE)</f>
        <v>ІІ - ри чужд език</v>
      </c>
      <c r="H276" s="12"/>
      <c r="I276" s="12"/>
      <c r="J276" s="12"/>
      <c r="K276" s="12"/>
    </row>
    <row r="277" spans="1:11" ht="11.25" customHeight="1">
      <c r="A277" s="13">
        <v>7</v>
      </c>
      <c r="B277" s="12">
        <f>VLOOKUP('Програма-кодове'!Z36,Списък!$A$1:$C$209,3,FALSE)</f>
        <v>0</v>
      </c>
      <c r="C277" s="12">
        <f>VLOOKUP('Програма-кодове'!AA36,Списък!$A$1:$C$209,3,FALSE)</f>
        <v>0</v>
      </c>
      <c r="D277" s="12">
        <f>VLOOKUP('Програма-кодове'!AB36,Списък!$A$1:$C$209,3,FALSE)</f>
        <v>0</v>
      </c>
      <c r="E277" s="12">
        <f>VLOOKUP('Програма-кодове'!AC36,Списък!$A$1:$C$209,3,FALSE)</f>
        <v>0</v>
      </c>
      <c r="F277" s="12">
        <f>VLOOKUP('Програма-кодове'!AD36,Списък!$A$1:$C$209,3,FALSE)</f>
        <v>0</v>
      </c>
    </row>
  </sheetData>
  <mergeCells count="5">
    <mergeCell ref="A1:F1"/>
    <mergeCell ref="A224:F224"/>
    <mergeCell ref="A169:F169"/>
    <mergeCell ref="A113:F113"/>
    <mergeCell ref="A56:F56"/>
  </mergeCells>
  <phoneticPr fontId="0" type="noConversion"/>
  <printOptions horizontalCentered="1"/>
  <pageMargins left="0.39370078740157483" right="0.39370078740157483" top="0.19685039370078741" bottom="0.19685039370078741" header="0.51181102362204722" footer="0.51181102362204722"/>
  <pageSetup paperSize="9" scale="90" orientation="landscape" r:id="rId1"/>
  <headerFooter alignWithMargins="0"/>
  <rowBreaks count="4" manualBreakCount="4">
    <brk id="55" max="16383" man="1"/>
    <brk id="112" max="16383" man="1"/>
    <brk id="168" max="16383" man="1"/>
    <brk id="22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60"/>
  <sheetViews>
    <sheetView zoomScale="120" zoomScaleNormal="120" workbookViewId="0">
      <pane ySplit="1" topLeftCell="A4" activePane="bottomLeft" state="frozen"/>
      <selection pane="bottomLeft" activeCell="C14" sqref="C14"/>
    </sheetView>
  </sheetViews>
  <sheetFormatPr defaultColWidth="5.140625" defaultRowHeight="16.5" customHeight="1"/>
  <cols>
    <col min="1" max="1" width="2.85546875" style="1" customWidth="1"/>
    <col min="2" max="2" width="2.7109375" style="5" customWidth="1"/>
    <col min="3" max="9" width="5.28515625" style="1" customWidth="1"/>
    <col min="10" max="10" width="5.140625" style="1" customWidth="1"/>
    <col min="11" max="30" width="5.28515625" style="1" customWidth="1"/>
    <col min="31" max="31" width="5.140625" style="1" customWidth="1"/>
    <col min="32" max="16384" width="5.140625" style="1"/>
  </cols>
  <sheetData>
    <row r="1" spans="1:32" s="2" customFormat="1" ht="12.75" customHeight="1" thickBot="1">
      <c r="A1" s="103" t="s">
        <v>29</v>
      </c>
      <c r="B1" s="104" t="s">
        <v>30</v>
      </c>
      <c r="C1" s="189">
        <v>5</v>
      </c>
      <c r="D1" s="104">
        <v>6</v>
      </c>
      <c r="E1" s="104">
        <v>7</v>
      </c>
      <c r="F1" s="104" t="s">
        <v>113</v>
      </c>
      <c r="G1" s="104" t="s">
        <v>1</v>
      </c>
      <c r="H1" s="104" t="s">
        <v>2</v>
      </c>
      <c r="I1" s="104" t="s">
        <v>3</v>
      </c>
      <c r="J1" s="104" t="s">
        <v>4</v>
      </c>
      <c r="K1" s="189" t="s">
        <v>5</v>
      </c>
      <c r="L1" s="189" t="s">
        <v>6</v>
      </c>
      <c r="M1" s="189" t="s">
        <v>7</v>
      </c>
      <c r="N1" s="189" t="s">
        <v>8</v>
      </c>
      <c r="O1" s="189" t="s">
        <v>9</v>
      </c>
      <c r="P1" s="189" t="s">
        <v>10</v>
      </c>
      <c r="Q1" s="189" t="s">
        <v>11</v>
      </c>
      <c r="R1" s="189" t="s">
        <v>12</v>
      </c>
      <c r="S1" s="189" t="s">
        <v>13</v>
      </c>
      <c r="T1" s="189" t="s">
        <v>14</v>
      </c>
      <c r="U1" s="104" t="s">
        <v>15</v>
      </c>
      <c r="V1" s="104" t="s">
        <v>16</v>
      </c>
      <c r="W1" s="104" t="s">
        <v>17</v>
      </c>
      <c r="X1" s="104" t="s">
        <v>46</v>
      </c>
      <c r="Y1" s="104" t="s">
        <v>18</v>
      </c>
      <c r="Z1" s="104" t="s">
        <v>48</v>
      </c>
      <c r="AA1" s="104" t="s">
        <v>49</v>
      </c>
      <c r="AB1" s="104" t="s">
        <v>50</v>
      </c>
      <c r="AC1" s="189" t="s">
        <v>51</v>
      </c>
      <c r="AD1" s="104" t="s">
        <v>52</v>
      </c>
    </row>
    <row r="2" spans="1:32" ht="15" customHeight="1">
      <c r="A2" s="363" t="s">
        <v>19</v>
      </c>
      <c r="B2" s="7">
        <v>1</v>
      </c>
      <c r="C2" s="185">
        <v>38</v>
      </c>
      <c r="D2" s="176">
        <v>3</v>
      </c>
      <c r="E2" s="176">
        <v>8</v>
      </c>
      <c r="F2" s="176">
        <v>21</v>
      </c>
      <c r="G2" s="176">
        <v>11</v>
      </c>
      <c r="H2" s="176">
        <v>12</v>
      </c>
      <c r="I2" s="176" t="s">
        <v>309</v>
      </c>
      <c r="J2" s="176">
        <v>22</v>
      </c>
      <c r="K2" s="186">
        <v>36</v>
      </c>
      <c r="L2" s="186">
        <v>6</v>
      </c>
      <c r="M2" s="186">
        <v>34</v>
      </c>
      <c r="N2" s="186">
        <v>15</v>
      </c>
      <c r="O2" s="186">
        <v>47</v>
      </c>
      <c r="P2" s="186" t="s">
        <v>68</v>
      </c>
      <c r="Q2" s="186">
        <v>35</v>
      </c>
      <c r="R2" s="186" t="s">
        <v>204</v>
      </c>
      <c r="S2" s="186">
        <v>10</v>
      </c>
      <c r="T2" s="186">
        <v>43</v>
      </c>
      <c r="U2" s="175" t="s">
        <v>312</v>
      </c>
      <c r="V2" s="175">
        <v>7</v>
      </c>
      <c r="W2" s="175" t="s">
        <v>312</v>
      </c>
      <c r="X2" s="176">
        <v>23</v>
      </c>
      <c r="Y2" s="176">
        <v>33</v>
      </c>
      <c r="Z2" s="176">
        <v>39</v>
      </c>
      <c r="AA2" s="176">
        <v>9</v>
      </c>
      <c r="AB2" s="176">
        <v>5</v>
      </c>
      <c r="AC2" s="185" t="s">
        <v>248</v>
      </c>
      <c r="AD2" s="177">
        <v>44</v>
      </c>
      <c r="AE2" s="3"/>
    </row>
    <row r="3" spans="1:32" ht="15" customHeight="1">
      <c r="A3" s="364"/>
      <c r="B3" s="6">
        <v>2</v>
      </c>
      <c r="C3" s="102">
        <v>13</v>
      </c>
      <c r="D3" s="178">
        <v>38</v>
      </c>
      <c r="E3" s="178" t="s">
        <v>204</v>
      </c>
      <c r="F3" s="178">
        <v>3</v>
      </c>
      <c r="G3" s="178">
        <v>11</v>
      </c>
      <c r="H3" s="178">
        <v>12</v>
      </c>
      <c r="I3" s="178">
        <v>8</v>
      </c>
      <c r="J3" s="178" t="s">
        <v>309</v>
      </c>
      <c r="K3" s="102">
        <v>15</v>
      </c>
      <c r="L3" s="102">
        <v>6</v>
      </c>
      <c r="M3" s="102">
        <v>22</v>
      </c>
      <c r="N3" s="102">
        <v>44</v>
      </c>
      <c r="O3" s="102" t="s">
        <v>349</v>
      </c>
      <c r="P3" s="102">
        <v>21</v>
      </c>
      <c r="Q3" s="102">
        <v>4</v>
      </c>
      <c r="R3" s="102" t="s">
        <v>68</v>
      </c>
      <c r="S3" s="102">
        <v>10</v>
      </c>
      <c r="T3" s="198">
        <v>43</v>
      </c>
      <c r="U3" s="102" t="s">
        <v>312</v>
      </c>
      <c r="V3" s="102">
        <v>23</v>
      </c>
      <c r="W3" s="102" t="s">
        <v>312</v>
      </c>
      <c r="X3" s="178">
        <v>47</v>
      </c>
      <c r="Y3" s="178">
        <v>7</v>
      </c>
      <c r="Z3" s="178" t="s">
        <v>248</v>
      </c>
      <c r="AA3" s="178">
        <v>9</v>
      </c>
      <c r="AB3" s="178">
        <v>5</v>
      </c>
      <c r="AC3" s="185">
        <v>19</v>
      </c>
      <c r="AD3" s="179">
        <v>39</v>
      </c>
      <c r="AE3" s="3"/>
    </row>
    <row r="4" spans="1:32" ht="15" customHeight="1">
      <c r="A4" s="364"/>
      <c r="B4" s="6">
        <v>3</v>
      </c>
      <c r="C4" s="102">
        <v>46</v>
      </c>
      <c r="D4" s="178">
        <v>24</v>
      </c>
      <c r="E4" s="178">
        <v>33</v>
      </c>
      <c r="F4" s="178" t="s">
        <v>309</v>
      </c>
      <c r="G4" s="178">
        <v>11</v>
      </c>
      <c r="H4" s="178">
        <v>12</v>
      </c>
      <c r="I4" s="178">
        <v>8</v>
      </c>
      <c r="J4" s="178">
        <v>13</v>
      </c>
      <c r="K4" s="102">
        <v>34</v>
      </c>
      <c r="L4" s="102" t="s">
        <v>169</v>
      </c>
      <c r="M4" s="102">
        <v>15</v>
      </c>
      <c r="N4" s="102">
        <v>39</v>
      </c>
      <c r="O4" s="178">
        <v>42</v>
      </c>
      <c r="P4" s="102">
        <v>21</v>
      </c>
      <c r="Q4" s="102">
        <v>4</v>
      </c>
      <c r="R4" s="102">
        <v>10</v>
      </c>
      <c r="S4" s="102">
        <v>36</v>
      </c>
      <c r="T4" s="102" t="s">
        <v>68</v>
      </c>
      <c r="U4" s="102">
        <v>43</v>
      </c>
      <c r="V4" s="102">
        <v>35</v>
      </c>
      <c r="W4" s="102">
        <v>23</v>
      </c>
      <c r="X4" s="178">
        <v>7</v>
      </c>
      <c r="Y4" s="178">
        <v>44</v>
      </c>
      <c r="Z4" s="178">
        <v>19</v>
      </c>
      <c r="AA4" s="178">
        <v>22</v>
      </c>
      <c r="AB4" s="178" t="s">
        <v>248</v>
      </c>
      <c r="AC4" s="178">
        <v>17</v>
      </c>
      <c r="AD4" s="179">
        <v>5</v>
      </c>
      <c r="AE4" s="3"/>
    </row>
    <row r="5" spans="1:32" ht="15" customHeight="1">
      <c r="A5" s="364"/>
      <c r="B5" s="6">
        <v>4</v>
      </c>
      <c r="C5" s="102" t="s">
        <v>317</v>
      </c>
      <c r="D5" s="178" t="s">
        <v>396</v>
      </c>
      <c r="E5" s="178">
        <v>3</v>
      </c>
      <c r="F5" s="178">
        <v>14</v>
      </c>
      <c r="G5" s="178">
        <v>23</v>
      </c>
      <c r="H5" s="178">
        <v>12</v>
      </c>
      <c r="I5" s="178">
        <v>8</v>
      </c>
      <c r="J5" s="178">
        <v>13</v>
      </c>
      <c r="K5" s="102">
        <v>6</v>
      </c>
      <c r="L5" s="102">
        <v>34</v>
      </c>
      <c r="M5" s="102">
        <v>36</v>
      </c>
      <c r="N5" s="178">
        <v>20</v>
      </c>
      <c r="O5" s="102">
        <v>41</v>
      </c>
      <c r="P5" s="102">
        <v>10</v>
      </c>
      <c r="Q5" s="102">
        <v>42</v>
      </c>
      <c r="R5" s="102">
        <v>43</v>
      </c>
      <c r="S5" s="102" t="s">
        <v>68</v>
      </c>
      <c r="T5" s="102" t="s">
        <v>204</v>
      </c>
      <c r="U5" s="178">
        <v>35</v>
      </c>
      <c r="V5" s="178" t="s">
        <v>311</v>
      </c>
      <c r="W5" s="178">
        <v>7</v>
      </c>
      <c r="X5" s="102">
        <v>33</v>
      </c>
      <c r="Y5" s="178" t="s">
        <v>312</v>
      </c>
      <c r="Z5" s="178">
        <v>9</v>
      </c>
      <c r="AA5" s="178">
        <v>22</v>
      </c>
      <c r="AB5" s="178">
        <v>39</v>
      </c>
      <c r="AC5" s="178">
        <v>50</v>
      </c>
      <c r="AD5" s="179">
        <v>5</v>
      </c>
      <c r="AE5" s="3"/>
    </row>
    <row r="6" spans="1:32" ht="15" customHeight="1">
      <c r="A6" s="364"/>
      <c r="B6" s="6">
        <v>5</v>
      </c>
      <c r="C6" s="102">
        <v>20</v>
      </c>
      <c r="D6" s="178">
        <v>48</v>
      </c>
      <c r="E6" s="178">
        <v>3</v>
      </c>
      <c r="F6" s="178">
        <v>14</v>
      </c>
      <c r="G6" s="178">
        <v>4</v>
      </c>
      <c r="H6" s="178" t="s">
        <v>309</v>
      </c>
      <c r="I6" s="178">
        <v>8</v>
      </c>
      <c r="J6" s="178">
        <v>37</v>
      </c>
      <c r="K6" s="102">
        <v>6</v>
      </c>
      <c r="L6" s="102">
        <v>36</v>
      </c>
      <c r="M6" s="178" t="s">
        <v>169</v>
      </c>
      <c r="N6" s="102">
        <v>34</v>
      </c>
      <c r="O6" s="102">
        <v>24</v>
      </c>
      <c r="P6" s="102">
        <v>10</v>
      </c>
      <c r="Q6" s="102" t="s">
        <v>68</v>
      </c>
      <c r="R6" s="102">
        <v>42</v>
      </c>
      <c r="S6" s="102">
        <v>43</v>
      </c>
      <c r="T6" s="102">
        <v>21</v>
      </c>
      <c r="U6" s="178">
        <v>19</v>
      </c>
      <c r="V6" s="178" t="s">
        <v>311</v>
      </c>
      <c r="W6" s="178">
        <v>33</v>
      </c>
      <c r="X6" s="178">
        <v>35</v>
      </c>
      <c r="Y6" s="178" t="s">
        <v>312</v>
      </c>
      <c r="Z6" s="178">
        <v>9</v>
      </c>
      <c r="AA6" s="178" t="s">
        <v>248</v>
      </c>
      <c r="AB6" s="178">
        <v>49</v>
      </c>
      <c r="AC6" s="178">
        <v>39</v>
      </c>
      <c r="AD6" s="179">
        <v>50</v>
      </c>
      <c r="AE6" s="3"/>
    </row>
    <row r="7" spans="1:32" ht="15" customHeight="1">
      <c r="A7" s="364"/>
      <c r="B7" s="6">
        <v>6</v>
      </c>
      <c r="C7" s="102" t="s">
        <v>315</v>
      </c>
      <c r="D7" s="178">
        <v>36</v>
      </c>
      <c r="E7" s="178">
        <v>21</v>
      </c>
      <c r="F7" s="178">
        <v>14</v>
      </c>
      <c r="G7" s="178" t="s">
        <v>306</v>
      </c>
      <c r="H7" s="178">
        <v>20</v>
      </c>
      <c r="I7" s="178">
        <v>37</v>
      </c>
      <c r="J7" s="178">
        <v>13</v>
      </c>
      <c r="K7" s="102" t="s">
        <v>169</v>
      </c>
      <c r="L7" s="357" t="s">
        <v>324</v>
      </c>
      <c r="M7" s="358"/>
      <c r="N7" s="359"/>
      <c r="O7" s="102">
        <v>6</v>
      </c>
      <c r="P7" s="102">
        <v>33</v>
      </c>
      <c r="Q7" s="102">
        <v>48</v>
      </c>
      <c r="R7" s="102">
        <v>24</v>
      </c>
      <c r="S7" s="102">
        <v>4</v>
      </c>
      <c r="T7" s="102">
        <v>10</v>
      </c>
      <c r="U7" s="178">
        <v>19</v>
      </c>
      <c r="V7" s="178" t="s">
        <v>161</v>
      </c>
      <c r="W7" s="178">
        <v>2</v>
      </c>
      <c r="X7" s="178">
        <v>43</v>
      </c>
      <c r="Y7" s="178">
        <v>35</v>
      </c>
      <c r="Z7" s="178">
        <v>5</v>
      </c>
      <c r="AA7" s="178">
        <v>39</v>
      </c>
      <c r="AB7" s="178">
        <v>341</v>
      </c>
      <c r="AC7" s="178">
        <v>49</v>
      </c>
      <c r="AD7" s="179">
        <v>42</v>
      </c>
      <c r="AE7" s="3"/>
    </row>
    <row r="8" spans="1:32" ht="17.25" customHeight="1" thickBot="1">
      <c r="A8" s="364"/>
      <c r="B8" s="6">
        <v>7</v>
      </c>
      <c r="C8" s="112"/>
      <c r="D8" s="108"/>
      <c r="E8" s="102">
        <v>39</v>
      </c>
      <c r="F8" s="102">
        <v>14</v>
      </c>
      <c r="G8" s="102">
        <v>48</v>
      </c>
      <c r="H8" s="102">
        <v>37</v>
      </c>
      <c r="I8" s="102">
        <v>20</v>
      </c>
      <c r="J8" s="102">
        <v>13</v>
      </c>
      <c r="K8" s="180">
        <v>46</v>
      </c>
      <c r="L8" s="360" t="s">
        <v>324</v>
      </c>
      <c r="M8" s="361"/>
      <c r="N8" s="362"/>
      <c r="O8" s="180">
        <v>6</v>
      </c>
      <c r="P8" s="180">
        <v>43</v>
      </c>
      <c r="Q8" s="180">
        <v>24</v>
      </c>
      <c r="R8" s="180">
        <v>35</v>
      </c>
      <c r="S8" s="180">
        <v>4</v>
      </c>
      <c r="T8" s="180">
        <v>36</v>
      </c>
      <c r="U8" s="102">
        <v>10</v>
      </c>
      <c r="V8" s="178">
        <v>33</v>
      </c>
      <c r="W8" s="178" t="s">
        <v>161</v>
      </c>
      <c r="X8" s="178">
        <v>2</v>
      </c>
      <c r="Y8" s="178" t="s">
        <v>169</v>
      </c>
      <c r="Z8" s="178">
        <v>5</v>
      </c>
      <c r="AA8" s="178">
        <v>49</v>
      </c>
      <c r="AB8" s="178">
        <v>19</v>
      </c>
      <c r="AC8" s="178">
        <v>34</v>
      </c>
      <c r="AD8" s="179">
        <v>42</v>
      </c>
      <c r="AE8" s="3"/>
    </row>
    <row r="9" spans="1:32" ht="15" customHeight="1">
      <c r="A9" s="363" t="s">
        <v>20</v>
      </c>
      <c r="B9" s="7">
        <v>1</v>
      </c>
      <c r="C9" s="186">
        <v>13</v>
      </c>
      <c r="D9" s="175">
        <v>12</v>
      </c>
      <c r="E9" s="175">
        <v>33</v>
      </c>
      <c r="F9" s="176">
        <v>14</v>
      </c>
      <c r="G9" s="176">
        <v>4</v>
      </c>
      <c r="H9" s="176" t="s">
        <v>200</v>
      </c>
      <c r="I9" s="176">
        <v>8</v>
      </c>
      <c r="J9" s="176">
        <v>48</v>
      </c>
      <c r="K9" s="186">
        <v>20</v>
      </c>
      <c r="L9" s="186">
        <v>36</v>
      </c>
      <c r="M9" s="186">
        <v>44</v>
      </c>
      <c r="N9" s="186">
        <v>47</v>
      </c>
      <c r="O9" s="102">
        <v>39</v>
      </c>
      <c r="P9" s="102">
        <v>21</v>
      </c>
      <c r="Q9" s="102">
        <v>11</v>
      </c>
      <c r="R9" s="102">
        <v>24</v>
      </c>
      <c r="S9" s="102" t="s">
        <v>68</v>
      </c>
      <c r="T9" s="102">
        <v>37</v>
      </c>
      <c r="U9" s="175" t="s">
        <v>161</v>
      </c>
      <c r="V9" s="175">
        <v>38</v>
      </c>
      <c r="W9" s="175">
        <v>7</v>
      </c>
      <c r="X9" s="175">
        <v>17</v>
      </c>
      <c r="Y9" s="175" t="s">
        <v>169</v>
      </c>
      <c r="Z9" s="175" t="s">
        <v>248</v>
      </c>
      <c r="AA9" s="175">
        <v>34</v>
      </c>
      <c r="AB9" s="175">
        <v>19</v>
      </c>
      <c r="AC9" s="176">
        <v>5</v>
      </c>
      <c r="AD9" s="181">
        <v>9</v>
      </c>
    </row>
    <row r="10" spans="1:32" ht="15" customHeight="1">
      <c r="A10" s="364"/>
      <c r="B10" s="6">
        <v>2</v>
      </c>
      <c r="C10" s="102">
        <v>6</v>
      </c>
      <c r="D10" s="102">
        <v>48</v>
      </c>
      <c r="E10" s="102">
        <v>21</v>
      </c>
      <c r="F10" s="178" t="s">
        <v>200</v>
      </c>
      <c r="G10" s="178">
        <v>37</v>
      </c>
      <c r="H10" s="178">
        <v>12</v>
      </c>
      <c r="I10" s="178">
        <v>20</v>
      </c>
      <c r="J10" s="178">
        <v>13</v>
      </c>
      <c r="K10" s="102">
        <v>39</v>
      </c>
      <c r="L10" s="102">
        <v>22</v>
      </c>
      <c r="M10" s="102">
        <v>36</v>
      </c>
      <c r="N10" s="102">
        <v>44</v>
      </c>
      <c r="O10" s="102">
        <v>47</v>
      </c>
      <c r="P10" s="102" t="s">
        <v>68</v>
      </c>
      <c r="Q10" s="102">
        <v>11</v>
      </c>
      <c r="R10" s="102">
        <v>24</v>
      </c>
      <c r="S10" s="102">
        <v>33</v>
      </c>
      <c r="T10" s="102">
        <v>4</v>
      </c>
      <c r="U10" s="102">
        <v>38</v>
      </c>
      <c r="V10" s="102">
        <v>40</v>
      </c>
      <c r="W10" s="102">
        <v>7</v>
      </c>
      <c r="X10" s="102" t="s">
        <v>161</v>
      </c>
      <c r="Y10" s="102" t="s">
        <v>169</v>
      </c>
      <c r="Z10" s="102">
        <v>34</v>
      </c>
      <c r="AA10" s="102" t="s">
        <v>248</v>
      </c>
      <c r="AB10" s="102">
        <v>19</v>
      </c>
      <c r="AC10" s="102">
        <v>5</v>
      </c>
      <c r="AD10" s="182">
        <v>9</v>
      </c>
    </row>
    <row r="11" spans="1:32" ht="15" customHeight="1">
      <c r="A11" s="364"/>
      <c r="B11" s="6">
        <v>3</v>
      </c>
      <c r="C11" s="102">
        <v>20</v>
      </c>
      <c r="D11" s="102">
        <v>24</v>
      </c>
      <c r="E11" s="102">
        <v>21</v>
      </c>
      <c r="F11" s="178">
        <v>14</v>
      </c>
      <c r="G11" s="178" t="s">
        <v>200</v>
      </c>
      <c r="H11" s="178">
        <v>12</v>
      </c>
      <c r="I11" s="178">
        <v>8</v>
      </c>
      <c r="J11" s="178">
        <v>13</v>
      </c>
      <c r="K11" s="102">
        <v>36</v>
      </c>
      <c r="L11" s="102">
        <v>22</v>
      </c>
      <c r="M11" s="102">
        <v>47</v>
      </c>
      <c r="N11" s="102">
        <v>6</v>
      </c>
      <c r="O11" s="102">
        <v>41</v>
      </c>
      <c r="P11" s="102">
        <v>38</v>
      </c>
      <c r="Q11" s="102" t="s">
        <v>68</v>
      </c>
      <c r="R11" s="102">
        <v>39</v>
      </c>
      <c r="S11" s="102" t="s">
        <v>204</v>
      </c>
      <c r="T11" s="102">
        <v>4</v>
      </c>
      <c r="U11" s="102">
        <v>33</v>
      </c>
      <c r="V11" s="102" t="s">
        <v>161</v>
      </c>
      <c r="W11" s="102">
        <v>40</v>
      </c>
      <c r="X11" s="102">
        <v>37</v>
      </c>
      <c r="Y11" s="102">
        <v>44</v>
      </c>
      <c r="Z11" s="102">
        <v>9</v>
      </c>
      <c r="AA11" s="102">
        <v>5</v>
      </c>
      <c r="AB11" s="102" t="s">
        <v>248</v>
      </c>
      <c r="AC11" s="102">
        <v>19</v>
      </c>
      <c r="AD11" s="182">
        <v>34</v>
      </c>
    </row>
    <row r="12" spans="1:32" ht="15" customHeight="1">
      <c r="A12" s="364"/>
      <c r="B12" s="6">
        <v>4</v>
      </c>
      <c r="C12" s="102">
        <v>45</v>
      </c>
      <c r="D12" s="102">
        <v>38</v>
      </c>
      <c r="E12" s="102">
        <v>36</v>
      </c>
      <c r="F12" s="178">
        <v>14</v>
      </c>
      <c r="G12" s="178">
        <v>11</v>
      </c>
      <c r="H12" s="178">
        <v>2</v>
      </c>
      <c r="I12" s="178">
        <v>8</v>
      </c>
      <c r="J12" s="178">
        <v>13</v>
      </c>
      <c r="K12" s="102">
        <v>15</v>
      </c>
      <c r="L12" s="102">
        <v>44</v>
      </c>
      <c r="M12" s="102">
        <v>39</v>
      </c>
      <c r="N12" s="102">
        <v>6</v>
      </c>
      <c r="O12" s="102">
        <v>34</v>
      </c>
      <c r="P12" s="102">
        <v>4</v>
      </c>
      <c r="Q12" s="102">
        <v>48</v>
      </c>
      <c r="R12" s="102" t="s">
        <v>68</v>
      </c>
      <c r="S12" s="102">
        <v>16</v>
      </c>
      <c r="T12" s="102">
        <v>43</v>
      </c>
      <c r="U12" s="102" t="s">
        <v>169</v>
      </c>
      <c r="V12" s="102">
        <v>7</v>
      </c>
      <c r="W12" s="102" t="s">
        <v>161</v>
      </c>
      <c r="X12" s="102">
        <v>23</v>
      </c>
      <c r="Y12" s="102">
        <v>47</v>
      </c>
      <c r="Z12" s="102">
        <v>19</v>
      </c>
      <c r="AA12" s="102">
        <v>5</v>
      </c>
      <c r="AB12" s="102">
        <v>9</v>
      </c>
      <c r="AC12" s="102" t="s">
        <v>248</v>
      </c>
      <c r="AD12" s="182">
        <v>22</v>
      </c>
    </row>
    <row r="13" spans="1:32" ht="15" customHeight="1">
      <c r="A13" s="364"/>
      <c r="B13" s="6">
        <v>5</v>
      </c>
      <c r="C13" s="102">
        <v>33</v>
      </c>
      <c r="D13" s="102">
        <v>45</v>
      </c>
      <c r="E13" s="102">
        <v>3</v>
      </c>
      <c r="F13" s="178">
        <v>14</v>
      </c>
      <c r="G13" s="178">
        <v>11</v>
      </c>
      <c r="H13" s="178">
        <v>12</v>
      </c>
      <c r="I13" s="178">
        <v>48</v>
      </c>
      <c r="J13" s="178" t="s">
        <v>308</v>
      </c>
      <c r="K13" s="178">
        <v>44</v>
      </c>
      <c r="L13" s="178">
        <v>15</v>
      </c>
      <c r="M13" s="178" t="s">
        <v>229</v>
      </c>
      <c r="N13" s="178">
        <v>39</v>
      </c>
      <c r="O13" s="102" t="s">
        <v>349</v>
      </c>
      <c r="P13" s="102">
        <v>4</v>
      </c>
      <c r="Q13" s="102">
        <v>24</v>
      </c>
      <c r="R13" s="102">
        <v>37</v>
      </c>
      <c r="S13" s="102">
        <v>16</v>
      </c>
      <c r="T13" s="102">
        <v>42</v>
      </c>
      <c r="U13" s="102">
        <v>2</v>
      </c>
      <c r="V13" s="102">
        <v>7</v>
      </c>
      <c r="W13" s="102">
        <v>43</v>
      </c>
      <c r="X13" s="102">
        <v>38</v>
      </c>
      <c r="Y13" s="102">
        <v>23</v>
      </c>
      <c r="Z13" s="102">
        <v>19</v>
      </c>
      <c r="AA13" s="102">
        <v>50</v>
      </c>
      <c r="AB13" s="102">
        <v>9</v>
      </c>
      <c r="AC13" s="102">
        <v>35</v>
      </c>
      <c r="AD13" s="182">
        <v>49</v>
      </c>
    </row>
    <row r="14" spans="1:32" ht="15" customHeight="1">
      <c r="A14" s="364"/>
      <c r="B14" s="6">
        <v>6</v>
      </c>
      <c r="C14" s="102">
        <v>46</v>
      </c>
      <c r="D14" s="102">
        <v>3</v>
      </c>
      <c r="E14" s="102">
        <v>45</v>
      </c>
      <c r="F14" s="102">
        <v>37</v>
      </c>
      <c r="G14" s="102">
        <v>11</v>
      </c>
      <c r="H14" s="102">
        <v>12</v>
      </c>
      <c r="I14" s="102" t="s">
        <v>308</v>
      </c>
      <c r="J14" s="102">
        <v>5</v>
      </c>
      <c r="K14" s="178">
        <v>50</v>
      </c>
      <c r="L14" s="178">
        <v>39</v>
      </c>
      <c r="M14" s="178">
        <v>6</v>
      </c>
      <c r="N14" s="178" t="s">
        <v>229</v>
      </c>
      <c r="O14" s="102">
        <v>15</v>
      </c>
      <c r="P14" s="102">
        <v>48</v>
      </c>
      <c r="Q14" s="102">
        <v>42</v>
      </c>
      <c r="R14" s="102">
        <v>10</v>
      </c>
      <c r="S14" s="102">
        <v>24</v>
      </c>
      <c r="T14" s="102" t="s">
        <v>311</v>
      </c>
      <c r="U14" s="102">
        <v>19</v>
      </c>
      <c r="V14" s="102">
        <v>2</v>
      </c>
      <c r="W14" s="102">
        <v>23</v>
      </c>
      <c r="X14" s="102">
        <v>7</v>
      </c>
      <c r="Y14" s="102">
        <v>38</v>
      </c>
      <c r="Z14" s="102">
        <v>49</v>
      </c>
      <c r="AA14" s="102">
        <v>22</v>
      </c>
      <c r="AB14" s="102">
        <v>34</v>
      </c>
      <c r="AC14" s="102">
        <v>9</v>
      </c>
      <c r="AD14" s="182">
        <v>35</v>
      </c>
    </row>
    <row r="15" spans="1:32" ht="15" customHeight="1" thickBot="1">
      <c r="A15" s="364"/>
      <c r="B15" s="158">
        <v>7</v>
      </c>
      <c r="C15" s="112"/>
      <c r="D15" s="112"/>
      <c r="E15" s="112"/>
      <c r="F15" s="180">
        <v>45</v>
      </c>
      <c r="G15" s="180">
        <v>11</v>
      </c>
      <c r="H15" s="180">
        <v>48</v>
      </c>
      <c r="I15" s="180">
        <v>3</v>
      </c>
      <c r="J15" s="180">
        <v>5</v>
      </c>
      <c r="K15" s="183" t="s">
        <v>229</v>
      </c>
      <c r="L15" s="183">
        <v>49</v>
      </c>
      <c r="M15" s="183">
        <v>6</v>
      </c>
      <c r="N15" s="183" t="s">
        <v>349</v>
      </c>
      <c r="O15" s="180">
        <v>24</v>
      </c>
      <c r="P15" s="180">
        <v>37</v>
      </c>
      <c r="Q15" s="180">
        <v>43</v>
      </c>
      <c r="R15" s="180">
        <v>10</v>
      </c>
      <c r="S15" s="180">
        <v>42</v>
      </c>
      <c r="T15" s="180" t="s">
        <v>311</v>
      </c>
      <c r="U15" s="180">
        <v>19</v>
      </c>
      <c r="V15" s="180">
        <v>23</v>
      </c>
      <c r="W15" s="180">
        <v>38</v>
      </c>
      <c r="X15" s="180">
        <v>7</v>
      </c>
      <c r="Y15" s="180">
        <v>2</v>
      </c>
      <c r="Z15" s="180">
        <v>50</v>
      </c>
      <c r="AA15" s="180">
        <v>22</v>
      </c>
      <c r="AB15" s="180">
        <v>35</v>
      </c>
      <c r="AC15" s="180">
        <v>9</v>
      </c>
      <c r="AD15" s="184">
        <v>44</v>
      </c>
    </row>
    <row r="16" spans="1:32" ht="15" customHeight="1">
      <c r="A16" s="363" t="s">
        <v>23</v>
      </c>
      <c r="B16" s="7">
        <v>1</v>
      </c>
      <c r="C16" s="209">
        <v>45</v>
      </c>
      <c r="D16" s="185">
        <v>24</v>
      </c>
      <c r="E16" s="186" t="s">
        <v>246</v>
      </c>
      <c r="F16" s="185">
        <v>21</v>
      </c>
      <c r="G16" s="185">
        <v>23</v>
      </c>
      <c r="H16" s="185">
        <v>2</v>
      </c>
      <c r="I16" s="185">
        <v>8</v>
      </c>
      <c r="J16" s="185">
        <v>13</v>
      </c>
      <c r="K16" s="185">
        <v>39</v>
      </c>
      <c r="L16" s="185" t="s">
        <v>308</v>
      </c>
      <c r="M16" s="185">
        <v>50</v>
      </c>
      <c r="N16" s="185">
        <v>20</v>
      </c>
      <c r="O16" s="186">
        <v>15</v>
      </c>
      <c r="P16" s="185">
        <v>42</v>
      </c>
      <c r="Q16" s="185">
        <v>11</v>
      </c>
      <c r="R16" s="185" t="s">
        <v>68</v>
      </c>
      <c r="S16" s="185">
        <v>43</v>
      </c>
      <c r="T16" s="185">
        <v>36</v>
      </c>
      <c r="U16" s="186">
        <v>10</v>
      </c>
      <c r="V16" s="185">
        <v>33</v>
      </c>
      <c r="W16" s="185">
        <v>47</v>
      </c>
      <c r="X16" s="185">
        <v>17</v>
      </c>
      <c r="Y16" s="185">
        <v>44</v>
      </c>
      <c r="Z16" s="185">
        <v>9</v>
      </c>
      <c r="AA16" s="185">
        <v>22</v>
      </c>
      <c r="AB16" s="185">
        <v>19</v>
      </c>
      <c r="AC16" s="185">
        <v>5</v>
      </c>
      <c r="AD16" s="187">
        <v>49</v>
      </c>
      <c r="AF16" s="1" t="s">
        <v>217</v>
      </c>
    </row>
    <row r="17" spans="1:30" ht="15" customHeight="1">
      <c r="A17" s="364"/>
      <c r="B17" s="6">
        <v>2</v>
      </c>
      <c r="C17" s="178">
        <v>20</v>
      </c>
      <c r="D17" s="178" t="s">
        <v>246</v>
      </c>
      <c r="E17" s="178">
        <v>21</v>
      </c>
      <c r="F17" s="178">
        <v>3</v>
      </c>
      <c r="G17" s="178">
        <v>45</v>
      </c>
      <c r="H17" s="178">
        <v>2</v>
      </c>
      <c r="I17" s="178">
        <v>8</v>
      </c>
      <c r="J17" s="178">
        <v>13</v>
      </c>
      <c r="K17" s="178" t="s">
        <v>308</v>
      </c>
      <c r="L17" s="178">
        <v>36</v>
      </c>
      <c r="M17" s="178">
        <v>39</v>
      </c>
      <c r="N17" s="178">
        <v>15</v>
      </c>
      <c r="O17" s="178">
        <v>50</v>
      </c>
      <c r="P17" s="178" t="s">
        <v>224</v>
      </c>
      <c r="Q17" s="178">
        <v>35</v>
      </c>
      <c r="R17" s="102">
        <v>24</v>
      </c>
      <c r="S17" s="178" t="s">
        <v>68</v>
      </c>
      <c r="T17" s="178">
        <v>43</v>
      </c>
      <c r="U17" s="178">
        <v>10</v>
      </c>
      <c r="V17" s="102">
        <v>47</v>
      </c>
      <c r="W17" s="178">
        <v>23</v>
      </c>
      <c r="X17" s="178">
        <v>17</v>
      </c>
      <c r="Y17" s="178">
        <v>44</v>
      </c>
      <c r="Z17" s="178">
        <v>5</v>
      </c>
      <c r="AA17" s="178">
        <v>49</v>
      </c>
      <c r="AB17" s="178">
        <v>19</v>
      </c>
      <c r="AC17" s="178">
        <v>9</v>
      </c>
      <c r="AD17" s="179">
        <v>42</v>
      </c>
    </row>
    <row r="18" spans="1:30" ht="15" customHeight="1">
      <c r="A18" s="364"/>
      <c r="B18" s="6">
        <v>3</v>
      </c>
      <c r="C18" s="178">
        <v>13</v>
      </c>
      <c r="D18" s="102">
        <v>3</v>
      </c>
      <c r="E18" s="178" t="s">
        <v>162</v>
      </c>
      <c r="F18" s="178">
        <v>14</v>
      </c>
      <c r="G18" s="178">
        <v>11</v>
      </c>
      <c r="H18" s="178">
        <v>20</v>
      </c>
      <c r="I18" s="178">
        <v>8</v>
      </c>
      <c r="J18" s="178">
        <v>45</v>
      </c>
      <c r="K18" s="102">
        <v>36</v>
      </c>
      <c r="L18" s="102">
        <v>22</v>
      </c>
      <c r="M18" s="102">
        <v>15</v>
      </c>
      <c r="N18" s="102">
        <v>50</v>
      </c>
      <c r="O18" s="102">
        <v>39</v>
      </c>
      <c r="P18" s="178">
        <v>21</v>
      </c>
      <c r="Q18" s="178" t="s">
        <v>68</v>
      </c>
      <c r="R18" s="178">
        <v>35</v>
      </c>
      <c r="S18" s="178">
        <v>24</v>
      </c>
      <c r="T18" s="178">
        <v>10</v>
      </c>
      <c r="U18" s="102">
        <v>19</v>
      </c>
      <c r="V18" s="102" t="s">
        <v>161</v>
      </c>
      <c r="W18" s="102">
        <v>23</v>
      </c>
      <c r="X18" s="178">
        <v>47</v>
      </c>
      <c r="Y18" s="178">
        <v>33</v>
      </c>
      <c r="Z18" s="178">
        <v>49</v>
      </c>
      <c r="AA18" s="178" t="s">
        <v>248</v>
      </c>
      <c r="AB18" s="178">
        <v>5</v>
      </c>
      <c r="AC18" s="178">
        <v>17</v>
      </c>
      <c r="AD18" s="179">
        <v>44</v>
      </c>
    </row>
    <row r="19" spans="1:30" ht="15" customHeight="1">
      <c r="A19" s="364"/>
      <c r="B19" s="6">
        <v>4</v>
      </c>
      <c r="C19" s="178">
        <v>33</v>
      </c>
      <c r="D19" s="102" t="s">
        <v>162</v>
      </c>
      <c r="E19" s="178">
        <v>3</v>
      </c>
      <c r="F19" s="178">
        <v>14</v>
      </c>
      <c r="G19" s="178">
        <v>11</v>
      </c>
      <c r="H19" s="178">
        <v>12</v>
      </c>
      <c r="I19" s="178">
        <v>8</v>
      </c>
      <c r="J19" s="178">
        <v>22</v>
      </c>
      <c r="K19" s="102">
        <v>49</v>
      </c>
      <c r="L19" s="102">
        <v>15</v>
      </c>
      <c r="M19" s="102">
        <v>36</v>
      </c>
      <c r="N19" s="102" t="s">
        <v>349</v>
      </c>
      <c r="O19" s="102">
        <v>24</v>
      </c>
      <c r="P19" s="178" t="s">
        <v>68</v>
      </c>
      <c r="Q19" s="178">
        <v>39</v>
      </c>
      <c r="R19" s="178" t="s">
        <v>204</v>
      </c>
      <c r="S19" s="178">
        <v>38</v>
      </c>
      <c r="T19" s="178">
        <v>10</v>
      </c>
      <c r="U19" s="178" t="s">
        <v>161</v>
      </c>
      <c r="V19" s="102">
        <v>23</v>
      </c>
      <c r="W19" s="178">
        <v>35</v>
      </c>
      <c r="X19" s="102">
        <v>43</v>
      </c>
      <c r="Y19" s="178" t="s">
        <v>169</v>
      </c>
      <c r="Z19" s="178">
        <v>19</v>
      </c>
      <c r="AA19" s="178">
        <v>9</v>
      </c>
      <c r="AB19" s="178" t="s">
        <v>248</v>
      </c>
      <c r="AC19" s="178">
        <v>17</v>
      </c>
      <c r="AD19" s="179">
        <v>44</v>
      </c>
    </row>
    <row r="20" spans="1:30" ht="15" customHeight="1">
      <c r="A20" s="364"/>
      <c r="B20" s="6">
        <v>5</v>
      </c>
      <c r="C20" s="178">
        <v>49</v>
      </c>
      <c r="D20" s="102">
        <v>38</v>
      </c>
      <c r="E20" s="178">
        <v>8</v>
      </c>
      <c r="F20" s="178">
        <v>48</v>
      </c>
      <c r="G20" s="178">
        <v>11</v>
      </c>
      <c r="H20" s="178">
        <v>12</v>
      </c>
      <c r="I20" s="178">
        <v>20</v>
      </c>
      <c r="J20" s="178">
        <v>13</v>
      </c>
      <c r="K20" s="102">
        <v>44</v>
      </c>
      <c r="L20" s="102">
        <v>15</v>
      </c>
      <c r="M20" s="102">
        <v>22</v>
      </c>
      <c r="N20" s="102" t="s">
        <v>169</v>
      </c>
      <c r="O20" s="102">
        <v>46</v>
      </c>
      <c r="P20" s="178">
        <v>37</v>
      </c>
      <c r="Q20" s="178">
        <v>24</v>
      </c>
      <c r="R20" s="178">
        <v>4</v>
      </c>
      <c r="S20" s="178">
        <v>36</v>
      </c>
      <c r="T20" s="178" t="s">
        <v>68</v>
      </c>
      <c r="U20" s="178">
        <v>43</v>
      </c>
      <c r="V20" s="178">
        <v>23</v>
      </c>
      <c r="W20" s="102">
        <v>33</v>
      </c>
      <c r="X20" s="178" t="s">
        <v>161</v>
      </c>
      <c r="Y20" s="178">
        <v>7</v>
      </c>
      <c r="Z20" s="102" t="s">
        <v>248</v>
      </c>
      <c r="AA20" s="102" t="s">
        <v>312</v>
      </c>
      <c r="AB20" s="178" t="s">
        <v>311</v>
      </c>
      <c r="AC20" s="178">
        <v>19</v>
      </c>
      <c r="AD20" s="179">
        <v>9</v>
      </c>
    </row>
    <row r="21" spans="1:30" ht="15" customHeight="1">
      <c r="A21" s="364"/>
      <c r="B21" s="6">
        <v>6</v>
      </c>
      <c r="C21" s="178">
        <v>6</v>
      </c>
      <c r="D21" s="178">
        <v>48</v>
      </c>
      <c r="E21" s="178">
        <v>44</v>
      </c>
      <c r="F21" s="178">
        <v>14</v>
      </c>
      <c r="G21" s="178">
        <v>11</v>
      </c>
      <c r="H21" s="178">
        <v>12</v>
      </c>
      <c r="I21" s="178">
        <v>3</v>
      </c>
      <c r="J21" s="178">
        <v>13</v>
      </c>
      <c r="K21" s="102">
        <v>20</v>
      </c>
      <c r="L21" s="102">
        <v>39</v>
      </c>
      <c r="M21" s="102">
        <v>22</v>
      </c>
      <c r="N21" s="102">
        <v>46</v>
      </c>
      <c r="O21" s="102" t="s">
        <v>349</v>
      </c>
      <c r="P21" s="178">
        <v>10</v>
      </c>
      <c r="Q21" s="178">
        <v>24</v>
      </c>
      <c r="R21" s="178">
        <v>4</v>
      </c>
      <c r="S21" s="178">
        <v>37</v>
      </c>
      <c r="T21" s="178">
        <v>38</v>
      </c>
      <c r="U21" s="178">
        <v>33</v>
      </c>
      <c r="V21" s="178">
        <v>43</v>
      </c>
      <c r="W21" s="178" t="s">
        <v>161</v>
      </c>
      <c r="X21" s="102" t="s">
        <v>169</v>
      </c>
      <c r="Y21" s="102">
        <v>7</v>
      </c>
      <c r="Z21" s="102">
        <v>35</v>
      </c>
      <c r="AA21" s="102" t="s">
        <v>312</v>
      </c>
      <c r="AB21" s="178" t="s">
        <v>311</v>
      </c>
      <c r="AC21" s="178">
        <v>19</v>
      </c>
      <c r="AD21" s="182">
        <v>9</v>
      </c>
    </row>
    <row r="22" spans="1:30" ht="15" customHeight="1" thickBot="1">
      <c r="A22" s="364"/>
      <c r="B22" s="158">
        <v>7</v>
      </c>
      <c r="C22" s="105">
        <v>46</v>
      </c>
      <c r="D22" s="105">
        <v>36</v>
      </c>
      <c r="E22" s="105">
        <v>3</v>
      </c>
      <c r="F22" s="105">
        <v>14</v>
      </c>
      <c r="G22" s="105">
        <v>4</v>
      </c>
      <c r="H22" s="105">
        <v>12</v>
      </c>
      <c r="I22" s="105">
        <v>8</v>
      </c>
      <c r="J22" s="105">
        <v>13</v>
      </c>
      <c r="K22" s="105">
        <v>6</v>
      </c>
      <c r="L22" s="105">
        <v>22</v>
      </c>
      <c r="M22" s="105">
        <v>39</v>
      </c>
      <c r="N22" s="105">
        <v>20</v>
      </c>
      <c r="O22" s="105">
        <v>15</v>
      </c>
      <c r="P22" s="105">
        <v>33</v>
      </c>
      <c r="Q22" s="105">
        <v>24</v>
      </c>
      <c r="R22" s="105">
        <v>10</v>
      </c>
      <c r="S22" s="105">
        <v>38</v>
      </c>
      <c r="T22" s="105">
        <v>43</v>
      </c>
      <c r="U22" s="105">
        <v>18</v>
      </c>
      <c r="V22" s="105">
        <v>23</v>
      </c>
      <c r="W22" s="105">
        <v>7</v>
      </c>
      <c r="X22" s="105">
        <v>17</v>
      </c>
      <c r="Y22" s="105">
        <v>41</v>
      </c>
      <c r="Z22" s="105">
        <v>19</v>
      </c>
      <c r="AA22" s="105">
        <v>35</v>
      </c>
      <c r="AB22" s="105">
        <v>34</v>
      </c>
      <c r="AC22" s="105">
        <v>9</v>
      </c>
      <c r="AD22" s="105">
        <v>44</v>
      </c>
    </row>
    <row r="23" spans="1:30" ht="15" customHeight="1">
      <c r="A23" s="363" t="s">
        <v>22</v>
      </c>
      <c r="B23" s="7">
        <v>1</v>
      </c>
      <c r="C23" s="208">
        <v>38</v>
      </c>
      <c r="D23" s="176">
        <v>24</v>
      </c>
      <c r="E23" s="176">
        <v>46</v>
      </c>
      <c r="F23" s="176" t="s">
        <v>309</v>
      </c>
      <c r="G23" s="176">
        <v>11</v>
      </c>
      <c r="H23" s="176">
        <v>12</v>
      </c>
      <c r="I23" s="176">
        <v>8</v>
      </c>
      <c r="J23" s="176">
        <v>5</v>
      </c>
      <c r="K23" s="224">
        <v>15</v>
      </c>
      <c r="L23" s="224">
        <v>49</v>
      </c>
      <c r="M23" s="224">
        <v>39</v>
      </c>
      <c r="N23" s="224">
        <v>6</v>
      </c>
      <c r="O23" s="186">
        <v>41</v>
      </c>
      <c r="P23" s="185">
        <v>21</v>
      </c>
      <c r="Q23" s="185" t="s">
        <v>312</v>
      </c>
      <c r="R23" s="102" t="s">
        <v>311</v>
      </c>
      <c r="S23" s="185">
        <v>10</v>
      </c>
      <c r="T23" s="185">
        <v>42</v>
      </c>
      <c r="U23" s="185">
        <v>47</v>
      </c>
      <c r="V23" s="185">
        <v>23</v>
      </c>
      <c r="W23" s="185">
        <v>7</v>
      </c>
      <c r="X23" s="185">
        <v>2</v>
      </c>
      <c r="Y23" s="185">
        <v>37</v>
      </c>
      <c r="Z23" s="185" t="s">
        <v>248</v>
      </c>
      <c r="AA23" s="185">
        <v>35</v>
      </c>
      <c r="AB23" s="185">
        <v>341</v>
      </c>
      <c r="AC23" s="176">
        <v>19</v>
      </c>
      <c r="AD23" s="187">
        <v>44</v>
      </c>
    </row>
    <row r="24" spans="1:30" ht="15" customHeight="1">
      <c r="A24" s="364"/>
      <c r="B24" s="6">
        <v>2</v>
      </c>
      <c r="C24" s="178">
        <v>6</v>
      </c>
      <c r="D24" s="178">
        <v>46</v>
      </c>
      <c r="E24" s="178">
        <v>42</v>
      </c>
      <c r="F24" s="178">
        <v>21</v>
      </c>
      <c r="G24" s="178">
        <v>11</v>
      </c>
      <c r="H24" s="178">
        <v>12</v>
      </c>
      <c r="I24" s="178">
        <v>8</v>
      </c>
      <c r="J24" s="102" t="s">
        <v>309</v>
      </c>
      <c r="K24" s="102">
        <v>15</v>
      </c>
      <c r="L24" s="102">
        <v>39</v>
      </c>
      <c r="M24" s="102" t="s">
        <v>169</v>
      </c>
      <c r="N24" s="102">
        <v>47</v>
      </c>
      <c r="O24" s="102">
        <v>24</v>
      </c>
      <c r="P24" s="102" t="s">
        <v>68</v>
      </c>
      <c r="Q24" s="102" t="s">
        <v>312</v>
      </c>
      <c r="R24" s="102" t="s">
        <v>311</v>
      </c>
      <c r="S24" s="102">
        <v>37</v>
      </c>
      <c r="T24" s="102">
        <v>10</v>
      </c>
      <c r="U24" s="178">
        <v>38</v>
      </c>
      <c r="V24" s="178">
        <v>7</v>
      </c>
      <c r="W24" s="178">
        <v>35</v>
      </c>
      <c r="X24" s="178">
        <v>2</v>
      </c>
      <c r="Y24" s="178">
        <v>23</v>
      </c>
      <c r="Z24" s="178" t="s">
        <v>248</v>
      </c>
      <c r="AA24" s="178">
        <v>5</v>
      </c>
      <c r="AB24" s="178">
        <v>49</v>
      </c>
      <c r="AC24" s="178">
        <v>19</v>
      </c>
      <c r="AD24" s="179">
        <v>44</v>
      </c>
    </row>
    <row r="25" spans="1:30" ht="15" customHeight="1">
      <c r="A25" s="364"/>
      <c r="B25" s="6">
        <v>3</v>
      </c>
      <c r="C25" s="178">
        <v>49</v>
      </c>
      <c r="D25" s="178">
        <v>12</v>
      </c>
      <c r="E25" s="178">
        <v>3</v>
      </c>
      <c r="F25" s="178">
        <v>14</v>
      </c>
      <c r="G25" s="178">
        <v>11</v>
      </c>
      <c r="H25" s="178" t="s">
        <v>309</v>
      </c>
      <c r="I25" s="178">
        <v>8</v>
      </c>
      <c r="J25" s="102">
        <v>22</v>
      </c>
      <c r="K25" s="102" t="s">
        <v>311</v>
      </c>
      <c r="L25" s="102" t="s">
        <v>169</v>
      </c>
      <c r="M25" s="102">
        <v>46</v>
      </c>
      <c r="N25" s="102" t="s">
        <v>349</v>
      </c>
      <c r="O25" s="102" t="s">
        <v>311</v>
      </c>
      <c r="P25" s="102" t="s">
        <v>224</v>
      </c>
      <c r="Q25" s="102" t="s">
        <v>68</v>
      </c>
      <c r="R25" s="102">
        <v>10</v>
      </c>
      <c r="S25" s="102">
        <v>24</v>
      </c>
      <c r="T25" s="102">
        <v>21</v>
      </c>
      <c r="U25" s="178">
        <v>35</v>
      </c>
      <c r="V25" s="178">
        <v>38</v>
      </c>
      <c r="W25" s="178">
        <v>2</v>
      </c>
      <c r="X25" s="178">
        <v>7</v>
      </c>
      <c r="Y25" s="178">
        <v>44</v>
      </c>
      <c r="Z25" s="102">
        <v>19</v>
      </c>
      <c r="AA25" s="178" t="s">
        <v>248</v>
      </c>
      <c r="AB25" s="178">
        <v>9</v>
      </c>
      <c r="AC25" s="178">
        <v>17</v>
      </c>
      <c r="AD25" s="179">
        <v>5</v>
      </c>
    </row>
    <row r="26" spans="1:30" ht="15" customHeight="1">
      <c r="A26" s="364"/>
      <c r="B26" s="6">
        <v>4</v>
      </c>
      <c r="C26" s="178">
        <v>20</v>
      </c>
      <c r="D26" s="178">
        <v>33</v>
      </c>
      <c r="E26" s="178">
        <v>8</v>
      </c>
      <c r="F26" s="178">
        <v>48</v>
      </c>
      <c r="G26" s="178">
        <v>11</v>
      </c>
      <c r="H26" s="178">
        <v>12</v>
      </c>
      <c r="I26" s="178" t="s">
        <v>309</v>
      </c>
      <c r="J26" s="102">
        <v>13</v>
      </c>
      <c r="K26" s="102" t="s">
        <v>311</v>
      </c>
      <c r="L26" s="102">
        <v>34</v>
      </c>
      <c r="M26" s="102">
        <v>15</v>
      </c>
      <c r="N26" s="102">
        <v>44</v>
      </c>
      <c r="O26" s="102" t="s">
        <v>311</v>
      </c>
      <c r="P26" s="102">
        <v>42</v>
      </c>
      <c r="Q26" s="102">
        <v>37</v>
      </c>
      <c r="R26" s="102" t="s">
        <v>68</v>
      </c>
      <c r="S26" s="102">
        <v>24</v>
      </c>
      <c r="T26" s="102" t="s">
        <v>204</v>
      </c>
      <c r="U26" s="178">
        <v>10</v>
      </c>
      <c r="V26" s="178">
        <v>43</v>
      </c>
      <c r="W26" s="178">
        <v>2</v>
      </c>
      <c r="X26" s="178">
        <v>35</v>
      </c>
      <c r="Y26" s="178">
        <v>7</v>
      </c>
      <c r="Z26" s="178">
        <v>19</v>
      </c>
      <c r="AA26" s="178" t="s">
        <v>248</v>
      </c>
      <c r="AB26" s="178">
        <v>9</v>
      </c>
      <c r="AC26" s="178">
        <v>50</v>
      </c>
      <c r="AD26" s="179">
        <v>22</v>
      </c>
    </row>
    <row r="27" spans="1:30" ht="15" customHeight="1">
      <c r="A27" s="364"/>
      <c r="B27" s="6">
        <v>5</v>
      </c>
      <c r="C27" s="178">
        <v>36</v>
      </c>
      <c r="D27" s="178">
        <v>3</v>
      </c>
      <c r="E27" s="178" t="s">
        <v>204</v>
      </c>
      <c r="F27" s="178">
        <v>14</v>
      </c>
      <c r="G27" s="178" t="s">
        <v>306</v>
      </c>
      <c r="H27" s="178">
        <v>20</v>
      </c>
      <c r="I27" s="178">
        <v>48</v>
      </c>
      <c r="J27" s="178">
        <v>13</v>
      </c>
      <c r="K27" s="102">
        <v>34</v>
      </c>
      <c r="L27" s="102">
        <v>44</v>
      </c>
      <c r="M27" s="102">
        <v>15</v>
      </c>
      <c r="N27" s="102" t="s">
        <v>169</v>
      </c>
      <c r="O27" s="102">
        <v>42</v>
      </c>
      <c r="P27" s="102" t="s">
        <v>311</v>
      </c>
      <c r="Q27" s="102">
        <v>4</v>
      </c>
      <c r="R27" s="102">
        <v>37</v>
      </c>
      <c r="S27" s="102" t="s">
        <v>68</v>
      </c>
      <c r="T27" s="102">
        <v>43</v>
      </c>
      <c r="U27" s="178" t="s">
        <v>161</v>
      </c>
      <c r="V27" s="178">
        <v>40</v>
      </c>
      <c r="W27" s="178">
        <v>38</v>
      </c>
      <c r="X27" s="178">
        <v>33</v>
      </c>
      <c r="Y27" s="178">
        <v>2</v>
      </c>
      <c r="Z27" s="188">
        <v>5</v>
      </c>
      <c r="AA27" s="188">
        <v>22</v>
      </c>
      <c r="AB27" s="188">
        <v>19</v>
      </c>
      <c r="AC27" s="188">
        <v>9</v>
      </c>
      <c r="AD27" s="179">
        <v>50</v>
      </c>
    </row>
    <row r="28" spans="1:30" ht="15" customHeight="1">
      <c r="A28" s="364"/>
      <c r="B28" s="6">
        <v>6</v>
      </c>
      <c r="C28" s="178" t="s">
        <v>229</v>
      </c>
      <c r="D28" s="178">
        <v>3</v>
      </c>
      <c r="E28" s="178">
        <v>36</v>
      </c>
      <c r="F28" s="178">
        <v>14</v>
      </c>
      <c r="G28" s="178">
        <v>48</v>
      </c>
      <c r="H28" s="178">
        <v>45</v>
      </c>
      <c r="I28" s="178">
        <v>8</v>
      </c>
      <c r="J28" s="102">
        <v>13</v>
      </c>
      <c r="K28" s="102" t="s">
        <v>169</v>
      </c>
      <c r="L28" s="102">
        <v>22</v>
      </c>
      <c r="M28" s="102">
        <v>44</v>
      </c>
      <c r="N28" s="102">
        <v>20</v>
      </c>
      <c r="O28" s="102">
        <v>34</v>
      </c>
      <c r="P28" s="102" t="s">
        <v>311</v>
      </c>
      <c r="Q28" s="102">
        <v>43</v>
      </c>
      <c r="R28" s="102">
        <v>33</v>
      </c>
      <c r="S28" s="102">
        <v>4</v>
      </c>
      <c r="T28" s="102">
        <v>37</v>
      </c>
      <c r="U28" s="178">
        <v>19</v>
      </c>
      <c r="V28" s="178" t="s">
        <v>161</v>
      </c>
      <c r="W28" s="178">
        <v>40</v>
      </c>
      <c r="X28" s="178">
        <v>38</v>
      </c>
      <c r="Y28" s="178">
        <v>2</v>
      </c>
      <c r="Z28" s="188">
        <v>50</v>
      </c>
      <c r="AA28" s="188">
        <v>9</v>
      </c>
      <c r="AB28" s="188">
        <v>5</v>
      </c>
      <c r="AC28" s="188">
        <v>35</v>
      </c>
      <c r="AD28" s="179">
        <v>42</v>
      </c>
    </row>
    <row r="29" spans="1:30" ht="15" customHeight="1" thickBot="1">
      <c r="A29" s="364"/>
      <c r="B29" s="6">
        <v>7</v>
      </c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12"/>
      <c r="N29" s="107"/>
      <c r="O29" s="107"/>
      <c r="P29" s="107"/>
      <c r="Q29" s="107"/>
      <c r="R29" s="107"/>
      <c r="S29" s="107"/>
      <c r="T29" s="107"/>
      <c r="U29" s="107"/>
      <c r="V29" s="109"/>
      <c r="W29" s="109"/>
      <c r="X29" s="109"/>
      <c r="Y29" s="109"/>
      <c r="Z29" s="107"/>
      <c r="AA29" s="107"/>
      <c r="AB29" s="107"/>
      <c r="AC29" s="107"/>
      <c r="AD29" s="107"/>
    </row>
    <row r="30" spans="1:30" ht="15" customHeight="1">
      <c r="A30" s="363" t="s">
        <v>21</v>
      </c>
      <c r="B30" s="7">
        <v>1</v>
      </c>
      <c r="C30" s="176">
        <v>13</v>
      </c>
      <c r="D30" s="175">
        <v>24</v>
      </c>
      <c r="E30" s="176">
        <v>44</v>
      </c>
      <c r="F30" s="176">
        <v>3</v>
      </c>
      <c r="G30" s="176">
        <v>4</v>
      </c>
      <c r="H30" s="176">
        <v>12</v>
      </c>
      <c r="I30" s="176">
        <v>8</v>
      </c>
      <c r="J30" s="176">
        <v>5</v>
      </c>
      <c r="K30" s="176">
        <v>36</v>
      </c>
      <c r="L30" s="190">
        <v>46</v>
      </c>
      <c r="M30" s="190">
        <v>34</v>
      </c>
      <c r="N30" s="190">
        <v>15</v>
      </c>
      <c r="O30" s="185">
        <v>6</v>
      </c>
      <c r="P30" s="185">
        <v>10</v>
      </c>
      <c r="Q30" s="185" t="s">
        <v>68</v>
      </c>
      <c r="R30" s="185">
        <v>39</v>
      </c>
      <c r="S30" s="186" t="s">
        <v>204</v>
      </c>
      <c r="T30" s="186">
        <v>38</v>
      </c>
      <c r="U30" s="186">
        <v>2</v>
      </c>
      <c r="V30" s="175">
        <v>47</v>
      </c>
      <c r="W30" s="175" t="s">
        <v>161</v>
      </c>
      <c r="X30" s="175" t="s">
        <v>169</v>
      </c>
      <c r="Y30" s="175">
        <v>35</v>
      </c>
      <c r="Z30" s="175">
        <v>9</v>
      </c>
      <c r="AA30" s="175">
        <v>50</v>
      </c>
      <c r="AB30" s="175">
        <v>19</v>
      </c>
      <c r="AC30" s="175" t="s">
        <v>248</v>
      </c>
      <c r="AD30" s="181">
        <v>42</v>
      </c>
    </row>
    <row r="31" spans="1:30" ht="15" customHeight="1">
      <c r="A31" s="364"/>
      <c r="B31" s="6">
        <v>2</v>
      </c>
      <c r="C31" s="178">
        <v>36</v>
      </c>
      <c r="D31" s="178">
        <v>45</v>
      </c>
      <c r="E31" s="178">
        <v>46</v>
      </c>
      <c r="F31" s="178">
        <v>3</v>
      </c>
      <c r="G31" s="178">
        <v>4</v>
      </c>
      <c r="H31" s="178">
        <v>12</v>
      </c>
      <c r="I31" s="178">
        <v>8</v>
      </c>
      <c r="J31" s="178">
        <v>48</v>
      </c>
      <c r="K31" s="178">
        <v>39</v>
      </c>
      <c r="L31" s="178">
        <v>50</v>
      </c>
      <c r="M31" s="178">
        <v>6</v>
      </c>
      <c r="N31" s="178">
        <v>15</v>
      </c>
      <c r="O31" s="178" t="s">
        <v>349</v>
      </c>
      <c r="P31" s="178">
        <v>38</v>
      </c>
      <c r="Q31" s="178">
        <v>24</v>
      </c>
      <c r="R31" s="178" t="s">
        <v>68</v>
      </c>
      <c r="S31" s="102">
        <v>10</v>
      </c>
      <c r="T31" s="102">
        <v>42</v>
      </c>
      <c r="U31" s="102">
        <v>2</v>
      </c>
      <c r="V31" s="102">
        <v>7</v>
      </c>
      <c r="W31" s="102">
        <v>47</v>
      </c>
      <c r="X31" s="102" t="s">
        <v>161</v>
      </c>
      <c r="Y31" s="102">
        <v>44</v>
      </c>
      <c r="Z31" s="102">
        <v>35</v>
      </c>
      <c r="AA31" s="102">
        <v>9</v>
      </c>
      <c r="AB31" s="102">
        <v>19</v>
      </c>
      <c r="AC31" s="102" t="s">
        <v>248</v>
      </c>
      <c r="AD31" s="182">
        <v>5</v>
      </c>
    </row>
    <row r="32" spans="1:30" ht="15" customHeight="1">
      <c r="A32" s="364"/>
      <c r="B32" s="6">
        <v>3</v>
      </c>
      <c r="C32" s="178">
        <v>49</v>
      </c>
      <c r="D32" s="178">
        <v>46</v>
      </c>
      <c r="E32" s="178">
        <v>3</v>
      </c>
      <c r="F32" s="178">
        <v>14</v>
      </c>
      <c r="G32" s="178">
        <v>23</v>
      </c>
      <c r="H32" s="178">
        <v>12</v>
      </c>
      <c r="I32" s="178">
        <v>8</v>
      </c>
      <c r="J32" s="178">
        <v>13</v>
      </c>
      <c r="K32" s="178">
        <v>44</v>
      </c>
      <c r="L32" s="178">
        <v>6</v>
      </c>
      <c r="M32" s="178">
        <v>36</v>
      </c>
      <c r="N32" s="178" t="s">
        <v>349</v>
      </c>
      <c r="O32" s="178">
        <v>39</v>
      </c>
      <c r="P32" s="178">
        <v>48</v>
      </c>
      <c r="Q32" s="178">
        <v>11</v>
      </c>
      <c r="R32" s="178">
        <v>24</v>
      </c>
      <c r="S32" s="102">
        <v>16</v>
      </c>
      <c r="T32" s="102">
        <v>42</v>
      </c>
      <c r="U32" s="102">
        <v>10</v>
      </c>
      <c r="V32" s="102">
        <v>37</v>
      </c>
      <c r="W32" s="102">
        <v>7</v>
      </c>
      <c r="X32" s="102">
        <v>17</v>
      </c>
      <c r="Y32" s="102" t="s">
        <v>169</v>
      </c>
      <c r="Z32" s="102">
        <v>19</v>
      </c>
      <c r="AA32" s="102">
        <v>35</v>
      </c>
      <c r="AB32" s="102" t="s">
        <v>248</v>
      </c>
      <c r="AC32" s="102">
        <v>5</v>
      </c>
      <c r="AD32" s="182">
        <v>9</v>
      </c>
    </row>
    <row r="33" spans="1:35" ht="15" customHeight="1">
      <c r="A33" s="364"/>
      <c r="B33" s="6">
        <v>4</v>
      </c>
      <c r="C33" s="178">
        <v>6</v>
      </c>
      <c r="D33" s="178">
        <v>36</v>
      </c>
      <c r="E33" s="178">
        <v>3</v>
      </c>
      <c r="F33" s="178">
        <v>14</v>
      </c>
      <c r="G33" s="178">
        <v>11</v>
      </c>
      <c r="H33" s="178">
        <v>12</v>
      </c>
      <c r="I33" s="178">
        <v>45</v>
      </c>
      <c r="J33" s="178">
        <v>13</v>
      </c>
      <c r="K33" s="178">
        <v>49</v>
      </c>
      <c r="L33" s="178">
        <v>15</v>
      </c>
      <c r="M33" s="178">
        <v>47</v>
      </c>
      <c r="N33" s="178">
        <v>34</v>
      </c>
      <c r="O33" s="178" t="s">
        <v>308</v>
      </c>
      <c r="P33" s="178">
        <v>21</v>
      </c>
      <c r="Q33" s="178">
        <v>39</v>
      </c>
      <c r="R33" s="178">
        <v>43</v>
      </c>
      <c r="S33" s="102">
        <v>16</v>
      </c>
      <c r="T33" s="102">
        <v>4</v>
      </c>
      <c r="U33" s="102" t="s">
        <v>169</v>
      </c>
      <c r="V33" s="102">
        <v>2</v>
      </c>
      <c r="W33" s="102">
        <v>37</v>
      </c>
      <c r="X33" s="102">
        <v>23</v>
      </c>
      <c r="Y33" s="102">
        <v>38</v>
      </c>
      <c r="Z33" s="102">
        <v>19</v>
      </c>
      <c r="AA33" s="102">
        <v>5</v>
      </c>
      <c r="AB33" s="102" t="s">
        <v>248</v>
      </c>
      <c r="AC33" s="102">
        <v>17</v>
      </c>
      <c r="AD33" s="182">
        <v>35</v>
      </c>
    </row>
    <row r="34" spans="1:35" ht="15" customHeight="1">
      <c r="A34" s="364"/>
      <c r="B34" s="6">
        <v>5</v>
      </c>
      <c r="C34" s="178">
        <v>6</v>
      </c>
      <c r="D34" s="178">
        <v>12</v>
      </c>
      <c r="E34" s="178">
        <v>21</v>
      </c>
      <c r="F34" s="178">
        <v>14</v>
      </c>
      <c r="G34" s="178">
        <v>11</v>
      </c>
      <c r="H34" s="178">
        <v>48</v>
      </c>
      <c r="I34" s="178">
        <v>3</v>
      </c>
      <c r="J34" s="178">
        <v>13</v>
      </c>
      <c r="K34" s="178">
        <v>20</v>
      </c>
      <c r="L34" s="178">
        <v>44</v>
      </c>
      <c r="M34" s="178" t="s">
        <v>308</v>
      </c>
      <c r="N34" s="178">
        <v>39</v>
      </c>
      <c r="O34" s="178">
        <v>15</v>
      </c>
      <c r="P34" s="178">
        <v>4</v>
      </c>
      <c r="Q34" s="178">
        <v>37</v>
      </c>
      <c r="R34" s="178">
        <v>42</v>
      </c>
      <c r="S34" s="102">
        <v>38</v>
      </c>
      <c r="T34" s="102">
        <v>33</v>
      </c>
      <c r="U34" s="102">
        <v>47</v>
      </c>
      <c r="V34" s="102">
        <v>2</v>
      </c>
      <c r="W34" s="102">
        <v>43</v>
      </c>
      <c r="X34" s="102">
        <v>23</v>
      </c>
      <c r="Y34" s="102">
        <v>7</v>
      </c>
      <c r="Z34" s="102" t="s">
        <v>312</v>
      </c>
      <c r="AA34" s="102">
        <v>22</v>
      </c>
      <c r="AB34" s="102">
        <v>35</v>
      </c>
      <c r="AC34" s="102">
        <v>9</v>
      </c>
      <c r="AD34" s="182" t="s">
        <v>311</v>
      </c>
      <c r="AF34" s="156"/>
    </row>
    <row r="35" spans="1:35" ht="15" customHeight="1">
      <c r="A35" s="364"/>
      <c r="B35" s="6">
        <v>6</v>
      </c>
      <c r="C35" s="178">
        <v>20</v>
      </c>
      <c r="D35" s="178">
        <v>12</v>
      </c>
      <c r="E35" s="178">
        <v>39</v>
      </c>
      <c r="F35" s="178">
        <v>14</v>
      </c>
      <c r="G35" s="178">
        <v>11</v>
      </c>
      <c r="H35" s="178">
        <v>2</v>
      </c>
      <c r="I35" s="178">
        <v>3</v>
      </c>
      <c r="J35" s="178">
        <v>13</v>
      </c>
      <c r="K35" s="178">
        <v>6</v>
      </c>
      <c r="L35" s="178">
        <v>36</v>
      </c>
      <c r="M35" s="178">
        <v>44</v>
      </c>
      <c r="N35" s="178" t="s">
        <v>308</v>
      </c>
      <c r="O35" s="178">
        <v>15</v>
      </c>
      <c r="P35" s="178">
        <v>43</v>
      </c>
      <c r="Q35" s="178">
        <v>33</v>
      </c>
      <c r="R35" s="178">
        <v>4</v>
      </c>
      <c r="S35" s="102">
        <v>42</v>
      </c>
      <c r="T35" s="102">
        <v>21</v>
      </c>
      <c r="U35" s="102">
        <v>37</v>
      </c>
      <c r="V35" s="198">
        <v>35</v>
      </c>
      <c r="W35" s="102">
        <v>23</v>
      </c>
      <c r="X35" s="102">
        <v>7</v>
      </c>
      <c r="Y35" s="102">
        <v>47</v>
      </c>
      <c r="Z35" s="102" t="s">
        <v>312</v>
      </c>
      <c r="AA35" s="102">
        <v>22</v>
      </c>
      <c r="AB35" s="102">
        <v>9</v>
      </c>
      <c r="AC35" s="102">
        <v>49</v>
      </c>
      <c r="AD35" s="182" t="s">
        <v>311</v>
      </c>
    </row>
    <row r="36" spans="1:35" ht="15" customHeight="1">
      <c r="A36" s="364"/>
      <c r="B36" s="6">
        <v>7</v>
      </c>
      <c r="C36" s="109"/>
      <c r="D36" s="109"/>
      <c r="E36" s="109"/>
      <c r="F36" s="108"/>
      <c r="G36" s="109"/>
      <c r="H36" s="109"/>
      <c r="I36" s="109"/>
      <c r="J36" s="108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09"/>
      <c r="V36" s="109"/>
      <c r="W36" s="109"/>
      <c r="X36" s="109"/>
      <c r="Y36" s="109"/>
      <c r="Z36" s="109"/>
      <c r="AA36" s="109"/>
      <c r="AB36" s="109"/>
      <c r="AC36" s="109"/>
      <c r="AD36" s="110"/>
    </row>
    <row r="37" spans="1:35" ht="16.5" customHeight="1">
      <c r="A37" s="3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</row>
    <row r="38" spans="1:35" ht="16.5" customHeight="1">
      <c r="B38" s="4"/>
      <c r="C38" s="4">
        <f>COUNTIF(C2:C36,"41*")</f>
        <v>0</v>
      </c>
      <c r="D38" s="4">
        <f t="shared" ref="D38:AD38" si="0">COUNTIF(D2:D36,"41*")</f>
        <v>0</v>
      </c>
      <c r="E38" s="4">
        <f t="shared" si="0"/>
        <v>0</v>
      </c>
      <c r="F38" s="4">
        <f t="shared" si="0"/>
        <v>0</v>
      </c>
      <c r="G38" s="4">
        <f t="shared" si="0"/>
        <v>0</v>
      </c>
      <c r="H38" s="4">
        <f t="shared" si="0"/>
        <v>0</v>
      </c>
      <c r="I38" s="4">
        <f t="shared" si="0"/>
        <v>0</v>
      </c>
      <c r="J38" s="4">
        <f t="shared" si="0"/>
        <v>0</v>
      </c>
      <c r="K38" s="4">
        <f>COUNTIF(K2:K36,44)</f>
        <v>3</v>
      </c>
      <c r="L38" s="4">
        <f t="shared" ref="L38:O38" si="1">COUNTIF(L2:L36,44)</f>
        <v>3</v>
      </c>
      <c r="M38" s="4">
        <f t="shared" si="1"/>
        <v>3</v>
      </c>
      <c r="N38" s="4">
        <f t="shared" si="1"/>
        <v>3</v>
      </c>
      <c r="O38" s="4">
        <f t="shared" si="1"/>
        <v>0</v>
      </c>
      <c r="P38" s="4">
        <f t="shared" si="0"/>
        <v>0</v>
      </c>
      <c r="Q38" s="4">
        <f t="shared" si="0"/>
        <v>0</v>
      </c>
      <c r="R38" s="4">
        <f t="shared" si="0"/>
        <v>0</v>
      </c>
      <c r="S38" s="4">
        <f t="shared" si="0"/>
        <v>0</v>
      </c>
      <c r="T38" s="4">
        <f t="shared" si="0"/>
        <v>0</v>
      </c>
      <c r="U38" s="4">
        <f t="shared" si="0"/>
        <v>2</v>
      </c>
      <c r="V38" s="4">
        <f t="shared" si="0"/>
        <v>0</v>
      </c>
      <c r="W38" s="4">
        <f t="shared" si="0"/>
        <v>0</v>
      </c>
      <c r="X38" s="4">
        <f t="shared" si="0"/>
        <v>2</v>
      </c>
      <c r="Y38" s="4">
        <f t="shared" si="0"/>
        <v>5</v>
      </c>
      <c r="Z38" s="4">
        <f t="shared" si="0"/>
        <v>0</v>
      </c>
      <c r="AA38" s="4">
        <f t="shared" si="0"/>
        <v>0</v>
      </c>
      <c r="AB38" s="4">
        <f t="shared" si="0"/>
        <v>0</v>
      </c>
      <c r="AC38" s="4">
        <f t="shared" si="0"/>
        <v>0</v>
      </c>
      <c r="AD38" s="4">
        <f t="shared" si="0"/>
        <v>0</v>
      </c>
      <c r="AE38" s="4">
        <f>COUNTIF(AE2:AE36,"36")</f>
        <v>0</v>
      </c>
      <c r="AF38" s="4">
        <f>COUNTIF(AF2:AF36,"36")</f>
        <v>0</v>
      </c>
      <c r="AG38" s="4">
        <f>COUNTIF(AG2:AG36,"36")</f>
        <v>0</v>
      </c>
      <c r="AH38" s="4">
        <f>COUNTIF(AH2:AH36,46)</f>
        <v>0</v>
      </c>
      <c r="AI38" s="4">
        <f>COUNTIF(AI2:AI36,41)</f>
        <v>0</v>
      </c>
    </row>
    <row r="39" spans="1:35" ht="16.5" customHeight="1"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 t="s">
        <v>217</v>
      </c>
      <c r="AA39" s="4"/>
      <c r="AB39" s="4"/>
      <c r="AC39" s="4"/>
      <c r="AD39" s="4"/>
    </row>
    <row r="40" spans="1:35" ht="16.5" customHeight="1">
      <c r="C40" s="356" t="s">
        <v>74</v>
      </c>
      <c r="D40" s="356"/>
      <c r="E40" s="211" t="s">
        <v>80</v>
      </c>
      <c r="F40" s="212"/>
      <c r="G40" s="4"/>
      <c r="H40" s="91"/>
      <c r="I40" s="91"/>
      <c r="J40" s="4"/>
      <c r="K40" s="1" t="s">
        <v>80</v>
      </c>
      <c r="L40" s="4"/>
      <c r="M40" s="4"/>
      <c r="N40" s="4"/>
      <c r="O40" s="4"/>
      <c r="P40" s="4"/>
      <c r="R40" s="214" t="s">
        <v>284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E40" s="1" t="s">
        <v>217</v>
      </c>
    </row>
    <row r="41" spans="1:35" ht="15" customHeight="1">
      <c r="C41" s="1" t="s">
        <v>267</v>
      </c>
      <c r="D41" s="211"/>
      <c r="E41" s="211" t="s">
        <v>81</v>
      </c>
      <c r="F41" s="211"/>
      <c r="K41" s="1" t="s">
        <v>81</v>
      </c>
    </row>
    <row r="42" spans="1:35" ht="16.5" customHeight="1">
      <c r="C42" s="1" t="s">
        <v>268</v>
      </c>
      <c r="D42" s="211"/>
      <c r="E42" s="211" t="s">
        <v>269</v>
      </c>
      <c r="F42" s="211"/>
      <c r="K42" s="1" t="s">
        <v>269</v>
      </c>
    </row>
    <row r="43" spans="1:35" ht="16.5" customHeight="1">
      <c r="B43" s="1"/>
      <c r="D43" s="211"/>
      <c r="E43" s="211" t="s">
        <v>74</v>
      </c>
      <c r="F43" s="211"/>
      <c r="K43" s="1" t="s">
        <v>74</v>
      </c>
    </row>
    <row r="44" spans="1:35" ht="16.5" customHeight="1">
      <c r="B44" s="1"/>
      <c r="E44" s="211"/>
    </row>
    <row r="45" spans="1:35" ht="16.5" customHeight="1">
      <c r="B45" s="1"/>
      <c r="E45" s="211"/>
    </row>
    <row r="46" spans="1:35" ht="16.5" customHeight="1">
      <c r="B46" s="1"/>
      <c r="E46" s="211"/>
    </row>
    <row r="47" spans="1:35" ht="16.5" customHeight="1">
      <c r="C47" s="4"/>
      <c r="D47" s="4"/>
      <c r="E47" s="212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</row>
    <row r="48" spans="1:35" ht="16.5" customHeight="1"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3:30" ht="16.5" customHeight="1"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3:30" ht="16.5" customHeight="1"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</row>
    <row r="51" spans="3:30" ht="16.5" customHeight="1"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</row>
    <row r="52" spans="3:30" ht="16.5" customHeight="1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</row>
    <row r="53" spans="3:30" ht="16.5" customHeight="1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</row>
    <row r="54" spans="3:30" ht="16.5" customHeight="1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</row>
    <row r="55" spans="3:30" ht="16.5" customHeight="1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</row>
    <row r="56" spans="3:30" ht="16.5" customHeight="1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</row>
    <row r="57" spans="3:30" ht="16.5" customHeight="1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</row>
    <row r="58" spans="3:30" ht="16.5" customHeight="1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3:30" ht="16.5" customHeight="1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3:30" ht="16.5" customHeight="1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</row>
    <row r="61" spans="3:30" ht="16.5" customHeight="1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</row>
    <row r="62" spans="3:30" ht="16.5" customHeight="1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</row>
    <row r="63" spans="3:30" ht="16.5" customHeight="1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</row>
    <row r="64" spans="3:30" ht="16.5" customHeight="1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</row>
    <row r="65" spans="3:30" ht="16.5" customHeight="1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</row>
    <row r="66" spans="3:30" ht="16.5" customHeight="1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</row>
    <row r="67" spans="3:30" ht="16.5" customHeight="1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</row>
    <row r="68" spans="3:30" ht="16.5" customHeight="1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3:30" ht="16.5" customHeight="1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3:30" ht="16.5" customHeight="1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</row>
    <row r="71" spans="3:30" ht="16.5" customHeight="1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</row>
    <row r="72" spans="3:30" ht="16.5" customHeight="1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</row>
    <row r="73" spans="3:30" ht="16.5" customHeight="1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</row>
    <row r="74" spans="3:30" ht="16.5" customHeight="1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</row>
    <row r="75" spans="3:30" ht="16.5" customHeight="1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</row>
    <row r="76" spans="3:30" ht="16.5" customHeight="1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</row>
    <row r="77" spans="3:30" ht="16.5" customHeight="1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</row>
    <row r="78" spans="3:30" ht="16.5" customHeight="1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3:30" ht="16.5" customHeight="1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3:30" ht="16.5" customHeight="1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</row>
    <row r="81" spans="3:30" ht="16.5" customHeight="1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</row>
    <row r="82" spans="3:30" ht="16.5" customHeight="1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</row>
    <row r="83" spans="3:30" ht="16.5" customHeight="1"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</row>
    <row r="84" spans="3:30" ht="16.5" customHeight="1"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</row>
    <row r="85" spans="3:30" ht="16.5" customHeight="1"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</row>
    <row r="86" spans="3:30" ht="16.5" customHeight="1"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</row>
    <row r="87" spans="3:30" ht="16.5" customHeight="1"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</row>
    <row r="88" spans="3:30" ht="16.5" customHeight="1"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3:30" ht="16.5" customHeight="1"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3:30" ht="16.5" customHeight="1"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</row>
    <row r="91" spans="3:30" ht="16.5" customHeight="1"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</row>
    <row r="92" spans="3:30" ht="16.5" customHeight="1"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</row>
    <row r="93" spans="3:30" ht="16.5" customHeight="1"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</row>
    <row r="94" spans="3:30" ht="16.5" customHeight="1"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</row>
    <row r="95" spans="3:30" ht="16.5" customHeight="1"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</row>
    <row r="96" spans="3:30" ht="16.5" customHeight="1"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</row>
    <row r="97" spans="3:30" ht="16.5" customHeight="1"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</row>
    <row r="98" spans="3:30" ht="16.5" customHeight="1"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3:30" ht="16.5" customHeight="1"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3:30" ht="16.5" customHeight="1"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</row>
    <row r="101" spans="3:30" ht="16.5" customHeight="1"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</row>
    <row r="102" spans="3:30" ht="16.5" customHeight="1"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</row>
    <row r="103" spans="3:30" ht="16.5" customHeight="1"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</row>
    <row r="104" spans="3:30" ht="16.5" customHeight="1"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</row>
    <row r="105" spans="3:30" ht="16.5" customHeight="1"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</row>
    <row r="106" spans="3:30" ht="16.5" customHeight="1"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</row>
    <row r="107" spans="3:30" ht="16.5" customHeight="1"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</row>
    <row r="108" spans="3:30" ht="16.5" customHeight="1"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</row>
    <row r="109" spans="3:30" ht="16.5" customHeight="1"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</row>
    <row r="110" spans="3:30" ht="16.5" customHeight="1"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</row>
    <row r="111" spans="3:30" ht="16.5" customHeight="1"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</row>
    <row r="112" spans="3:30" ht="16.5" customHeight="1"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</row>
    <row r="113" spans="3:30" ht="16.5" customHeight="1"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</row>
    <row r="114" spans="3:30" ht="16.5" customHeight="1"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</row>
    <row r="115" spans="3:30" ht="16.5" customHeight="1"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</row>
    <row r="116" spans="3:30" ht="16.5" customHeight="1"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</row>
    <row r="117" spans="3:30" ht="16.5" customHeight="1"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</row>
    <row r="118" spans="3:30" ht="16.5" customHeight="1"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</row>
    <row r="119" spans="3:30" ht="16.5" customHeight="1"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</row>
    <row r="120" spans="3:30" ht="16.5" customHeight="1"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</row>
    <row r="121" spans="3:30" ht="16.5" customHeight="1"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</row>
    <row r="122" spans="3:30" ht="16.5" customHeight="1"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</row>
    <row r="123" spans="3:30" ht="16.5" customHeight="1"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</row>
    <row r="124" spans="3:30" ht="16.5" customHeight="1"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</row>
    <row r="125" spans="3:30" ht="16.5" customHeight="1"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</row>
    <row r="126" spans="3:30" ht="16.5" customHeight="1"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</row>
    <row r="127" spans="3:30" ht="16.5" customHeight="1"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</row>
    <row r="128" spans="3:30" ht="16.5" customHeight="1"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</row>
    <row r="129" spans="3:30" ht="16.5" customHeight="1"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</row>
    <row r="130" spans="3:30" ht="16.5" customHeight="1"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</row>
    <row r="131" spans="3:30" ht="16.5" customHeight="1"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</row>
    <row r="132" spans="3:30" ht="16.5" customHeight="1"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</row>
    <row r="133" spans="3:30" ht="16.5" customHeight="1"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</row>
    <row r="134" spans="3:30" ht="16.5" customHeight="1"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</row>
    <row r="135" spans="3:30" ht="16.5" customHeight="1"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</row>
    <row r="136" spans="3:30" ht="16.5" customHeight="1"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</row>
    <row r="137" spans="3:30" ht="16.5" customHeight="1"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</row>
    <row r="138" spans="3:30" ht="16.5" customHeight="1"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</row>
    <row r="139" spans="3:30" ht="16.5" customHeight="1"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</row>
    <row r="140" spans="3:30" ht="16.5" customHeight="1"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</row>
    <row r="141" spans="3:30" ht="16.5" customHeight="1"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</row>
    <row r="142" spans="3:30" ht="16.5" customHeight="1"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</row>
    <row r="143" spans="3:30" ht="16.5" customHeight="1"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</row>
    <row r="144" spans="3:30" ht="16.5" customHeight="1"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</row>
    <row r="145" spans="3:30" ht="16.5" customHeight="1"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</row>
    <row r="146" spans="3:30" ht="16.5" customHeight="1"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</row>
    <row r="147" spans="3:30" ht="16.5" customHeight="1"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</row>
    <row r="148" spans="3:30" ht="16.5" customHeight="1"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</row>
    <row r="149" spans="3:30" ht="16.5" customHeight="1"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</row>
    <row r="150" spans="3:30" ht="16.5" customHeight="1"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</row>
    <row r="151" spans="3:30" ht="16.5" customHeight="1"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</row>
    <row r="152" spans="3:30" ht="16.5" customHeight="1"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</row>
    <row r="153" spans="3:30" ht="16.5" customHeight="1"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</row>
    <row r="154" spans="3:30" ht="16.5" customHeight="1"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</row>
    <row r="155" spans="3:30" ht="16.5" customHeight="1"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</row>
    <row r="156" spans="3:30" ht="16.5" customHeight="1"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</row>
    <row r="157" spans="3:30" ht="16.5" customHeight="1"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</row>
    <row r="158" spans="3:30" ht="16.5" customHeight="1"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</row>
    <row r="159" spans="3:30" ht="16.5" customHeight="1"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</row>
    <row r="160" spans="3:30" ht="16.5" customHeight="1"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</row>
  </sheetData>
  <customSheetViews>
    <customSheetView guid="{CA5C1580-67CF-11D3-927D-444553540000}" scale="83" showRuler="0">
      <selection activeCell="I23" sqref="I23"/>
      <pageMargins left="0.55118110236220474" right="0.55118110236220474" top="0.39370078740157483" bottom="0.39370078740157483" header="0.51181102362204722" footer="0.51181102362204722"/>
      <printOptions horizontalCentered="1" verticalCentered="1"/>
      <pageSetup paperSize="9" orientation="landscape" horizontalDpi="300" verticalDpi="300" r:id="rId1"/>
      <headerFooter alignWithMargins="0"/>
    </customSheetView>
  </customSheetViews>
  <mergeCells count="8">
    <mergeCell ref="C40:D40"/>
    <mergeCell ref="L7:N7"/>
    <mergeCell ref="L8:N8"/>
    <mergeCell ref="A16:A22"/>
    <mergeCell ref="A23:A29"/>
    <mergeCell ref="A30:A36"/>
    <mergeCell ref="A2:A8"/>
    <mergeCell ref="A9:A15"/>
  </mergeCells>
  <phoneticPr fontId="0" type="noConversion"/>
  <conditionalFormatting sqref="A2:B2 D2:AD2 A3:AD6 A9:AD36 O7:AD8 A7:L8">
    <cfRule type="cellIs" dxfId="9" priority="23" stopIfTrue="1" operator="equal">
      <formula>40</formula>
    </cfRule>
  </conditionalFormatting>
  <conditionalFormatting sqref="A2:B2 D2:AD2 A3:AD6 A9:AD36 O7:AD8 A7:L8 A1:AD1">
    <cfRule type="cellIs" dxfId="8" priority="18" stopIfTrue="1" operator="equal">
      <formula>16</formula>
    </cfRule>
    <cfRule type="cellIs" dxfId="7" priority="19" stopIfTrue="1" operator="equal">
      <formula>17</formula>
    </cfRule>
    <cfRule type="cellIs" dxfId="6" priority="20" stopIfTrue="1" operator="equal">
      <formula>18</formula>
    </cfRule>
    <cfRule type="cellIs" dxfId="5" priority="21" stopIfTrue="1" operator="equal">
      <formula>"16/50"</formula>
    </cfRule>
    <cfRule type="cellIs" dxfId="4" priority="22" stopIfTrue="1" operator="equal">
      <formula>"17/50"</formula>
    </cfRule>
  </conditionalFormatting>
  <conditionalFormatting sqref="C2:AD6 C9:AD36 O7:AD8 C7:L8">
    <cfRule type="cellIs" dxfId="3" priority="2" stopIfTrue="1" operator="equal">
      <formula>"17/18"</formula>
    </cfRule>
    <cfRule type="cellIs" dxfId="2" priority="3" stopIfTrue="1" operator="equal">
      <formula>"16/18"</formula>
    </cfRule>
    <cfRule type="cellIs" dxfId="1" priority="4" stopIfTrue="1" operator="equal">
      <formula>50</formula>
    </cfRule>
  </conditionalFormatting>
  <conditionalFormatting sqref="A1:AD36">
    <cfRule type="cellIs" dxfId="0" priority="1" stopIfTrue="1" operator="equal">
      <formula>"16/17/18/50"</formula>
    </cfRule>
  </conditionalFormatting>
  <printOptions horizontalCentered="1" verticalCentered="1"/>
  <pageMargins left="0.15" right="0.15" top="0.2" bottom="0.196850393700787" header="0.511811023622047" footer="0.24"/>
  <pageSetup paperSize="9" scale="95" orientation="landscape" horizontalDpi="300" vertic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E52"/>
  <sheetViews>
    <sheetView zoomScale="120" zoomScaleNormal="120" workbookViewId="0">
      <pane xSplit="1" ySplit="2" topLeftCell="C3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2.75"/>
  <cols>
    <col min="1" max="1" width="2.28515625" style="12" customWidth="1"/>
    <col min="2" max="2" width="1.85546875" style="12" customWidth="1"/>
    <col min="3" max="3" width="2.42578125" style="12" customWidth="1"/>
    <col min="4" max="11" width="2.7109375" style="12" customWidth="1"/>
    <col min="12" max="12" width="2.5703125" style="12" customWidth="1"/>
    <col min="13" max="14" width="2.7109375" style="12" customWidth="1"/>
    <col min="15" max="16" width="3.28515625" style="12" customWidth="1"/>
    <col min="17" max="17" width="3.5703125" style="12" customWidth="1"/>
    <col min="18" max="20" width="3.7109375" style="12" customWidth="1"/>
    <col min="21" max="21" width="2.7109375" style="12" customWidth="1"/>
    <col min="22" max="22" width="2.7109375" style="21" customWidth="1"/>
    <col min="23" max="26" width="2.7109375" style="12" customWidth="1"/>
    <col min="27" max="27" width="3.140625" style="12" customWidth="1"/>
    <col min="28" max="38" width="2.7109375" style="12" customWidth="1"/>
    <col min="39" max="39" width="2.42578125" style="12" customWidth="1"/>
    <col min="40" max="41" width="3.140625" style="12" bestFit="1" customWidth="1"/>
    <col min="42" max="42" width="3.85546875" style="12" bestFit="1" customWidth="1"/>
    <col min="43" max="43" width="2.85546875" style="12" customWidth="1"/>
    <col min="44" max="44" width="3.85546875" style="12" bestFit="1" customWidth="1"/>
    <col min="45" max="49" width="2.7109375" style="12" customWidth="1"/>
    <col min="50" max="50" width="3.28515625" style="12" customWidth="1"/>
    <col min="51" max="51" width="2.7109375" style="12" customWidth="1"/>
    <col min="52" max="52" width="3.42578125" style="12" customWidth="1"/>
    <col min="53" max="54" width="3.7109375" style="12" customWidth="1"/>
    <col min="55" max="55" width="4" style="12" customWidth="1"/>
    <col min="56" max="57" width="3.42578125" style="12" customWidth="1"/>
    <col min="58" max="58" width="3.140625" style="12" customWidth="1"/>
    <col min="59" max="59" width="3.42578125" style="12" customWidth="1"/>
    <col min="60" max="61" width="3.85546875" style="12" customWidth="1"/>
    <col min="62" max="62" width="3.42578125" style="12" customWidth="1"/>
    <col min="63" max="63" width="3.140625" style="12" customWidth="1"/>
    <col min="64" max="64" width="3.28515625" style="12" customWidth="1"/>
    <col min="65" max="65" width="3.140625" style="12" customWidth="1"/>
    <col min="66" max="66" width="3.85546875" style="12" customWidth="1"/>
    <col min="67" max="67" width="4.28515625" style="12" customWidth="1"/>
    <col min="68" max="69" width="3.5703125" style="12" customWidth="1"/>
    <col min="70" max="71" width="2.85546875" style="12" customWidth="1"/>
    <col min="72" max="72" width="4" style="12" customWidth="1"/>
    <col min="73" max="75" width="3" style="12" customWidth="1"/>
    <col min="76" max="77" width="2.7109375" style="12" customWidth="1"/>
    <col min="78" max="78" width="2.5703125" style="12" customWidth="1"/>
    <col min="79" max="81" width="2.7109375" style="12" customWidth="1"/>
    <col min="82" max="82" width="3.5703125" style="12" customWidth="1"/>
    <col min="83" max="83" width="2.7109375" style="12" customWidth="1"/>
    <col min="84" max="16384" width="9.140625" style="12"/>
  </cols>
  <sheetData>
    <row r="1" spans="1:83" s="11" customFormat="1" ht="59.25" customHeight="1">
      <c r="A1" s="310"/>
      <c r="B1" s="347"/>
      <c r="C1" s="311" t="str">
        <f>+Списък!B2</f>
        <v xml:space="preserve"> </v>
      </c>
      <c r="D1" s="311" t="str">
        <f>+Списък!B3</f>
        <v>Н. Николова</v>
      </c>
      <c r="E1" s="311" t="str">
        <f>+Списък!B4</f>
        <v>Трифонова</v>
      </c>
      <c r="F1" s="311" t="str">
        <f>+Списък!B5</f>
        <v>Вълчева</v>
      </c>
      <c r="G1" s="311" t="str">
        <f>+Списък!B6</f>
        <v>Колева</v>
      </c>
      <c r="H1" s="311" t="str">
        <f>+Списък!B7</f>
        <v>Гюлева</v>
      </c>
      <c r="I1" s="311" t="str">
        <f>+Списък!B8</f>
        <v>Чанкова</v>
      </c>
      <c r="J1" s="311" t="str">
        <f>+Списък!B9</f>
        <v>Г. Тодорова</v>
      </c>
      <c r="K1" s="311" t="str">
        <f>+Списък!B10</f>
        <v>Д. Николова</v>
      </c>
      <c r="L1" s="311" t="str">
        <f>+Списък!B11</f>
        <v>Данева</v>
      </c>
      <c r="M1" s="311" t="str">
        <f>+Списък!B12</f>
        <v>Габарова</v>
      </c>
      <c r="N1" s="311" t="str">
        <f>+Списък!B13</f>
        <v>Гинева</v>
      </c>
      <c r="O1" s="311" t="str">
        <f>+Списък!B14</f>
        <v>Сапунджиева</v>
      </c>
      <c r="P1" s="311" t="str">
        <f>+Списък!B15</f>
        <v>Спасова</v>
      </c>
      <c r="Q1" s="311" t="str">
        <f>+Списък!B16</f>
        <v>Иванова</v>
      </c>
      <c r="R1" s="312" t="str">
        <f>+Списък!B17</f>
        <v>Кирилова</v>
      </c>
      <c r="S1" s="312" t="str">
        <f>+Списък!B18</f>
        <v>Даскалова</v>
      </c>
      <c r="T1" s="312" t="str">
        <f>+Списък!B19</f>
        <v>Тодорова</v>
      </c>
      <c r="U1" s="311" t="str">
        <f>+Списък!B20</f>
        <v>Батимов</v>
      </c>
      <c r="V1" s="311" t="str">
        <f>+Списък!B21</f>
        <v>Краева</v>
      </c>
      <c r="W1" s="311" t="str">
        <f>+Списък!B22</f>
        <v>Клисарова</v>
      </c>
      <c r="X1" s="311" t="str">
        <f>+Списък!B23</f>
        <v>Мерджанова</v>
      </c>
      <c r="Y1" s="311" t="str">
        <f>+Списък!B24</f>
        <v>Гочева</v>
      </c>
      <c r="Z1" s="311" t="str">
        <f>+Списък!B25</f>
        <v>Кръстева</v>
      </c>
      <c r="AA1" s="312" t="str">
        <f>+Списък!B26</f>
        <v>Петкова</v>
      </c>
      <c r="AB1" s="312" t="str">
        <f>+Списък!B27</f>
        <v>Г. Петрова</v>
      </c>
      <c r="AC1" s="312" t="str">
        <f>+Списък!B28</f>
        <v>Киркова</v>
      </c>
      <c r="AD1" s="312" t="str">
        <f>+Списък!B29</f>
        <v>К. Петрова</v>
      </c>
      <c r="AE1" s="312" t="str">
        <f>+Списък!B30</f>
        <v>Димитрова</v>
      </c>
      <c r="AF1" s="312" t="str">
        <f>+Списък!B31</f>
        <v>Христонова</v>
      </c>
      <c r="AG1" s="312" t="str">
        <f>+Списък!B32</f>
        <v>Янева</v>
      </c>
      <c r="AH1" s="312" t="str">
        <f>+Списък!B33</f>
        <v>Цветков</v>
      </c>
      <c r="AI1" s="311" t="str">
        <f>+Списък!B34</f>
        <v>Киров</v>
      </c>
      <c r="AJ1" s="311" t="str">
        <f>+Списък!B35</f>
        <v>Латева</v>
      </c>
      <c r="AK1" s="311" t="str">
        <f>+Списък!B36</f>
        <v>Славова</v>
      </c>
      <c r="AL1" s="311" t="str">
        <f>+Списък!B37</f>
        <v>Никова</v>
      </c>
      <c r="AM1" s="311" t="str">
        <f>+Списък!B38</f>
        <v>В. Иванова</v>
      </c>
      <c r="AN1" s="312" t="str">
        <f>+Списък!B39</f>
        <v>Паронова</v>
      </c>
      <c r="AO1" s="312" t="str">
        <f>+Списък!B40</f>
        <v>Влашинска</v>
      </c>
      <c r="AP1" s="312" t="str">
        <f>+Списък!B41</f>
        <v>Ю. Делчева</v>
      </c>
      <c r="AQ1" s="312" t="str">
        <f>+Списък!B42</f>
        <v>Козалиева</v>
      </c>
      <c r="AR1" s="312" t="str">
        <f>+Списък!B43</f>
        <v>Коларова</v>
      </c>
      <c r="AS1" s="312" t="str">
        <f>+Списък!B44</f>
        <v>Костова</v>
      </c>
      <c r="AT1" s="312" t="str">
        <f>+Списък!B45</f>
        <v>Минчева</v>
      </c>
      <c r="AU1" s="311" t="str">
        <f>+Списък!B46</f>
        <v>Петров</v>
      </c>
      <c r="AV1" s="312" t="str">
        <f>+Списък!B47</f>
        <v>Пецова</v>
      </c>
      <c r="AW1" s="311" t="str">
        <f>+Списък!B48</f>
        <v>Конгалов</v>
      </c>
      <c r="AX1" s="311" t="str">
        <f>+Списък!B49</f>
        <v>Трандев</v>
      </c>
      <c r="AY1" s="311" t="str">
        <f>+Списък!B50</f>
        <v>Тонева</v>
      </c>
      <c r="AZ1" s="311" t="str">
        <f>Списък!B51</f>
        <v>Филипова</v>
      </c>
      <c r="BA1" s="28" t="str">
        <f>+Списък!B54</f>
        <v>Г. Петрова/Янева</v>
      </c>
      <c r="BB1" s="28" t="str">
        <f>+Списък!B55</f>
        <v>К. Петрова/Димитрова</v>
      </c>
      <c r="BC1" s="28" t="str">
        <f>+Списък!B56</f>
        <v>Димитрова/Янева</v>
      </c>
      <c r="BD1" s="28" t="str">
        <f>+Списък!B57</f>
        <v>Киркова/К. Петрова</v>
      </c>
      <c r="BE1" s="28" t="str">
        <f>+Списък!B58</f>
        <v>Христонова/Цветков</v>
      </c>
      <c r="BF1" s="28" t="str">
        <f>+Списък!B59</f>
        <v>Христонова/Янева</v>
      </c>
      <c r="BG1" s="28" t="str">
        <f>+Списък!B60</f>
        <v>Янева/Цветков</v>
      </c>
      <c r="BH1" s="28" t="str">
        <f>Списък!B61</f>
        <v>Петкова/Димитрова</v>
      </c>
      <c r="BI1" s="92" t="str">
        <f>+Списък!B62</f>
        <v>Петкова/Янева</v>
      </c>
      <c r="BJ1" s="92" t="str">
        <f>Списък!B63</f>
        <v>K. Петрова/Пецова</v>
      </c>
      <c r="BK1" s="92" t="str">
        <f>+Списък!B64</f>
        <v>Димитрова/Пецова</v>
      </c>
      <c r="BL1" s="28" t="str">
        <f>Списък!B65</f>
        <v>Петкова/Пецова</v>
      </c>
      <c r="BM1" s="28" t="str">
        <f>+Списък!B66</f>
        <v>Янева/Пецова</v>
      </c>
      <c r="BN1" s="78" t="str">
        <f>Списък!B71</f>
        <v>Кирилова/Тодорова</v>
      </c>
      <c r="BO1" s="78" t="str">
        <f>Списък!B72</f>
        <v>Даскалова/Тодорова</v>
      </c>
      <c r="BP1" s="226" t="str">
        <f>Списък!B70</f>
        <v>Кирилова/Даскалова/Тодорова/Филипова</v>
      </c>
      <c r="BQ1" s="28" t="str">
        <f>Списък!B18</f>
        <v>Даскалова</v>
      </c>
      <c r="BR1" s="28" t="str">
        <f>Списък!B19</f>
        <v>Тодорова</v>
      </c>
      <c r="BS1" s="28" t="str">
        <f>Списък!B51</f>
        <v>Филипова</v>
      </c>
      <c r="BT1" s="28" t="s">
        <v>357</v>
      </c>
      <c r="BU1" s="28" t="str">
        <f>Списък!B17</f>
        <v>Кирилова</v>
      </c>
      <c r="BV1" s="28" t="str">
        <f>Списък!B75</f>
        <v>Петров ФВС</v>
      </c>
      <c r="BW1" s="28" t="str">
        <f>Списък!B46</f>
        <v>Петров</v>
      </c>
      <c r="BX1" s="28" t="str">
        <f>Списък!B47</f>
        <v>Пецова</v>
      </c>
      <c r="BY1" s="28" t="str">
        <f>+Списък!B34</f>
        <v>Киров</v>
      </c>
      <c r="BZ1" s="28" t="str">
        <f>+Списък!B73</f>
        <v>Киров</v>
      </c>
      <c r="CA1" s="28" t="str">
        <f>+Списък!B42</f>
        <v>Козалиева</v>
      </c>
      <c r="CB1" s="28" t="str">
        <f>+Списък!B74</f>
        <v>Козалиева</v>
      </c>
      <c r="CC1" s="28" t="str">
        <f>+Списък!B35</f>
        <v>Латева</v>
      </c>
      <c r="CD1" s="28" t="str">
        <f>+Списък!B78</f>
        <v>Латева</v>
      </c>
      <c r="CE1" s="28" t="str">
        <f>+Списък!C79</f>
        <v>свят и личност</v>
      </c>
    </row>
    <row r="2" spans="1:83" ht="12" customHeight="1">
      <c r="A2" s="313"/>
      <c r="B2" s="348"/>
      <c r="C2" s="314">
        <f>+Списък!A2</f>
        <v>1</v>
      </c>
      <c r="D2" s="314">
        <f>+Списък!A3</f>
        <v>2</v>
      </c>
      <c r="E2" s="314">
        <f>+Списък!A4</f>
        <v>3</v>
      </c>
      <c r="F2" s="314">
        <f>+Списък!A5</f>
        <v>4</v>
      </c>
      <c r="G2" s="314">
        <f>+Списък!A6</f>
        <v>5</v>
      </c>
      <c r="H2" s="314">
        <f>+Списък!A7</f>
        <v>6</v>
      </c>
      <c r="I2" s="314">
        <f>+Списък!A8</f>
        <v>7</v>
      </c>
      <c r="J2" s="314">
        <f>+Списък!A9</f>
        <v>8</v>
      </c>
      <c r="K2" s="314">
        <f>+Списък!A10</f>
        <v>9</v>
      </c>
      <c r="L2" s="314">
        <f>+Списък!A11</f>
        <v>10</v>
      </c>
      <c r="M2" s="314">
        <f>+Списък!A12</f>
        <v>11</v>
      </c>
      <c r="N2" s="314">
        <f>+Списък!A13</f>
        <v>12</v>
      </c>
      <c r="O2" s="314">
        <f>+Списък!A14</f>
        <v>13</v>
      </c>
      <c r="P2" s="314">
        <f>+Списък!A15</f>
        <v>14</v>
      </c>
      <c r="Q2" s="314">
        <f>+Списък!A16</f>
        <v>15</v>
      </c>
      <c r="R2" s="315">
        <f>+Списък!A17</f>
        <v>16</v>
      </c>
      <c r="S2" s="315">
        <f>+Списък!A18</f>
        <v>17</v>
      </c>
      <c r="T2" s="315">
        <f>+Списък!A19</f>
        <v>18</v>
      </c>
      <c r="U2" s="314">
        <f>+Списък!A20</f>
        <v>19</v>
      </c>
      <c r="V2" s="314">
        <f>+Списък!A21</f>
        <v>20</v>
      </c>
      <c r="W2" s="314">
        <f>+Списък!A22</f>
        <v>21</v>
      </c>
      <c r="X2" s="314">
        <f>+Списък!A23</f>
        <v>22</v>
      </c>
      <c r="Y2" s="314">
        <f>+Списък!A24</f>
        <v>23</v>
      </c>
      <c r="Z2" s="314">
        <f>+Списък!A25</f>
        <v>24</v>
      </c>
      <c r="AA2" s="315">
        <f>+Списък!A26</f>
        <v>25</v>
      </c>
      <c r="AB2" s="315">
        <f>+Списък!A27</f>
        <v>26</v>
      </c>
      <c r="AC2" s="315">
        <f>+Списък!A28</f>
        <v>27</v>
      </c>
      <c r="AD2" s="315">
        <f>+Списък!A29</f>
        <v>28</v>
      </c>
      <c r="AE2" s="315">
        <f>+Списък!A30</f>
        <v>29</v>
      </c>
      <c r="AF2" s="315">
        <f>+Списък!A31</f>
        <v>30</v>
      </c>
      <c r="AG2" s="315">
        <f>+Списък!A32</f>
        <v>31</v>
      </c>
      <c r="AH2" s="315">
        <f>+Списък!A33</f>
        <v>32</v>
      </c>
      <c r="AI2" s="314">
        <f>+Списък!A34</f>
        <v>33</v>
      </c>
      <c r="AJ2" s="314">
        <f>+Списък!A35</f>
        <v>34</v>
      </c>
      <c r="AK2" s="314">
        <f>+Списък!A36</f>
        <v>35</v>
      </c>
      <c r="AL2" s="314">
        <f>+Списък!A37</f>
        <v>36</v>
      </c>
      <c r="AM2" s="314">
        <f>+Списък!A38</f>
        <v>37</v>
      </c>
      <c r="AN2" s="315">
        <f>+Списък!A39</f>
        <v>38</v>
      </c>
      <c r="AO2" s="315">
        <f>+Списък!A40</f>
        <v>39</v>
      </c>
      <c r="AP2" s="315">
        <f>+Списък!A41</f>
        <v>40</v>
      </c>
      <c r="AQ2" s="315">
        <f>+Списък!A42</f>
        <v>41</v>
      </c>
      <c r="AR2" s="315">
        <f>+Списък!A43</f>
        <v>42</v>
      </c>
      <c r="AS2" s="315">
        <f>+Списък!A44</f>
        <v>43</v>
      </c>
      <c r="AT2" s="315">
        <f>+Списък!A45</f>
        <v>44</v>
      </c>
      <c r="AU2" s="314">
        <f>+Списък!A46</f>
        <v>45</v>
      </c>
      <c r="AV2" s="315">
        <f>+Списък!A47</f>
        <v>46</v>
      </c>
      <c r="AW2" s="314">
        <f>+Списък!A48</f>
        <v>47</v>
      </c>
      <c r="AX2" s="314">
        <f>+Списък!A49</f>
        <v>48</v>
      </c>
      <c r="AY2" s="314">
        <f>+Списък!A50</f>
        <v>49</v>
      </c>
      <c r="AZ2" s="314">
        <f>Списък!A51</f>
        <v>50</v>
      </c>
      <c r="BA2" s="29" t="str">
        <f>+Списък!A54</f>
        <v>26/31</v>
      </c>
      <c r="BB2" s="29" t="str">
        <f>+Списък!A55</f>
        <v>28/29</v>
      </c>
      <c r="BC2" s="29" t="str">
        <f>+Списък!A56</f>
        <v>29/31</v>
      </c>
      <c r="BD2" s="59" t="str">
        <f>+Списък!A57</f>
        <v>27/28</v>
      </c>
      <c r="BE2" s="59" t="str">
        <f>+Списък!A58</f>
        <v>30/32</v>
      </c>
      <c r="BF2" s="59" t="str">
        <f>+Списък!A59</f>
        <v>30/31</v>
      </c>
      <c r="BG2" s="191" t="str">
        <f>+Списък!A60</f>
        <v>31/32</v>
      </c>
      <c r="BH2" s="29" t="str">
        <f>Списък!A61</f>
        <v>25/29</v>
      </c>
      <c r="BI2" s="93" t="str">
        <f>+Списък!A62</f>
        <v>25/31</v>
      </c>
      <c r="BJ2" s="93" t="str">
        <f>Списък!A63</f>
        <v>28/46</v>
      </c>
      <c r="BK2" s="93" t="str">
        <f>+Списък!A64</f>
        <v>29/46</v>
      </c>
      <c r="BL2" s="59" t="str">
        <f>Списък!A65</f>
        <v>25/46</v>
      </c>
      <c r="BM2" s="29" t="str">
        <f>+Списък!A66</f>
        <v>31/46</v>
      </c>
      <c r="BN2" s="96" t="str">
        <f>Списък!A71</f>
        <v>16/18</v>
      </c>
      <c r="BO2" s="96" t="str">
        <f>Списък!A72</f>
        <v>17/18</v>
      </c>
      <c r="BP2" s="29" t="str">
        <f>Списък!A70</f>
        <v>16/17/18/50</v>
      </c>
      <c r="BQ2" s="29">
        <f>Списък!A18</f>
        <v>17</v>
      </c>
      <c r="BR2" s="29">
        <f>Списък!A19</f>
        <v>18</v>
      </c>
      <c r="BS2" s="29">
        <f>Списък!A51</f>
        <v>50</v>
      </c>
      <c r="BT2" s="29"/>
      <c r="BU2" s="29">
        <f>Списък!A17</f>
        <v>16</v>
      </c>
      <c r="BV2" s="59" t="str">
        <f>Списък!A75</f>
        <v>45*</v>
      </c>
      <c r="BW2" s="29">
        <f>Списък!A46</f>
        <v>45</v>
      </c>
      <c r="BX2" s="29">
        <f>+Списък!A47</f>
        <v>46</v>
      </c>
      <c r="BY2" s="29">
        <f>+Списък!A34</f>
        <v>33</v>
      </c>
      <c r="BZ2" s="29" t="str">
        <f>+Списък!A73</f>
        <v>33*</v>
      </c>
      <c r="CA2" s="29">
        <f>+Списък!A42</f>
        <v>41</v>
      </c>
      <c r="CB2" s="29" t="str">
        <f>+Списък!A74</f>
        <v>41*</v>
      </c>
      <c r="CC2" s="29">
        <f>+Списък!A35</f>
        <v>34</v>
      </c>
      <c r="CD2" s="29" t="str">
        <f>+Списък!A78</f>
        <v>34*</v>
      </c>
      <c r="CE2" s="29">
        <f>+Списък!A79</f>
        <v>341</v>
      </c>
    </row>
    <row r="3" spans="1:83" ht="13.5" customHeight="1">
      <c r="A3" s="366" t="s">
        <v>24</v>
      </c>
      <c r="B3" s="330">
        <v>1</v>
      </c>
      <c r="C3" s="194" t="str">
        <f>IF(COUNTIF('Програма-кодове'!$C2:$AD2,$C$2)=0,"-",IF(COUNTIF('Програма-кодове'!$C2:$AD2,$C$2)=1,INDEX('Програма-кодове'!$C$1:$AD$1,1,MATCH($C$2,'Програма-кодове'!$C2:$AD2,0)),"Дублаж"))</f>
        <v>-</v>
      </c>
      <c r="D3" s="194" t="str">
        <f>IF(COUNTIF('Програма-кодове'!$C2:$AD2,$D$2)=0,"-",IF(COUNTIF('Програма-кодове'!$C2:$AD2,$D$2)=1,INDEX('Програма-кодове'!$C$1:$AD$1,1,MATCH($D$2,'Програма-кодове'!$C2:$AD2,0)),"Дублаж"))</f>
        <v>-</v>
      </c>
      <c r="E3" s="194">
        <f>IF(COUNTIF('Програма-кодове'!$C2:$AD2,$E$2)=0,"-",IF(COUNTIF('Програма-кодове'!$C2:$AD2,$E$2)=1,INDEX('Програма-кодове'!$C$1:$AD$1,1,MATCH($E$2,'Програма-кодове'!$C2:$AD2,0)),"Дублаж"))</f>
        <v>6</v>
      </c>
      <c r="F3" s="194" t="str">
        <f>IF(COUNTIF('Програма-кодове'!$C2:$AD2,$F$2)=0,"-",IF(COUNTIF('Програма-кодове'!$C2:$AD2,$F$2)=1,INDEX('Програма-кодове'!$C$1:$AD$1,1,MATCH($F$2,'Програма-кодове'!$C2:$AD2,0)),"Дублаж"))</f>
        <v>-</v>
      </c>
      <c r="G3" s="194" t="str">
        <f>IF(COUNTIF('Програма-кодове'!$C2:$AD2,$G$2)=0,"-",IF(COUNTIF('Програма-кодове'!$C2:$AD2,$G$2)=1,INDEX('Програма-кодове'!$C$1:$AD$1,1,MATCH($G$2,'Програма-кодове'!$C2:$AD2,0)),"Дублаж"))</f>
        <v>12в</v>
      </c>
      <c r="H3" s="194" t="str">
        <f>IF(COUNTIF('Програма-кодове'!$C2:$AD2,$H$2)=0,"-",IF(COUNTIF('Програма-кодове'!$C2:$AD2,$H$2)=1,INDEX('Програма-кодове'!$C$1:$AD$1,1,MATCH($H$2,'Програма-кодове'!$C2:$AD2,0)),"Дублаж"))</f>
        <v>9б</v>
      </c>
      <c r="I3" s="194" t="str">
        <f>IF(COUNTIF('Програма-кодове'!$C2:$AD2,$I$2)=0,"-",IF(COUNTIF('Програма-кодове'!$C2:$AD2,$I$2)=1,INDEX('Програма-кодове'!$C$1:$AD$1,1,MATCH($I$2,'Програма-кодове'!$C2:$AD2,0)),"Дублаж"))</f>
        <v>11б</v>
      </c>
      <c r="J3" s="194">
        <f>IF(COUNTIF('Програма-кодове'!$C2:$AD2,$J$2)=0,"-",IF(COUNTIF('Програма-кодове'!$C2:$AD2,$J$2)=1,INDEX('Програма-кодове'!$C$1:$AD$1,1,MATCH($J$2,'Програма-кодове'!$C2:$AD2,0)),"Дублаж"))</f>
        <v>7</v>
      </c>
      <c r="K3" s="194" t="str">
        <f>IF(COUNTIF('Програма-кодове'!$C2:$AD2,$K$2)=0,"-",IF(COUNTIF('Програма-кодове'!$C2:$AD2,$K$2)=1,INDEX('Програма-кодове'!$C$1:$AD$1,1,MATCH($K$2,'Програма-кодове'!$C2:$AD2,0)),"Дублаж"))</f>
        <v>12б</v>
      </c>
      <c r="L3" s="194" t="str">
        <f>IF(COUNTIF('Програма-кодове'!$C2:$AD2,$L$2)=0,"-",IF(COUNTIF('Програма-кодове'!$C2:$AD2,$L$2)=1,INDEX('Програма-кодове'!$C$1:$AD$1,1,MATCH($L$2,'Програма-кодове'!$C2:$AD2,0)),"Дублаж"))</f>
        <v>10г</v>
      </c>
      <c r="M3" s="194" t="str">
        <f>IF(COUNTIF('Програма-кодове'!$C2:$AD2,$M$2)=0,"-",IF(COUNTIF('Програма-кодове'!$C2:$AD2,$M$2)=1,INDEX('Програма-кодове'!$C$1:$AD$1,1,MATCH($M$2,'Програма-кодове'!$C2:$AD2,0)),"Дублаж"))</f>
        <v>8б</v>
      </c>
      <c r="N3" s="194" t="str">
        <f>IF(COUNTIF('Програма-кодове'!$C2:$AD2,$N$2)=0,"-",IF(COUNTIF('Програма-кодове'!$C2:$AD2,$N$2)=1,INDEX('Програма-кодове'!$C$1:$AD$1,1,MATCH($N$2,'Програма-кодове'!$C2:$AD2,0)),"Дублаж"))</f>
        <v>8в</v>
      </c>
      <c r="O3" s="194" t="str">
        <f>IF(COUNTIF('Програма-кодове'!$C2:$AD2,$O$2)=0,"-",IF(COUNTIF('Програма-кодове'!$C2:$AD2,$O$2)=1,INDEX('Програма-кодове'!$C$1:$AD$1,1,MATCH($O$2,'Програма-кодове'!$C2:$AD2,0)),"Дублаж"))</f>
        <v>-</v>
      </c>
      <c r="P3" s="316" t="str">
        <f>IF(COUNTIF('Програма-кодове'!$C2:$AD2,$P$2)=0,"-",IF(COUNTIF('Програма-кодове'!$C2:$AD2,$P$2)=1,INDEX('Програма-кодове'!$C$1:$AD$1,1,MATCH($P$2,'Програма-кодове'!$C2:$AD2,0)),"Дублаж"))</f>
        <v>-</v>
      </c>
      <c r="Q3" s="316" t="str">
        <f>IF(COUNTIF('Програма-кодове'!$C2:$AD2,$Q$2)=0,"-",IF(COUNTIF('Програма-кодове'!$C2:$AD2,$Q$2)=1,INDEX('Програма-кодове'!$C$1:$AD$1,1,MATCH($Q$2,'Програма-кодове'!$C2:$AD2,0)),"Дублаж"))</f>
        <v>9г</v>
      </c>
      <c r="R3" s="193" t="str">
        <f t="shared" ref="R3:R37" si="0">IF(BN3&lt;&gt;"-",IF(AND(BP3="-",BU3="-"),BN3,"Дублаж"),IF(AND(BP3&lt;&gt;"-",BU3&lt;&gt;"-"),"Дублаж",IF(BP3&lt;&gt;"-",BP3,BU3)))</f>
        <v>-</v>
      </c>
      <c r="S3" s="193" t="str">
        <f>IF(BO3&lt;&gt;"-",IF(AND(BQ3="-",BP3="-"),BO3,"Дублаж"),IF(AND(BQ3&lt;&gt;"-",BP3&lt;&gt;"-"),"Дублаж",IF(BQ3&lt;&gt;"-",BQ3,BP3)))</f>
        <v>11a,в</v>
      </c>
      <c r="T3" s="193" t="str">
        <f>IF(BN3&lt;&gt;"-",IF(AND(BO3="-",BT3="-"),BN3,IF(AND(BN3="11б",BO3="11д"),"11б,д",IF(AND(BN3="12д",BO3="12а"),"12а,д",IF(AND(BN3="12в",BO3="12б"),"12б,в",IF(AND(BN3="10в",BO3="10б"),"10б,в",IF(AND(BN3="9д",BO3="9в"),"9в,д","Дублаж")))))),IF(BO3&lt;&gt;"-",IF(BT3="-",BO3,"Дублаж"),BT3))</f>
        <v>11a,в</v>
      </c>
      <c r="U3" s="10" t="str">
        <f>IF(COUNTIF('Програма-кодове'!$C2:$AD2,$U$2)=0,"-",IF(COUNTIF('Програма-кодове'!$C2:$AD2,$U$2)=1,INDEX('Програма-кодове'!$C$1:$AD$1,1,MATCH($U$2,'Програма-кодове'!$C2:$AD2,0)),"Дублаж"))</f>
        <v>-</v>
      </c>
      <c r="V3" s="194" t="str">
        <f>IF(COUNTIF('Програма-кодове'!$C2:$AD2,$V$2)=0,"-",IF(COUNTIF('Програма-кодове'!$C2:$AD2,$V$2)=1,INDEX('Програма-кодове'!$C$1:$AD$1,1,MATCH($V$2,'Програма-кодове'!$C2:$AD2,0)),"Дублаж"))</f>
        <v>-</v>
      </c>
      <c r="W3" s="194" t="str">
        <f>IF(COUNTIF('Програма-кодове'!$C2:$AD2,$W$2)=0,"-",IF(COUNTIF('Програма-кодове'!$C2:$AD2,$W$2)=1,INDEX('Програма-кодове'!$C$1:$AD$1,1,MATCH($W$2,'Програма-кодове'!$C2:$AD2,0)),"Дублаж"))</f>
        <v>8a</v>
      </c>
      <c r="X3" s="10" t="str">
        <f>IF(COUNTIF('Програма-кодове'!$C2:$AD2,$X$2)=0,"-",IF(COUNTIF('Програма-кодове'!$C2:$AD2,$X$2)=1,INDEX('Програма-кодове'!$C$1:$AD$1,1,MATCH($X$2,'Програма-кодове'!$C2:$AD2,0)),"Дублаж"))</f>
        <v>8д</v>
      </c>
      <c r="Y3" s="10" t="str">
        <f>IF(COUNTIF('Програма-кодове'!$C2:$AD2,$Y$2)=0,"-",IF(COUNTIF('Програма-кодове'!$C2:$AD2,$Y$2)=1,INDEX('Програма-кодове'!$C$1:$AD$1,1,MATCH($Y$2,'Програма-кодове'!$C2:$AD2,0)),"Дублаж"))</f>
        <v>11г</v>
      </c>
      <c r="Z3" s="10" t="str">
        <f>IF(COUNTIF('Програма-кодове'!$C2:$AD2,$Z$2)=0,"-",IF(COUNTIF('Програма-кодове'!$C2:$AD2,$Z$2)=1,INDEX('Програма-кодове'!$C$1:$AD$1,1,MATCH($Z$2,'Програма-кодове'!$C2:$AD2,0)),"Дублаж"))</f>
        <v>-</v>
      </c>
      <c r="AA3" s="193" t="str">
        <f>IF(BH3&lt;&gt;"-",IF(AND(BL3="-",BI3="-"),BH3,"Дублаж"),IF(BL3&lt;&gt;"-",IF(BI3="-",BL3,"Дублаж"),BI3))</f>
        <v>12г</v>
      </c>
      <c r="AB3" s="193" t="str">
        <f>BA3</f>
        <v>-</v>
      </c>
      <c r="AC3" s="193" t="str">
        <f>BD3</f>
        <v>10а</v>
      </c>
      <c r="AD3" s="193" t="str">
        <f>IF(BB3&lt;&gt;"-",IF(AND(BD3="-",BJ3="-"),BB3,"Дублаж"),IF(AND(BD3&lt;&gt;"-",BJ3&lt;&gt;"-"),"Дублаж",IF(BD3&lt;&gt;"-",BD3,BJ3)))</f>
        <v>10а</v>
      </c>
      <c r="AE3" s="193" t="str">
        <f>IF(BB3&lt;&gt;"-",IF(AND(BC3="-",BH3="-",BK3="-"),BB3,"Дублаж"),IF(BC3&lt;&gt;"-",IF(AND(BH3="-",BK3="-"),BC3,"Дублаж"),IF(BH3&lt;&gt;"-",IF(BK3="-",BH3,"Дублаж"),BK3)))</f>
        <v>12г</v>
      </c>
      <c r="AF3" s="193" t="str">
        <f>IF(AND(BE3&lt;&gt;"-",BF3&lt;&gt;"-"),"Дублаж",IF(BE3&lt;&gt;"-",BE3,BF3))</f>
        <v>-</v>
      </c>
      <c r="AG3" s="193" t="str">
        <f>IF(BA3&lt;&gt;"-",IF(AND(BC3="-",BG3="-",BF3="-",BM3="-",BI3="-"),BA3,"Дублаж"),IF(BC3&lt;&gt;"-",IF(AND(BG3="-",BF3="-",BM3="-",BI3="-"),BC3,"Дублаж"),IF(BG3&lt;&gt;"-",IF(AND(BF3="-",BM3="-",BI3="-"),BG3,"Дублаж"),IF(BF3&lt;&gt;"-",IF(AND(BM3="-",BI3="-"),BF3,"Дублаж"),IF(BM3&lt;&gt;"-",IF(BI3="-",BM3,BI3),BI3)))))</f>
        <v>8г</v>
      </c>
      <c r="AH3" s="193" t="str">
        <f>IF(AND(BE3&lt;&gt;"-",BG3&lt;&gt;"-"),"Дублаж",IF(BE3&lt;&gt;"-",BE3,BG3))</f>
        <v>8г</v>
      </c>
      <c r="AI3" s="194" t="str">
        <f>IF(AND(BZ3&lt;&gt;"-",BY3&lt;&gt;"-"),"Дублаж",IF(BZ3&lt;&gt;"-",BZ3,BY3))</f>
        <v>11д</v>
      </c>
      <c r="AJ3" s="193" t="str">
        <f>IF(CC3&lt;&gt;"-",IF(AND(CD3="-",CE3="-"),CC3,"Дублаж"),IF(AND(CD3&lt;&gt;"-",CE3&lt;&gt;"-"),"Дублаж",IF(CD3&lt;&gt;"-",CD3,CE3)))</f>
        <v>9в</v>
      </c>
      <c r="AK3" s="194" t="str">
        <f>IF(COUNTIF('Програма-кодове'!$C2:$AD2,$AK$2)=0,"-",IF(COUNTIF('Програма-кодове'!$C2:$AD2,$AK$2)=1,INDEX('Програма-кодове'!$C$1:$AD$1,1,MATCH($AK$2,'Програма-кодове'!$C2:$AD2,0)),"Дублаж"))</f>
        <v>10б</v>
      </c>
      <c r="AL3" s="194" t="str">
        <f>IF(COUNTIF('Програма-кодове'!$C2:$AD2,$AL$2)=0,"-",IF(COUNTIF('Програма-кодове'!$C2:$AD2,$AL$2)=1,INDEX('Програма-кодове'!$C$1:$AD$1,1,MATCH($AL$2,'Програма-кодове'!$C2:$AD2,0)),"Дублаж"))</f>
        <v>9а</v>
      </c>
      <c r="AM3" s="194" t="str">
        <f>IF(COUNTIF('Програма-кодове'!$C2:$AD2,$AM$2)=0,"-",IF(COUNTIF('Програма-кодове'!$C2:$AD2,$AM$2)=1,INDEX('Програма-кодове'!$C$1:$AD$1,1,MATCH($AM$2,'Програма-кодове'!$C2:$AD2,0)),"Дублаж"))</f>
        <v>-</v>
      </c>
      <c r="AN3" s="193">
        <f>IF(COUNTIF('Програма-кодове'!$C2:$AD2,$AN$2)=0,"-",IF(COUNTIF('Програма-кодове'!$C2:$AD2,$AN$2)=1,INDEX('Програма-кодове'!$C$1:$AD$1,1,MATCH($AN$2,'Програма-кодове'!$C2:$AD2,0)),"Дублаж"))</f>
        <v>5</v>
      </c>
      <c r="AO3" s="193" t="str">
        <f>IF(COUNTIF('Програма-кодове'!$C2:$AD2,$AO$2)=0,"-",IF(COUNTIF('Програма-кодове'!$C2:$AD2,$AO$2)=1,INDEX('Програма-кодове'!$C$1:$AD$1,1,MATCH($AO$2,'Програма-кодове'!$C2:$AD2,0)),"Дублаж"))</f>
        <v>12а</v>
      </c>
      <c r="AP3" s="193" t="str">
        <f>IF(COUNTIF('Програма-кодове'!$C2:$AD2,$AP$2)=0,"-",IF(COUNTIF('Програма-кодове'!$C2:$AD2,$AP$2)=1,INDEX('Програма-кодове'!$C$1:$AD$1,1,MATCH($AP$2,'Програма-кодове'!$C2:$AD2,0)),"Дублаж"))</f>
        <v>-</v>
      </c>
      <c r="AQ3" s="193" t="str">
        <f>IF(AND(CA3&lt;&gt;"-",CB3&lt;&gt;"-"),"Дублаж",IF(CA3&lt;&gt;"-",CA3,CB3))</f>
        <v>-</v>
      </c>
      <c r="AR3" s="193" t="str">
        <f>IF(COUNTIF('Програма-кодове'!$C2:$AD2,$AR$2)=0,"-",IF(COUNTIF('Програма-кодове'!$C2:$AD2,$AR$2)=1,INDEX('Програма-кодове'!$C$1:$AD$1,1,MATCH($AR$2,'Програма-кодове'!$C2:$AD2,0)),"Дублаж"))</f>
        <v>-</v>
      </c>
      <c r="AS3" s="193" t="str">
        <f>IF(COUNTIF('Програма-кодове'!$C2:$AD2,$AS$2)=0,"-",IF(COUNTIF('Програма-кодове'!$C2:$AD2,$AS$2)=1,INDEX('Програма-кодове'!$C$1:$AD$1,1,MATCH($AS$2,'Програма-кодове'!$C2:$AD2,0)),"Дублаж"))</f>
        <v>10д</v>
      </c>
      <c r="AT3" s="193" t="str">
        <f>IF(COUNTIF('Програма-кодове'!$C2:$AD2,$AT$2)=0,"-",IF(COUNTIF('Програма-кодове'!$C2:$AD2,$AT$2)=1,INDEX('Програма-кодове'!$C$1:$AD$1,1,MATCH($AT$2,'Програма-кодове'!$C2:$AD2,0)),"Дублаж"))</f>
        <v>12д</v>
      </c>
      <c r="AU3" s="194" t="str">
        <f t="shared" ref="AU3:AU16" si="1">IF(AND(BV3&lt;&gt;"-",BW3&lt;&gt;"-"),"Дублаж",IF(BV3&lt;&gt;"-",BV3,BW3))</f>
        <v>10в</v>
      </c>
      <c r="AV3" s="194" t="str">
        <f t="shared" ref="AV3:AV37" si="2">IF(BX3&lt;&gt;"-",IF(AND(BJ3="-",BK3="-",BL3="-",BM3="-"),BX3,"Дублаж"),IF(BJ3&lt;&gt;"-",IF(AND(BK3="-",BL3="-",BM3="-"),BJ3,"Дублаж"),IF(BK3&lt;&gt;"-",IF(AND(BL3="-",BM3="-"),BK3,"Дублаж"),IF(BL3&lt;&gt;"-",IF(BM3="-", BL3, BM3),BM3))))</f>
        <v>-</v>
      </c>
      <c r="AW3" s="194" t="str">
        <f>IF(COUNTIF('Програма-кодове'!$C2:$AD2,$AW$2)=0,"-",IF(COUNTIF('Програма-кодове'!$C2:$AD2,$AW$2)=1,INDEX('Програма-кодове'!$C$1:$AD$1,1,MATCH($AW$2,'Програма-кодове'!$C2:$AD2,0)),"Дублаж"))</f>
        <v>9д</v>
      </c>
      <c r="AX3" s="245" t="str">
        <f>IF(COUNTIF('Програма-кодове'!$C2:$AD2,$AX$2)=0,"-",IF(COUNTIF('Програма-кодове'!$C2:$AD2,$AX$2)=1,INDEX('Програма-кодове'!$C$1:$AD$1,1,MATCH($AX$2,'Програма-кодове'!$C2:$AD2,0)),"Дублаж"))</f>
        <v>-</v>
      </c>
      <c r="AY3" s="194" t="str">
        <f>IF(COUNTIF('Програма-кодове'!$C2:$AD2,$AY$2)=0,"-",IF(COUNTIF('Програма-кодове'!$C2:$AD2,$AY$2)=1,INDEX('Програма-кодове'!$C$1:$AD$1,1,MATCH($AY$2,'Програма-кодове'!$C2:$AD2,0)),"Дублаж"))</f>
        <v>-</v>
      </c>
      <c r="AZ3" s="193" t="str">
        <f>IF(AND(BS3&lt;&gt;"-",BT3&lt;&gt;"-"),"Дублаж",IF(BS3&lt;&gt;"-",BS3,BT3))</f>
        <v>-</v>
      </c>
      <c r="BA3" s="30" t="str">
        <f>IF(COUNTIF('Програма-кодове'!$C2:$AD2,$BA$2)=0,"-",IF(COUNTIF('Програма-кодове'!$C2:$AD2,$BA$2)=1,INDEX('Програма-кодове'!$C$1:$AD$1,1,MATCH($BA$2,'Програма-кодове'!$C2:$AD2,0)),"Дублаж"))</f>
        <v>-</v>
      </c>
      <c r="BB3" s="30" t="str">
        <f>IF(COUNTIF('Програма-кодове'!$C2:$AD2,$BB$2)=0,"-",IF(COUNTIF('Програма-кодове'!$C2:$AD2,$BB$2)=1,INDEX('Програма-кодове'!$C$1:$AD$1,1,MATCH($BB$2,'Програма-кодове'!$C2:$AD2,0)),"Дублаж"))</f>
        <v>-</v>
      </c>
      <c r="BC3" s="30" t="str">
        <f>IF(COUNTIF('Програма-кодове'!$C2:$AD2,$BC$2)=0,"-",IF(COUNTIF('Програма-кодове'!$C2:$AD2,$BC$2)=1,INDEX('Програма-кодове'!$C$1:$AD$1,1,MATCH($BC$2,'Програма-кодове'!$C2:$AD2,0)),"Дублаж"))</f>
        <v>-</v>
      </c>
      <c r="BD3" s="30" t="str">
        <f>IF(COUNTIF('Програма-кодове'!$C2:$AD2,$BD$2)=0,"-",IF(COUNTIF('Програма-кодове'!$C2:$AD2,$BD$2)=1,INDEX('Програма-кодове'!$C$1:$AD$1,1,MATCH($BD$2,'Програма-кодове'!$C2:$AD2,0)),"Дублаж"))</f>
        <v>10а</v>
      </c>
      <c r="BE3" s="30" t="str">
        <f>IF(COUNTIF('Програма-кодове'!$C2:$AD2,$BE$2)=0,"-",IF(COUNTIF('Програма-кодове'!$C2:$AD2,$BE$2)=1,INDEX('Програма-кодове'!$C$1:$AD$1,1,MATCH($BE$2,'Програма-кодове'!$C2:$AD2,0)),"Дублаж"))</f>
        <v>-</v>
      </c>
      <c r="BF3" s="30" t="str">
        <f>IF(COUNTIF('Програма-кодове'!$C2:$AD2,$BF$2)=0,"-",IF(COUNTIF('Програма-кодове'!$C2:$AD2,$BF$2)=1,INDEX('Програма-кодове'!$C$1:$AD$1,1,MATCH($BF$2,'Програма-кодове'!$C2:$AD2,0)),"Дублаж"))</f>
        <v>-</v>
      </c>
      <c r="BG3" s="30" t="str">
        <f>IF(COUNTIF('Програма-кодове'!$C2:$AD2,$BG$2)=0,"-",IF(COUNTIF('Програма-кодове'!$C2:$AD2,$BG$2)=1,INDEX('Програма-кодове'!$C$1:$AD$1,1,MATCH($BG$2,'Програма-кодове'!$C2:$AD2,0)),"Дублаж"))</f>
        <v>8г</v>
      </c>
      <c r="BH3" s="30" t="str">
        <f>IF(COUNTIF('Програма-кодове'!$C2:$AD2,$BH$2)=0,"-",IF(COUNTIF('Програма-кодове'!$C2:$AD2,$BH$2)=1,INDEX('Програма-кодове'!$C$1:$AD$1,1,MATCH($BH$2,'Програма-кодове'!$C2:$AD2,0)),"Дублаж"))</f>
        <v>12г</v>
      </c>
      <c r="BI3" s="94" t="str">
        <f>IF(COUNTIF('Програма-кодове'!$C2:$AD2,$BI$2)=0,"-",IF(COUNTIF('Програма-кодове'!$C2:$AD2,$BI$2)=1,INDEX('Програма-кодове'!$C$1:$AD$1,1,MATCH($BI$2,'Програма-кодове'!$C2:$AD2,0)),IF('Програма-кодове'!Z2='Програма-кодове'!AA2,"12а,б","Дублаж")))</f>
        <v>-</v>
      </c>
      <c r="BJ3" s="94" t="str">
        <f>IF(COUNTIF('Програма-кодове'!$C2:$AD2,$BJ$2)=0,"-",IF(COUNTIF('Програма-кодове'!$C2:$AD2,$BJ$2)=1,INDEX('Програма-кодове'!$C$1:$AD$1,1,MATCH($BJ$2,'Програма-кодове'!$C2:$AD2,0)),"Дублаж"))</f>
        <v>-</v>
      </c>
      <c r="BK3" s="94" t="str">
        <f>IF(COUNTIF('Програма-кодове'!$C2:$AD2,$BK$2)=0,"-",IF(COUNTIF('Програма-кодове'!$C2:$AD2,$BK$2)=1,INDEX('Програма-кодове'!$C$1:$AD$1,1,MATCH($BK$2,'Програма-кодове'!$C2:$AD2,0)),IF('Програма-кодове'!K2='Програма-кодове'!O2,"9а,д",IF('Програма-кодове'!L2='Програма-кодове'!M2,"9б,в","Дублаж"))))</f>
        <v>-</v>
      </c>
      <c r="BL3" s="30" t="str">
        <f>IF(COUNTIF('Програма-кодове'!$C2:$AD2,$BL$2)=0,"-",IF(COUNTIF('Програма-кодове'!$C2:$AD2,$BL$2)=1,INDEX('Програма-кодове'!$C$1:$AD$1,1,MATCH($BL$2,'Програма-кодове'!$C2:$AD2,0)),"Дублаж"))</f>
        <v>-</v>
      </c>
      <c r="BM3" s="30" t="str">
        <f>IF(COUNTIF('Програма-кодове'!$C2:$AD2,$BM$2)=0,"-",IF(COUNTIF('Програма-кодове'!$C2:$AD2,$BM$2)=1,INDEX('Програма-кодове'!$C$1:$AD$1,1,MATCH($BM$2,'Програма-кодове'!$C2:$AD2,0)),"Дублаж"))</f>
        <v>-</v>
      </c>
      <c r="BN3" s="77" t="str">
        <f>IF(COUNTIF('Програма-кодове'!$C2:$AD2,$BN$2)=0,"-",IF(COUNTIF('Програма-кодове'!$C2:$AD2,$BN$2)=1,INDEX('Програма-кодове'!$C$1:$AD$1,1,MATCH($BN$2,'Програма-кодове'!$C2:$AD2,0)),IF(AND('Програма-кодове'!K2='Програма-кодове'!O2,'Програма-кодове'!K2&lt;&gt;""),"9а, д", IF(AND('Програма-кодове'!U2='Програма-кодове'!W2,'Програма-кодове'!U2&lt;&gt;""),"11а,в", "Дублаж"))))</f>
        <v>-</v>
      </c>
      <c r="BO3" s="77" t="str">
        <f>IF(COUNTIF('Програма-кодове'!$C2:$AD2,$BO$2)=0,"-",IF(COUNTIF('Програма-кодове'!$C2:$AD2,$BO$2)=1,INDEX('Програма-кодове'!$C$1:$AD$1,1,MATCH($BO$2,'Програма-кодове'!$C2:$AD2,0)),IF(AND('Програма-кодове'!U2='Програма-кодове'!W2,'Програма-кодове'!U2&lt;&gt;"" ),"11a,в","Дублаж")))</f>
        <v>11a,в</v>
      </c>
      <c r="BP3" s="30" t="str">
        <f>IF(COUNTIF('Програма-кодове'!$C2:$AD2,$BP$2)=0,"-",IF(COUNTIF('Програма-кодове'!$C2:$AD2,$BP$2)=1,"9б,в,г","Дублаж"))</f>
        <v>-</v>
      </c>
      <c r="BQ3" s="30" t="str">
        <f>IF(COUNTIF('Програма-кодове'!$C2:$AD2,$BQ$2)=0,"-",IF(COUNTIF('Програма-кодове'!$C2:$AD2,$BQ$2)=1,INDEX('Програма-кодове'!$C$1:$AD$1,1,MATCH($BQ$2,'Програма-кодове'!$C2:$AD2,0)),"Дублаж"))</f>
        <v>-</v>
      </c>
      <c r="BR3" s="30" t="str">
        <f>IF(COUNTIF('Програма-кодове'!$C2:$AD2,$BR$2)=0,"-",IF(COUNTIF('Програма-кодове'!$C2:$AD2,$BR$2)=1,INDEX('Програма-кодове'!$C$1:$AD$1,1,MATCH($BR$2,'Програма-кодове'!$C2:$AD2,0)),IF('Програма-кодове'!W2='Програма-кодове'!X2,"11б,в","Дублаж")))</f>
        <v>-</v>
      </c>
      <c r="BS3" s="30" t="str">
        <f>IF(COUNTIF('Програма-кодове'!$C2:$AD2,$BS$2)=0,"-",IF(COUNTIF('Програма-кодове'!$C2:$AD2,$BS$2)=1,INDEX('Програма-кодове'!$C$1:$AD$1,1,MATCH($BS$2,'Програма-кодове'!$C2:$AD2,0)),"Дублаж"))</f>
        <v>-</v>
      </c>
      <c r="BT3" s="193" t="str">
        <f>IF(AND(BP3&lt;&gt;"-",BR3&lt;&gt;"-"),"Дублаж",IF(BP3&lt;&gt;"-",BP3,BR3))</f>
        <v>-</v>
      </c>
      <c r="BU3" s="30" t="str">
        <f>IF(COUNTIF('Програма-кодове'!$C2:$AD2,$BU$2)=0,"-",IF(COUNTIF('Програма-кодове'!$C2:$AD2,$BU$2)=1,INDEX('Програма-кодове'!$C$1:$AD$1,1,MATCH($BU$2,'Програма-кодове'!$C2:$AD2,0)),"Дублаж"))</f>
        <v>-</v>
      </c>
      <c r="BV3" s="30" t="str">
        <f>IF(COUNTIF('Програма-кодове'!$C2:$AD2,$BV$2)=0,"-",IF(COUNTIF('Програма-кодове'!$C2:$AD2,$BV$2)=1,INDEX('Програма-кодове'!$C$1:$AD$1,1,MATCH($BV$2,'Програма-кодове'!$C2:$AD2,0)),"Дублаж"))</f>
        <v>10в</v>
      </c>
      <c r="BW3" s="30" t="str">
        <f>IF(COUNTIF('Програма-кодове'!$C2:$AD2,$BW$2)=0,"-",IF(COUNTIF('Програма-кодове'!$C2:$AD2,$BW$2)=1,INDEX('Програма-кодове'!$C$1:$AD$1,1,MATCH($BW$2,'Програма-кодове'!$C2:$AD2,0)),"Дублаж"))</f>
        <v>-</v>
      </c>
      <c r="BX3" s="30" t="str">
        <f>IF(COUNTIF('Програма-кодове'!$C2:$AD2,$BX$2)=0,"-",IF(COUNTIF('Програма-кодове'!$C2:$AD2,$BX$2)=1,INDEX('Програма-кодове'!$C$1:$AD$1,1,MATCH($BX$2,'Програма-кодове'!$C2:$AD2,0)),"Дублаж"))</f>
        <v>-</v>
      </c>
      <c r="BY3" s="30" t="str">
        <f>IF(COUNTIF('Програма-кодове'!$C2:$AD2,$BY$2)=0,"-",IF(COUNTIF('Програма-кодове'!$C2:$AD2,$BY$2)=1,INDEX('Програма-кодове'!$C$1:$AD$1,1,MATCH($BY$2,'Програма-кодове'!$C2:$AD2,0)),"Дублаж"))</f>
        <v>11д</v>
      </c>
      <c r="BZ3" s="30" t="str">
        <f>IF(COUNTIF('Програма-кодове'!$C2:$AD2,$BZ$2)=0,"-",IF(COUNTIF('Програма-кодове'!$C2:$AD2,$BZ$2)=1,INDEX('Програма-кодове'!$C$1:$AD$1,1,MATCH($BZ$2,'Програма-кодове'!$C2:$AD2,0)),"Дублаж"))</f>
        <v>-</v>
      </c>
      <c r="CA3" s="30" t="str">
        <f>IF(COUNTIF('Програма-кодове'!$C2:$AD2,$CA$2)=0,"-",IF(COUNTIF('Програма-кодове'!$C2:$AD2,$CA$2)=1,INDEX('Програма-кодове'!$C$1:$AD$1,1,MATCH($CA$2,'Програма-кодове'!$C2:$AD2,0)),"Дублаж"))</f>
        <v>-</v>
      </c>
      <c r="CB3" s="30" t="str">
        <f>IF(COUNTIF('Програма-кодове'!$C2:$AD2,$CB$2)=0,"-",IF(COUNTIF('Програма-кодове'!$C2:$AD2,$CB$2)=1,INDEX('Програма-кодове'!$C$1:$AD$1,1,MATCH($CB$2,'Програма-кодове'!$C2:$AD2,0)),"Дублаж"))</f>
        <v>-</v>
      </c>
      <c r="CC3" s="30" t="str">
        <f>IF(COUNTIF('Програма-кодове'!$C2:$AD2,$CC$2)=0,"-",IF(COUNTIF('Програма-кодове'!$C2:$AD2,$CC$2)=1,INDEX('Програма-кодове'!$C$1:$AD$1,1,MATCH($CC$2,'Програма-кодове'!$C2:$AD2,0)),"Дублаж"))</f>
        <v>9в</v>
      </c>
      <c r="CD3" s="30" t="str">
        <f>IF(COUNTIF('Програма-кодове'!$C2:$AD2,$CD$2)=0,"-",IF(COUNTIF('Програма-кодове'!$C2:$AD2,$CD$2)=1,INDEX('Програма-кодове'!$C$1:$AD$1,1,MATCH($CD$2,'Програма-кодове'!$C2:$AD2,0)),"Дублаж"))</f>
        <v>-</v>
      </c>
      <c r="CE3" s="30" t="str">
        <f>IF(COUNTIF('Програма-кодове'!$C2:$AD2,$CE$2)=0,"-",IF(COUNTIF('Програма-кодове'!$C2:$AD2,$CE$2)=1,INDEX('Програма-кодове'!$C$1:$AD$1,1,MATCH($CE$2,'Програма-кодове'!$C2:$AD2,0)),"Дублаж"))</f>
        <v>-</v>
      </c>
    </row>
    <row r="4" spans="1:83" ht="13.5" customHeight="1">
      <c r="A4" s="367"/>
      <c r="B4" s="330">
        <v>2</v>
      </c>
      <c r="C4" s="194" t="str">
        <f>IF(COUNTIF('Програма-кодове'!$C3:$AD3,$C$2)=0,"-",IF(COUNTIF('Програма-кодове'!$C3:$AD3,$C$2)=1,INDEX('Програма-кодове'!$C$1:$AD$1,1,MATCH($C$2,'Програма-кодове'!$C3:$AD3,0)),"Дублаж"))</f>
        <v>-</v>
      </c>
      <c r="D4" s="194" t="str">
        <f>IF(COUNTIF('Програма-кодове'!$C3:$AD3,$D$2)=0,"-",IF(COUNTIF('Програма-кодове'!$C3:$AD3,$D$2)=1,INDEX('Програма-кодове'!$C$1:$AD$1,1,MATCH($D$2,'Програма-кодове'!$C3:$AD3,0)),"Дублаж"))</f>
        <v>-</v>
      </c>
      <c r="E4" s="194" t="str">
        <f>IF(COUNTIF('Програма-кодове'!$C3:$AD3,$E$2)=0,"-",IF(COUNTIF('Програма-кодове'!$C3:$AD3,$E$2)=1,INDEX('Програма-кодове'!$C$1:$AD$1,1,MATCH($E$2,'Програма-кодове'!$C3:$AD3,0)),"Дублаж"))</f>
        <v>8a</v>
      </c>
      <c r="F4" s="194" t="str">
        <f>IF(COUNTIF('Програма-кодове'!$C3:$AD3,$F$2)=0,"-",IF(COUNTIF('Програма-кодове'!$C3:$AD3,$F$2)=1,INDEX('Програма-кодове'!$C$1:$AD$1,1,MATCH($F$2,'Програма-кодове'!$C3:$AD3,0)),"Дублаж"))</f>
        <v>10б</v>
      </c>
      <c r="G4" s="194" t="str">
        <f>IF(COUNTIF('Програма-кодове'!$C3:$AD3,$G$2)=0,"-",IF(COUNTIF('Програма-кодове'!$C3:$AD3,$G$2)=1,INDEX('Програма-кодове'!$C$1:$AD$1,1,MATCH($G$2,'Програма-кодове'!$C3:$AD3,0)),"Дублаж"))</f>
        <v>12в</v>
      </c>
      <c r="H4" s="194" t="str">
        <f>IF(COUNTIF('Програма-кодове'!$C3:$AD3,$H$2)=0,"-",IF(COUNTIF('Програма-кодове'!$C3:$AD3,$H$2)=1,INDEX('Програма-кодове'!$C$1:$AD$1,1,MATCH($H$2,'Програма-кодове'!$C3:$AD3,0)),"Дублаж"))</f>
        <v>9б</v>
      </c>
      <c r="I4" s="194" t="str">
        <f>IF(COUNTIF('Програма-кодове'!$C3:$AD3,$I$2)=0,"-",IF(COUNTIF('Програма-кодове'!$C3:$AD3,$I$2)=1,INDEX('Програма-кодове'!$C$1:$AD$1,1,MATCH($I$2,'Програма-кодове'!$C3:$AD3,0)),"Дублаж"))</f>
        <v>11д</v>
      </c>
      <c r="J4" s="194" t="str">
        <f>IF(COUNTIF('Програма-кодове'!$C3:$AD3,$J$2)=0,"-",IF(COUNTIF('Програма-кодове'!$C3:$AD3,$J$2)=1,INDEX('Програма-кодове'!$C$1:$AD$1,1,MATCH($J$2,'Програма-кодове'!$C3:$AD3,0)),"Дублаж"))</f>
        <v>8г</v>
      </c>
      <c r="K4" s="194" t="str">
        <f>IF(COUNTIF('Програма-кодове'!$C3:$AD3,$K$2)=0,"-",IF(COUNTIF('Програма-кодове'!$C3:$AD3,$K$2)=1,INDEX('Програма-кодове'!$C$1:$AD$1,1,MATCH($K$2,'Програма-кодове'!$C3:$AD3,0)),"Дублаж"))</f>
        <v>12б</v>
      </c>
      <c r="L4" s="194" t="str">
        <f>IF(COUNTIF('Програма-кодове'!$C3:$AD3,$L$2)=0,"-",IF(COUNTIF('Програма-кодове'!$C3:$AD3,$L$2)=1,INDEX('Програма-кодове'!$C$1:$AD$1,1,MATCH($L$2,'Програма-кодове'!$C3:$AD3,0)),"Дублаж"))</f>
        <v>10г</v>
      </c>
      <c r="M4" s="194" t="str">
        <f>IF(COUNTIF('Програма-кодове'!$C3:$AD3,$M$2)=0,"-",IF(COUNTIF('Програма-кодове'!$C3:$AD3,$M$2)=1,INDEX('Програма-кодове'!$C$1:$AD$1,1,MATCH($M$2,'Програма-кодове'!$C3:$AD3,0)),"Дублаж"))</f>
        <v>8б</v>
      </c>
      <c r="N4" s="194" t="str">
        <f>IF(COUNTIF('Програма-кодове'!$C3:$AD3,$N$2)=0,"-",IF(COUNTIF('Програма-кодове'!$C3:$AD3,$N$2)=1,INDEX('Програма-кодове'!$C$1:$AD$1,1,MATCH($N$2,'Програма-кодове'!$C3:$AD3,0)),"Дублаж"))</f>
        <v>8в</v>
      </c>
      <c r="O4" s="194">
        <f>IF(COUNTIF('Програма-кодове'!$C3:$AD3,$O$2)=0,"-",IF(COUNTIF('Програма-кодове'!$C3:$AD3,$O$2)=1,INDEX('Програма-кодове'!$C$1:$AD$1,1,MATCH($O$2,'Програма-кодове'!$C3:$AD3,0)),"Дублаж"))</f>
        <v>5</v>
      </c>
      <c r="P4" s="316" t="str">
        <f>IF(COUNTIF('Програма-кодове'!$C3:$AD3,$P$2)=0,"-",IF(COUNTIF('Програма-кодове'!$C3:$AD3,$P$2)=1,INDEX('Програма-кодове'!$C$1:$AD$1,1,MATCH($P$2,'Програма-кодове'!$C3:$AD3,0)),"Дублаж"))</f>
        <v>-</v>
      </c>
      <c r="Q4" s="316" t="str">
        <f>IF(COUNTIF('Програма-кодове'!$C3:$AD3,$Q$2)=0,"-",IF(COUNTIF('Програма-кодове'!$C3:$AD3,$Q$2)=1,INDEX('Програма-кодове'!$C$1:$AD$1,1,MATCH($Q$2,'Програма-кодове'!$C3:$AD3,0)),"Дублаж"))</f>
        <v>9а</v>
      </c>
      <c r="R4" s="193" t="str">
        <f t="shared" si="0"/>
        <v>-</v>
      </c>
      <c r="S4" s="193" t="str">
        <f t="shared" ref="S4:S37" si="3">IF(BO4&lt;&gt;"-",IF(AND(BQ4="-",BP4="-"),BO4,"Дублаж"),IF(AND(BQ4&lt;&gt;"-",BP4&lt;&gt;"-"),"Дублаж",IF(BQ4&lt;&gt;"-",BQ4,BP4)))</f>
        <v>11a,в</v>
      </c>
      <c r="T4" s="193" t="str">
        <f t="shared" ref="T4:T37" si="4">IF(BN4&lt;&gt;"-",IF(AND(BO4="-",BT4="-"),BN4,IF(AND(BN4="11б",BO4="11д"),"11б,д",IF(AND(BN4="12д",BO4="12а"),"12а,д",IF(AND(BN4="12в",BO4="12б"),"12б,в",IF(AND(BN4="10в",BO4="10б"),"10б,в",IF(AND(BN4="9д",BO4="9в"),"9в,д","Дублаж")))))),IF(BO4&lt;&gt;"-",IF(BT4="-",BO4,"Дублаж"),BT4))</f>
        <v>11a,в</v>
      </c>
      <c r="U4" s="194" t="str">
        <f>IF(COUNTIF('Програма-кодове'!$C3:$AD3,$U$2)=0,"-",IF(COUNTIF('Програма-кодове'!$C3:$AD3,$U$2)=1,INDEX('Програма-кодове'!$C$1:$AD$1,1,MATCH($U$2,'Програма-кодове'!$C3:$AD3,0)),"Дублаж"))</f>
        <v>12г</v>
      </c>
      <c r="V4" s="194" t="str">
        <f>IF(COUNTIF('Програма-кодове'!$C3:$AD3,$V$2)=0,"-",IF(COUNTIF('Програма-кодове'!$C3:$AD3,$V$2)=1,INDEX('Програма-кодове'!$C$1:$AD$1,1,MATCH($V$2,'Програма-кодове'!$C3:$AD3,0)),"Дублаж"))</f>
        <v>-</v>
      </c>
      <c r="W4" s="194" t="str">
        <f>IF(COUNTIF('Програма-кодове'!$C3:$AD3,$W$2)=0,"-",IF(COUNTIF('Програма-кодове'!$C3:$AD3,$W$2)=1,INDEX('Програма-кодове'!$C$1:$AD$1,1,MATCH($W$2,'Програма-кодове'!$C3:$AD3,0)),"Дублаж"))</f>
        <v>10а</v>
      </c>
      <c r="X4" s="194" t="str">
        <f>IF(COUNTIF('Програма-кодове'!$C3:$AD3,$X$2)=0,"-",IF(COUNTIF('Програма-кодове'!$C3:$AD3,$X$2)=1,INDEX('Програма-кодове'!$C$1:$AD$1,1,MATCH($X$2,'Програма-кодове'!$C3:$AD3,0)),"Дублаж"))</f>
        <v>9в</v>
      </c>
      <c r="Y4" s="194" t="str">
        <f>IF(COUNTIF('Програма-кодове'!$C3:$AD3,$Y$2)=0,"-",IF(COUNTIF('Програма-кодове'!$C3:$AD3,$Y$2)=1,INDEX('Програма-кодове'!$C$1:$AD$1,1,MATCH($Y$2,'Програма-кодове'!$C3:$AD3,0)),"Дублаж"))</f>
        <v>11б</v>
      </c>
      <c r="Z4" s="194" t="str">
        <f>IF(COUNTIF('Програма-кодове'!$C3:$AD3,$Z$2)=0,"-",IF(COUNTIF('Програма-кодове'!$C3:$AD3,$Z$2)=1,INDEX('Програма-кодове'!$C$1:$AD$1,1,MATCH($Z$2,'Програма-кодове'!$C3:$AD3,0)),"Дублаж"))</f>
        <v>-</v>
      </c>
      <c r="AA4" s="193" t="str">
        <f t="shared" ref="AA4:AA37" si="5">IF(BH4&lt;&gt;"-",IF(AND(BL4="-",BI4="-"),BH4,"Дублаж"),IF(BL4&lt;&gt;"-",IF(BI4="-",BL4,"Дублаж"),BI4))</f>
        <v>12а</v>
      </c>
      <c r="AB4" s="193" t="str">
        <f t="shared" ref="AB4:AB37" si="6">BA4</f>
        <v>-</v>
      </c>
      <c r="AC4" s="193" t="str">
        <f t="shared" ref="AC4:AC37" si="7">BD4</f>
        <v>10в</v>
      </c>
      <c r="AD4" s="193" t="str">
        <f t="shared" ref="AD4:AD37" si="8">IF(BB4&lt;&gt;"-",IF(AND(BD4="-",BJ4="-"),BB4,"Дублаж"),IF(AND(BD4&lt;&gt;"-",BJ4&lt;&gt;"-"),"Дублаж",IF(BD4&lt;&gt;"-",BD4,BJ4)))</f>
        <v>10в</v>
      </c>
      <c r="AE4" s="193" t="str">
        <f t="shared" ref="AE4:AE37" si="9">IF(BB4&lt;&gt;"-",IF(AND(BC4="-",BH4="-",BK4="-"),BB4,"Дублаж"),IF(BC4&lt;&gt;"-",IF(AND(BH4="-",BK4="-"),BC4,"Дублаж"),IF(BH4&lt;&gt;"-",IF(BK4="-",BH4,"Дублаж"),BK4)))</f>
        <v>12а</v>
      </c>
      <c r="AF4" s="193" t="str">
        <f t="shared" ref="AF4:AF37" si="10">IF(AND(BE4&lt;&gt;"-",BF4&lt;&gt;"-"),"Дублаж",IF(BE4&lt;&gt;"-",BE4,BF4))</f>
        <v>-</v>
      </c>
      <c r="AG4" s="193" t="str">
        <f t="shared" ref="AG4:AG5" si="11">IF(BA4&lt;&gt;"-",IF(AND(BC4="-",BG4="-",BF4="-",BM4="-",BI4="-"),BA4,"Дублаж"),IF(BC4&lt;&gt;"-",IF(AND(BG4="-",BF4="-",BM4="-",BI4="-"),BC4,"Дублаж"),IF(BG4&lt;&gt;"-",IF(AND(BF4="-",BM4="-",BI4="-"),BG4,"Дублаж"),IF(BF4&lt;&gt;"-",IF(AND(BM4="-",BI4="-"),BF4,"Дублаж"),IF(BM4&lt;&gt;"-",IF(BI4="-",BM4,BI4),BI4)))))</f>
        <v>8д</v>
      </c>
      <c r="AH4" s="193" t="str">
        <f t="shared" ref="AH4:AH37" si="12">IF(AND(BE4&lt;&gt;"-",BG4&lt;&gt;"-"),"Дублаж",IF(BE4&lt;&gt;"-",BE4,BG4))</f>
        <v>8д</v>
      </c>
      <c r="AI4" s="194" t="str">
        <f t="shared" ref="AI4:AI37" si="13">IF(AND(BZ4&lt;&gt;"-",BY4&lt;&gt;"-"),"Дублаж",IF(BZ4&lt;&gt;"-",BZ4,BY4))</f>
        <v>-</v>
      </c>
      <c r="AJ4" s="193" t="str">
        <f t="shared" ref="AJ4:AJ36" si="14">IF(CC4&lt;&gt;"-",IF(AND(CD4="-",CE4="-"),CC4,"Дублаж"),IF(AND(CD4&lt;&gt;"-",CE4&lt;&gt;"-"),"Дублаж",IF(CD4&lt;&gt;"-",CD4,CE4)))</f>
        <v>9д</v>
      </c>
      <c r="AK4" s="194" t="str">
        <f>IF(COUNTIF('Програма-кодове'!$C3:$AD3,$AK$2)=0,"-",IF(COUNTIF('Програма-кодове'!$C3:$AD3,$AK$2)=1,INDEX('Програма-кодове'!$C$1:$AD$1,1,MATCH($AK$2,'Програма-кодове'!$C3:$AD3,0)),"Дублаж"))</f>
        <v>-</v>
      </c>
      <c r="AL4" s="194" t="str">
        <f>IF(COUNTIF('Програма-кодове'!$C3:$AD3,$AL$2)=0,"-",IF(COUNTIF('Програма-кодове'!$C3:$AD3,$AL$2)=1,INDEX('Програма-кодове'!$C$1:$AD$1,1,MATCH($AL$2,'Програма-кодове'!$C3:$AD3,0)),"Дублаж"))</f>
        <v>-</v>
      </c>
      <c r="AM4" s="194" t="str">
        <f>IF(COUNTIF('Програма-кодове'!$C3:$AD3,$AM$2)=0,"-",IF(COUNTIF('Програма-кодове'!$C3:$AD3,$AM$2)=1,INDEX('Програма-кодове'!$C$1:$AD$1,1,MATCH($AM$2,'Програма-кодове'!$C3:$AD3,0)),"Дублаж"))</f>
        <v>-</v>
      </c>
      <c r="AN4" s="193">
        <f>IF(COUNTIF('Програма-кодове'!$C3:$AD3,$AN$2)=0,"-",IF(COUNTIF('Програма-кодове'!$C3:$AD3,$AN$2)=1,INDEX('Програма-кодове'!$C$1:$AD$1,1,MATCH($AN$2,'Програма-кодове'!$C3:$AD3,0)),"Дублаж"))</f>
        <v>6</v>
      </c>
      <c r="AO4" s="193" t="str">
        <f>IF(COUNTIF('Програма-кодове'!$C3:$AD3,$AO$2)=0,"-",IF(COUNTIF('Програма-кодове'!$C3:$AD3,$AO$2)=1,INDEX('Програма-кодове'!$C$1:$AD$1,1,MATCH($AO$2,'Програма-кодове'!$C3:$AD3,0)),"Дублаж"))</f>
        <v>12д</v>
      </c>
      <c r="AP4" s="193" t="str">
        <f>IF(COUNTIF('Програма-кодове'!$C3:$AD3,$AP$2)=0,"-",IF(COUNTIF('Програма-кодове'!$C3:$AD3,$AP$2)=1,INDEX('Програма-кодове'!$C$1:$AD$1,1,MATCH($AP$2,'Програма-кодове'!$C3:$AD3,0)),"Дублаж"))</f>
        <v>-</v>
      </c>
      <c r="AQ4" s="193" t="str">
        <f t="shared" ref="AQ4:AQ37" si="15">IF(AND(CA4&lt;&gt;"-",CB4&lt;&gt;"-"),"Дублаж",IF(CA4&lt;&gt;"-",CA4,CB4))</f>
        <v>-</v>
      </c>
      <c r="AR4" s="193" t="str">
        <f>IF(COUNTIF('Програма-кодове'!$C3:$AD3,$AR$2)=0,"-",IF(COUNTIF('Програма-кодове'!$C3:$AD3,$AR$2)=1,INDEX('Програма-кодове'!$C$1:$AD$1,1,MATCH($AR$2,'Програма-кодове'!$C3:$AD3,0)),"Дублаж"))</f>
        <v>-</v>
      </c>
      <c r="AS4" s="193" t="str">
        <f>IF(COUNTIF('Програма-кодове'!$C3:$AD3,$AS$2)=0,"-",IF(COUNTIF('Програма-кодове'!$C3:$AD3,$AS$2)=1,INDEX('Програма-кодове'!$C$1:$AD$1,1,MATCH($AS$2,'Програма-кодове'!$C3:$AD3,0)),"Дублаж"))</f>
        <v>10д</v>
      </c>
      <c r="AT4" s="193" t="str">
        <f>IF(COUNTIF('Програма-кодове'!$C3:$AD3,$AT$2)=0,"-",IF(COUNTIF('Програма-кодове'!$C3:$AD3,$AT$2)=1,INDEX('Програма-кодове'!$C$1:$AD$1,1,MATCH($AT$2,'Програма-кодове'!$C3:$AD3,0)),"Дублаж"))</f>
        <v>9г</v>
      </c>
      <c r="AU4" s="194">
        <f t="shared" si="1"/>
        <v>7</v>
      </c>
      <c r="AV4" s="194" t="str">
        <f t="shared" si="2"/>
        <v>-</v>
      </c>
      <c r="AW4" s="194" t="str">
        <f>IF(COUNTIF('Програма-кодове'!$C3:$AD3,$AW$2)=0,"-",IF(COUNTIF('Програма-кодове'!$C3:$AD3,$AW$2)=1,INDEX('Програма-кодове'!$C$1:$AD$1,1,MATCH($AW$2,'Програма-кодове'!$C3:$AD3,0)),"Дублаж"))</f>
        <v>11г</v>
      </c>
      <c r="AX4" s="245" t="str">
        <f>IF(COUNTIF('Програма-кодове'!$C3:$AD3,$AX$2)=0,"-",IF(COUNTIF('Програма-кодове'!$C3:$AD3,$AX$2)=1,INDEX('Програма-кодове'!$C$1:$AD$1,1,MATCH($AX$2,'Програма-кодове'!$C3:$AD3,0)),"Дублаж"))</f>
        <v>-</v>
      </c>
      <c r="AY4" s="194" t="str">
        <f>IF(COUNTIF('Програма-кодове'!$C3:$AD3,$AY$2)=0,"-",IF(COUNTIF('Програма-кодове'!$C3:$AD3,$AY$2)=1,INDEX('Програма-кодове'!$C$1:$AD$1,1,MATCH($AY$2,'Програма-кодове'!$C3:$AD3,0)),"Дублаж"))</f>
        <v>-</v>
      </c>
      <c r="AZ4" s="193" t="str">
        <f t="shared" ref="AZ4:AZ37" si="16">IF(AND(BS4&lt;&gt;"-",BT4&lt;&gt;"-"),"Дублаж",IF(BS4&lt;&gt;"-",BS4,BT4))</f>
        <v>-</v>
      </c>
      <c r="BA4" s="30" t="str">
        <f>IF(COUNTIF('Програма-кодове'!$C3:$AD3,$BA$2)=0,"-",IF(COUNTIF('Програма-кодове'!$C3:$AD3,$BA$2)=1,INDEX('Програма-кодове'!$C$1:$AD$1,1,MATCH($BA$2,'Програма-кодове'!$C3:$AD3,0)),"Дублаж"))</f>
        <v>-</v>
      </c>
      <c r="BB4" s="30" t="str">
        <f>IF(COUNTIF('Програма-кодове'!$C3:$AD3,$BB$2)=0,"-",IF(COUNTIF('Програма-кодове'!$C3:$AD3,$BB$2)=1,INDEX('Програма-кодове'!$C$1:$AD$1,1,MATCH($BB$2,'Програма-кодове'!$C3:$AD3,0)),"Дублаж"))</f>
        <v>-</v>
      </c>
      <c r="BC4" s="30" t="str">
        <f>IF(COUNTIF('Програма-кодове'!$C3:$AD3,$BC$2)=0,"-",IF(COUNTIF('Програма-кодове'!$C3:$AD3,$BC$2)=1,INDEX('Програма-кодове'!$C$1:$AD$1,1,MATCH($BC$2,'Програма-кодове'!$C3:$AD3,0)),"Дублаж"))</f>
        <v>-</v>
      </c>
      <c r="BD4" s="30" t="str">
        <f>IF(COUNTIF('Програма-кодове'!$C3:$AD3,$BD$2)=0,"-",IF(COUNTIF('Програма-кодове'!$C3:$AD3,$BD$2)=1,INDEX('Програма-кодове'!$C$1:$AD$1,1,MATCH($BD$2,'Програма-кодове'!$C3:$AD3,0)),"Дублаж"))</f>
        <v>10в</v>
      </c>
      <c r="BE4" s="30" t="str">
        <f>IF(COUNTIF('Програма-кодове'!$C3:$AD3,$BE$2)=0,"-",IF(COUNTIF('Програма-кодове'!$C3:$AD3,$BE$2)=1,INDEX('Програма-кодове'!$C$1:$AD$1,1,MATCH($BE$2,'Програма-кодове'!$C3:$AD3,0)),"Дублаж"))</f>
        <v>-</v>
      </c>
      <c r="BF4" s="30" t="str">
        <f>IF(COUNTIF('Програма-кодове'!$C3:$AD3,$BF$2)=0,"-",IF(COUNTIF('Програма-кодове'!$C3:$AD3,$BF$2)=1,INDEX('Програма-кодове'!$C$1:$AD$1,1,MATCH($BF$2,'Програма-кодове'!$C3:$AD3,0)),"Дублаж"))</f>
        <v>-</v>
      </c>
      <c r="BG4" s="30" t="str">
        <f>IF(COUNTIF('Програма-кодове'!$C3:$AD3,$BG$2)=0,"-",IF(COUNTIF('Програма-кодове'!$C3:$AD3,$BG$2)=1,INDEX('Програма-кодове'!$C$1:$AD$1,1,MATCH($BG$2,'Програма-кодове'!$C3:$AD3,0)),"Дублаж"))</f>
        <v>8д</v>
      </c>
      <c r="BH4" s="30" t="str">
        <f>IF(COUNTIF('Програма-кодове'!$C3:$AD3,$BH$2)=0,"-",IF(COUNTIF('Програма-кодове'!$C3:$AD3,$BH$2)=1,INDEX('Програма-кодове'!$C$1:$AD$1,1,MATCH($BH$2,'Програма-кодове'!$C3:$AD3,0)),"Дублаж"))</f>
        <v>12а</v>
      </c>
      <c r="BI4" s="94" t="str">
        <f>IF(COUNTIF('Програма-кодове'!$C3:$AD3,$BI$2)=0,"-",IF(COUNTIF('Програма-кодове'!$C3:$AD3,$BI$2)=1,INDEX('Програма-кодове'!$C$1:$AD$1,1,MATCH($BI$2,'Програма-кодове'!$C3:$AD3,0)),IF('Програма-кодове'!Z3='Програма-кодове'!AA3,"12а,б","Дублаж")))</f>
        <v>-</v>
      </c>
      <c r="BJ4" s="94" t="str">
        <f>IF(COUNTIF('Програма-кодове'!$C3:$AD3,$BJ$2)=0,"-",IF(COUNTIF('Програма-кодове'!$C3:$AD3,$BJ$2)=1,INDEX('Програма-кодове'!$C$1:$AD$1,1,MATCH($BJ$2,'Програма-кодове'!$C3:$AD3,0)),"Дублаж"))</f>
        <v>-</v>
      </c>
      <c r="BK4" s="94" t="str">
        <f>IF(COUNTIF('Програма-кодове'!$C3:$AD3,$BK$2)=0,"-",IF(COUNTIF('Програма-кодове'!$C3:$AD3,$BK$2)=1,INDEX('Програма-кодове'!$C$1:$AD$1,1,MATCH($BK$2,'Програма-кодове'!$C3:$AD3,0)),IF('Програма-кодове'!K3='Програма-кодове'!O3,"9а,д",IF('Програма-кодове'!L3='Програма-кодове'!M3,"9б,в","Дублаж"))))</f>
        <v>-</v>
      </c>
      <c r="BL4" s="30" t="str">
        <f>IF(COUNTIF('Програма-кодове'!$C3:$AD3,$BL$2)=0,"-",IF(COUNTIF('Програма-кодове'!$C3:$AD3,$BL$2)=1,INDEX('Програма-кодове'!$C$1:$AD$1,1,MATCH($BL$2,'Програма-кодове'!$C3:$AD3,0)),"Дублаж"))</f>
        <v>-</v>
      </c>
      <c r="BM4" s="30" t="str">
        <f>IF(COUNTIF('Програма-кодове'!$C3:$AD3,$BM$2)=0,"-",IF(COUNTIF('Програма-кодове'!$C3:$AD3,$BM$2)=1,INDEX('Програма-кодове'!$C$1:$AD$1,1,MATCH($BM$2,'Програма-кодове'!$C3:$AD3,0)),"Дублаж"))</f>
        <v>-</v>
      </c>
      <c r="BN4" s="77" t="str">
        <f>IF(COUNTIF('Програма-кодове'!$C3:$AD3,$BN$2)=0,"-",IF(COUNTIF('Програма-кодове'!$C3:$AD3,$BN$2)=1,INDEX('Програма-кодове'!$C$1:$AD$1,1,MATCH($BN$2,'Програма-кодове'!$C3:$AD3,0)),IF(AND('Програма-кодове'!K3='Програма-кодове'!O3,'Програма-кодове'!K3&lt;&gt;""),"9а, д", IF(AND('Програма-кодове'!U3='Програма-кодове'!W3,'Програма-кодове'!U3&lt;&gt;""),"11а,в", "Дублаж"))))</f>
        <v>-</v>
      </c>
      <c r="BO4" s="77" t="str">
        <f>IF(COUNTIF('Програма-кодове'!$C3:$AD3,$BO$2)=0,"-",IF(COUNTIF('Програма-кодове'!$C3:$AD3,$BO$2)=1,INDEX('Програма-кодове'!$C$1:$AD$1,1,MATCH($BO$2,'Програма-кодове'!$C3:$AD3,0)),IF(AND('Програма-кодове'!U3='Програма-кодове'!W3,'Програма-кодове'!U3&lt;&gt;"" ),"11a,в","Дублаж")))</f>
        <v>11a,в</v>
      </c>
      <c r="BP4" s="30" t="str">
        <f>IF(COUNTIF('Програма-кодове'!$C3:$AD3,$BP$2)=0,"-",IF(COUNTIF('Програма-кодове'!$C3:$AD3,$BP$2)=1,"9б,в,г","Дублаж"))</f>
        <v>-</v>
      </c>
      <c r="BQ4" s="30" t="str">
        <f>IF(COUNTIF('Програма-кодове'!$C3:$AD3,$BQ$2)=0,"-",IF(COUNTIF('Програма-кодове'!$C3:$AD3,$BQ$2)=1,INDEX('Програма-кодове'!$C$1:$AD$1,1,MATCH($BQ$2,'Програма-кодове'!$C3:$AD3,0)),"Дублаж"))</f>
        <v>-</v>
      </c>
      <c r="BR4" s="30" t="str">
        <f>IF(COUNTIF('Програма-кодове'!$C3:$AD3,$BR$2)=0,"-",IF(COUNTIF('Програма-кодове'!$C3:$AD3,$BR$2)=1,INDEX('Програма-кодове'!$C$1:$AD$1,1,MATCH($BR$2,'Програма-кодове'!$C3:$AD3,0)),IF('Програма-кодове'!W3='Програма-кодове'!X3,"11б,в","Дублаж")))</f>
        <v>-</v>
      </c>
      <c r="BS4" s="30" t="str">
        <f>IF(COUNTIF('Програма-кодове'!$C3:$AD3,$BS$2)=0,"-",IF(COUNTIF('Програма-кодове'!$C3:$AD3,$BS$2)=1,INDEX('Програма-кодове'!$C$1:$AD$1,1,MATCH($BS$2,'Програма-кодове'!$C3:$AD3,0)),"Дублаж"))</f>
        <v>-</v>
      </c>
      <c r="BT4" s="193" t="str">
        <f t="shared" ref="BT4:BT37" si="17">IF(AND(BP4&lt;&gt;"-",BR4&lt;&gt;"-"),"Дублаж",IF(BP4&lt;&gt;"-",BP4,BR4))</f>
        <v>-</v>
      </c>
      <c r="BU4" s="30" t="str">
        <f>IF(COUNTIF('Програма-кодове'!$C3:$AD3,$BU$2)=0,"-",IF(COUNTIF('Програма-кодове'!$C3:$AD3,$BU$2)=1,INDEX('Програма-кодове'!$C$1:$AD$1,1,MATCH($BU$2,'Програма-кодове'!$C3:$AD3,0)),"Дублаж"))</f>
        <v>-</v>
      </c>
      <c r="BV4" s="30">
        <f>IF(COUNTIF('Програма-кодове'!$C3:$AD3,$BV$2)=0,"-",IF(COUNTIF('Програма-кодове'!$C3:$AD3,$BV$2)=1,INDEX('Програма-кодове'!$C$1:$AD$1,1,MATCH($BV$2,'Програма-кодове'!$C3:$AD3,0)),"Дублаж"))</f>
        <v>7</v>
      </c>
      <c r="BW4" s="30" t="str">
        <f>IF(COUNTIF('Програма-кодове'!$C3:$AD3,$BW$2)=0,"-",IF(COUNTIF('Програма-кодове'!$C3:$AD3,$BW$2)=1,INDEX('Програма-кодове'!$C$1:$AD$1,1,MATCH($BW$2,'Програма-кодове'!$C3:$AD3,0)),"Дублаж"))</f>
        <v>-</v>
      </c>
      <c r="BX4" s="30" t="str">
        <f>IF(COUNTIF('Програма-кодове'!$C3:$AD3,$BX$2)=0,"-",IF(COUNTIF('Програма-кодове'!$C3:$AD3,$BX$2)=1,INDEX('Програма-кодове'!$C$1:$AD$1,1,MATCH($BX$2,'Програма-кодове'!$C3:$AD3,0)),"Дублаж"))</f>
        <v>-</v>
      </c>
      <c r="BY4" s="30" t="str">
        <f>IF(COUNTIF('Програма-кодове'!$C3:$AD3,$BY$2)=0,"-",IF(COUNTIF('Програма-кодове'!$C3:$AD3,$BY$2)=1,INDEX('Програма-кодове'!$C$1:$AD$1,1,MATCH($BY$2,'Програма-кодове'!$C3:$AD3,0)),"Дублаж"))</f>
        <v>-</v>
      </c>
      <c r="BZ4" s="30" t="str">
        <f>IF(COUNTIF('Програма-кодове'!$C3:$AD3,$BZ$2)=0,"-",IF(COUNTIF('Програма-кодове'!$C3:$AD3,$BZ$2)=1,INDEX('Програма-кодове'!$C$1:$AD$1,1,MATCH($BZ$2,'Програма-кодове'!$C3:$AD3,0)),"Дублаж"))</f>
        <v>-</v>
      </c>
      <c r="CA4" s="30" t="str">
        <f>IF(COUNTIF('Програма-кодове'!$C3:$AD3,$CA$2)=0,"-",IF(COUNTIF('Програма-кодове'!$C3:$AD3,$CA$2)=1,INDEX('Програма-кодове'!$C$1:$AD$1,1,MATCH($CA$2,'Програма-кодове'!$C3:$AD3,0)),"Дублаж"))</f>
        <v>-</v>
      </c>
      <c r="CB4" s="30" t="str">
        <f>IF(COUNTIF('Програма-кодове'!$C3:$AD3,$CB$2)=0,"-",IF(COUNTIF('Програма-кодове'!$C3:$AD3,$CB$2)=1,INDEX('Програма-кодове'!$C$1:$AD$1,1,MATCH($CB$2,'Програма-кодове'!$C3:$AD3,0)),"Дублаж"))</f>
        <v>-</v>
      </c>
      <c r="CC4" s="30" t="str">
        <f>IF(COUNTIF('Програма-кодове'!$C3:$AD3,$CC$2)=0,"-",IF(COUNTIF('Програма-кодове'!$C3:$AD3,$CC$2)=1,INDEX('Програма-кодове'!$C$1:$AD$1,1,MATCH($CC$2,'Програма-кодове'!$C3:$AD3,0)),"Дублаж"))</f>
        <v>-</v>
      </c>
      <c r="CD4" s="30" t="str">
        <f>IF(COUNTIF('Програма-кодове'!$C3:$AD3,$CD$2)=0,"-",IF(COUNTIF('Програма-кодове'!$C3:$AD3,$CD$2)=1,INDEX('Програма-кодове'!$C$1:$AD$1,1,MATCH($CD$2,'Програма-кодове'!$C3:$AD3,0)),"Дублаж"))</f>
        <v>9д</v>
      </c>
      <c r="CE4" s="30" t="str">
        <f>IF(COUNTIF('Програма-кодове'!$C3:$AD3,$CE$2)=0,"-",IF(COUNTIF('Програма-кодове'!$C3:$AD3,$CE$2)=1,INDEX('Програма-кодове'!$C$1:$AD$1,1,MATCH($CE$2,'Програма-кодове'!$C3:$AD3,0)),"Дублаж"))</f>
        <v>-</v>
      </c>
    </row>
    <row r="5" spans="1:83" ht="13.5" customHeight="1">
      <c r="A5" s="367"/>
      <c r="B5" s="330">
        <v>3</v>
      </c>
      <c r="C5" s="194" t="str">
        <f>IF(COUNTIF('Програма-кодове'!$C4:$AD4,$C$2)=0,"-",IF(COUNTIF('Програма-кодове'!$C4:$AD4,$C$2)=1,INDEX('Програма-кодове'!$C$1:$AD$1,1,MATCH($C$2,'Програма-кодове'!$C4:$AD4,0)),"Дублаж"))</f>
        <v>-</v>
      </c>
      <c r="D5" s="194" t="str">
        <f>IF(COUNTIF('Програма-кодове'!$C4:$AD4,$D$2)=0,"-",IF(COUNTIF('Програма-кодове'!$C4:$AD4,$D$2)=1,INDEX('Програма-кодове'!$C$1:$AD$1,1,MATCH($D$2,'Програма-кодове'!$C4:$AD4,0)),"Дублаж"))</f>
        <v>-</v>
      </c>
      <c r="E5" s="194" t="str">
        <f>IF(COUNTIF('Програма-кодове'!$C4:$AD4,$E$2)=0,"-",IF(COUNTIF('Програма-кодове'!$C4:$AD4,$E$2)=1,INDEX('Програма-кодове'!$C$1:$AD$1,1,MATCH($E$2,'Програма-кодове'!$C4:$AD4,0)),"Дублаж"))</f>
        <v>-</v>
      </c>
      <c r="F5" s="194" t="str">
        <f>IF(COUNTIF('Програма-кодове'!$C4:$AD4,$F$2)=0,"-",IF(COUNTIF('Програма-кодове'!$C4:$AD4,$F$2)=1,INDEX('Програма-кодове'!$C$1:$AD$1,1,MATCH($F$2,'Програма-кодове'!$C4:$AD4,0)),"Дублаж"))</f>
        <v>10б</v>
      </c>
      <c r="G5" s="194" t="str">
        <f>IF(COUNTIF('Програма-кодове'!$C4:$AD4,$G$2)=0,"-",IF(COUNTIF('Програма-кодове'!$C4:$AD4,$G$2)=1,INDEX('Програма-кодове'!$C$1:$AD$1,1,MATCH($G$2,'Програма-кодове'!$C4:$AD4,0)),"Дублаж"))</f>
        <v>12д</v>
      </c>
      <c r="H5" s="346" t="str">
        <f>IF(COUNTIF('Програма-кодове'!$C4:$AD4,$H$2)=0,"-",IF(COUNTIF('Програма-кодове'!$C4:$AD4,$H$2)=1,INDEX('Програма-кодове'!$C$1:$AD$1,1,MATCH($H$2,'Програма-кодове'!$C4:$AD4,0)),"Дублаж"))</f>
        <v>-</v>
      </c>
      <c r="I5" s="194" t="str">
        <f>IF(COUNTIF('Програма-кодове'!$C4:$AD4,$I$2)=0,"-",IF(COUNTIF('Програма-кодове'!$C4:$AD4,$I$2)=1,INDEX('Програма-кодове'!$C$1:$AD$1,1,MATCH($I$2,'Програма-кодове'!$C4:$AD4,0)),"Дублаж"))</f>
        <v>11г</v>
      </c>
      <c r="J5" s="194" t="str">
        <f>IF(COUNTIF('Програма-кодове'!$C4:$AD4,$J$2)=0,"-",IF(COUNTIF('Програма-кодове'!$C4:$AD4,$J$2)=1,INDEX('Програма-кодове'!$C$1:$AD$1,1,MATCH($J$2,'Програма-кодове'!$C4:$AD4,0)),"Дублаж"))</f>
        <v>8г</v>
      </c>
      <c r="K5" s="194" t="str">
        <f>IF(COUNTIF('Програма-кодове'!$C4:$AD4,$K$2)=0,"-",IF(COUNTIF('Програма-кодове'!$C4:$AD4,$K$2)=1,INDEX('Програма-кодове'!$C$1:$AD$1,1,MATCH($K$2,'Програма-кодове'!$C4:$AD4,0)),"Дублаж"))</f>
        <v>-</v>
      </c>
      <c r="L5" s="194" t="str">
        <f>IF(COUNTIF('Програма-кодове'!$C4:$AD4,$L$2)=0,"-",IF(COUNTIF('Програма-кодове'!$C4:$AD4,$L$2)=1,INDEX('Програма-кодове'!$C$1:$AD$1,1,MATCH($L$2,'Програма-кодове'!$C4:$AD4,0)),"Дублаж"))</f>
        <v>10в</v>
      </c>
      <c r="M5" s="194" t="str">
        <f>IF(COUNTIF('Програма-кодове'!$C4:$AD4,$M$2)=0,"-",IF(COUNTIF('Програма-кодове'!$C4:$AD4,$M$2)=1,INDEX('Програма-кодове'!$C$1:$AD$1,1,MATCH($M$2,'Програма-кодове'!$C4:$AD4,0)),"Дублаж"))</f>
        <v>8б</v>
      </c>
      <c r="N5" s="194" t="str">
        <f>IF(COUNTIF('Програма-кодове'!$C4:$AD4,$N$2)=0,"-",IF(COUNTIF('Програма-кодове'!$C4:$AD4,$N$2)=1,INDEX('Програма-кодове'!$C$1:$AD$1,1,MATCH($N$2,'Програма-кодове'!$C4:$AD4,0)),"Дублаж"))</f>
        <v>8в</v>
      </c>
      <c r="O5" s="194" t="str">
        <f>IF(COUNTIF('Програма-кодове'!$C4:$AD4,$O$2)=0,"-",IF(COUNTIF('Програма-кодове'!$C4:$AD4,$O$2)=1,INDEX('Програма-кодове'!$C$1:$AD$1,1,MATCH($O$2,'Програма-кодове'!$C4:$AD4,0)),"Дублаж"))</f>
        <v>8д</v>
      </c>
      <c r="P5" s="316" t="str">
        <f>IF(COUNTIF('Програма-кодове'!$C4:$AD4,$P$2)=0,"-",IF(COUNTIF('Програма-кодове'!$C4:$AD4,$P$2)=1,INDEX('Програма-кодове'!$C$1:$AD$1,1,MATCH($P$2,'Програма-кодове'!$C4:$AD4,0)),"Дублаж"))</f>
        <v>-</v>
      </c>
      <c r="Q5" s="316" t="str">
        <f>IF(COUNTIF('Програма-кодове'!$C4:$AD4,$Q$2)=0,"-",IF(COUNTIF('Програма-кодове'!$C4:$AD4,$Q$2)=1,INDEX('Програма-кодове'!$C$1:$AD$1,1,MATCH($Q$2,'Програма-кодове'!$C4:$AD4,0)),"Дублаж"))</f>
        <v>9в</v>
      </c>
      <c r="R5" s="193" t="str">
        <f t="shared" si="0"/>
        <v>-</v>
      </c>
      <c r="S5" s="193" t="str">
        <f t="shared" si="3"/>
        <v>12г</v>
      </c>
      <c r="T5" s="193" t="str">
        <f t="shared" si="4"/>
        <v>-</v>
      </c>
      <c r="U5" s="194" t="str">
        <f>IF(COUNTIF('Програма-кодове'!$C4:$AD4,$U$2)=0,"-",IF(COUNTIF('Програма-кодове'!$C4:$AD4,$U$2)=1,INDEX('Програма-кодове'!$C$1:$AD$1,1,MATCH($U$2,'Програма-кодове'!$C4:$AD4,0)),"Дублаж"))</f>
        <v>12а</v>
      </c>
      <c r="V5" s="194" t="str">
        <f>IF(COUNTIF('Програма-кодове'!$C4:$AD4,$V$2)=0,"-",IF(COUNTIF('Програма-кодове'!$C4:$AD4,$V$2)=1,INDEX('Програма-кодове'!$C$1:$AD$1,1,MATCH($V$2,'Програма-кодове'!$C4:$AD4,0)),"Дублаж"))</f>
        <v>-</v>
      </c>
      <c r="W5" s="194" t="str">
        <f>IF(COUNTIF('Програма-кодове'!$C4:$AD4,$W$2)=0,"-",IF(COUNTIF('Програма-кодове'!$C4:$AD4,$W$2)=1,INDEX('Програма-кодове'!$C$1:$AD$1,1,MATCH($W$2,'Програма-кодове'!$C4:$AD4,0)),"Дублаж"))</f>
        <v>10а</v>
      </c>
      <c r="X5" s="194" t="str">
        <f>IF(COUNTIF('Програма-кодове'!$C4:$AD4,$X$2)=0,"-",IF(COUNTIF('Програма-кодове'!$C4:$AD4,$X$2)=1,INDEX('Програма-кодове'!$C$1:$AD$1,1,MATCH($X$2,'Програма-кодове'!$C4:$AD4,0)),"Дублаж"))</f>
        <v>12б</v>
      </c>
      <c r="Y5" s="194" t="str">
        <f>IF(COUNTIF('Програма-кодове'!$C4:$AD4,$Y$2)=0,"-",IF(COUNTIF('Програма-кодове'!$C4:$AD4,$Y$2)=1,INDEX('Програма-кодове'!$C$1:$AD$1,1,MATCH($Y$2,'Програма-кодове'!$C4:$AD4,0)),"Дублаж"))</f>
        <v>11в</v>
      </c>
      <c r="Z5" s="194">
        <f>IF(COUNTIF('Програма-кодове'!$C4:$AD4,$Z$2)=0,"-",IF(COUNTIF('Програма-кодове'!$C4:$AD4,$Z$2)=1,INDEX('Програма-кодове'!$C$1:$AD$1,1,MATCH($Z$2,'Програма-кодове'!$C4:$AD4,0)),"Дублаж"))</f>
        <v>6</v>
      </c>
      <c r="AA5" s="193" t="str">
        <f t="shared" si="5"/>
        <v>12в</v>
      </c>
      <c r="AB5" s="193" t="str">
        <f t="shared" si="6"/>
        <v>-</v>
      </c>
      <c r="AC5" s="193" t="str">
        <f t="shared" si="7"/>
        <v>10д</v>
      </c>
      <c r="AD5" s="193" t="str">
        <f t="shared" si="8"/>
        <v>10д</v>
      </c>
      <c r="AE5" s="193" t="str">
        <f t="shared" si="9"/>
        <v>12в</v>
      </c>
      <c r="AF5" s="193" t="str">
        <f t="shared" si="10"/>
        <v>-</v>
      </c>
      <c r="AG5" s="193" t="str">
        <f t="shared" si="11"/>
        <v>8a</v>
      </c>
      <c r="AH5" s="193" t="str">
        <f t="shared" si="12"/>
        <v>8a</v>
      </c>
      <c r="AI5" s="194">
        <f t="shared" si="13"/>
        <v>7</v>
      </c>
      <c r="AJ5" s="193" t="str">
        <f t="shared" si="14"/>
        <v>9а</v>
      </c>
      <c r="AK5" s="194" t="str">
        <f>IF(COUNTIF('Програма-кодове'!$C4:$AD4,$AK$2)=0,"-",IF(COUNTIF('Програма-кодове'!$C4:$AD4,$AK$2)=1,INDEX('Програма-кодове'!$C$1:$AD$1,1,MATCH($AK$2,'Програма-кодове'!$C4:$AD4,0)),"Дублаж"))</f>
        <v>11б</v>
      </c>
      <c r="AL5" s="194" t="str">
        <f>IF(COUNTIF('Програма-кодове'!$C4:$AD4,$AL$2)=0,"-",IF(COUNTIF('Програма-кодове'!$C4:$AD4,$AL$2)=1,INDEX('Програма-кодове'!$C$1:$AD$1,1,MATCH($AL$2,'Програма-кодове'!$C4:$AD4,0)),"Дублаж"))</f>
        <v>10г</v>
      </c>
      <c r="AM5" s="194" t="str">
        <f>IF(COUNTIF('Програма-кодове'!$C4:$AD4,$AM$2)=0,"-",IF(COUNTIF('Програма-кодове'!$C4:$AD4,$AM$2)=1,INDEX('Програма-кодове'!$C$1:$AD$1,1,MATCH($AM$2,'Програма-кодове'!$C4:$AD4,0)),"Дублаж"))</f>
        <v>-</v>
      </c>
      <c r="AN5" s="346" t="str">
        <f>IF(COUNTIF('Програма-кодове'!$C4:$AD4,$AN$2)=0,"-",IF(COUNTIF('Програма-кодове'!$C4:$AD4,$AN$2)=1,INDEX('Програма-кодове'!$C$1:$AD$1,1,MATCH($AN$2,'Програма-кодове'!$C4:$AD4,0)),"Дублаж"))</f>
        <v>-</v>
      </c>
      <c r="AO5" s="346" t="str">
        <f>IF(COUNTIF('Програма-кодове'!$C4:$AD4,$AO$2)=0,"-",IF(COUNTIF('Програма-кодове'!$C4:$AD4,$AO$2)=1,INDEX('Програма-кодове'!$C$1:$AD$1,1,MATCH($AO$2,'Програма-кодове'!$C4:$AD4,0)),"Дублаж"))</f>
        <v>9г</v>
      </c>
      <c r="AP5" s="346" t="str">
        <f>IF(COUNTIF('Програма-кодове'!$C4:$AD4,$AP$2)=0,"-",IF(COUNTIF('Програма-кодове'!$C4:$AD4,$AP$2)=1,INDEX('Програма-кодове'!$C$1:$AD$1,1,MATCH($AP$2,'Програма-кодове'!$C4:$AD4,0)),"Дублаж"))</f>
        <v>-</v>
      </c>
      <c r="AQ5" s="346" t="str">
        <f t="shared" si="15"/>
        <v>9б</v>
      </c>
      <c r="AR5" s="346" t="str">
        <f>IF(COUNTIF('Програма-кодове'!$C4:$AD4,$AR$2)=0,"-",IF(COUNTIF('Програма-кодове'!$C4:$AD4,$AR$2)=1,INDEX('Програма-кодове'!$C$1:$AD$1,1,MATCH($AR$2,'Програма-кодове'!$C4:$AD4,0)),"Дублаж"))</f>
        <v>9д</v>
      </c>
      <c r="AS5" s="346" t="str">
        <f>IF(COUNTIF('Програма-кодове'!$C4:$AD4,$AS$2)=0,"-",IF(COUNTIF('Програма-кодове'!$C4:$AD4,$AS$2)=1,INDEX('Програма-кодове'!$C$1:$AD$1,1,MATCH($AS$2,'Програма-кодове'!$C4:$AD4,0)),"Дублаж"))</f>
        <v>11а</v>
      </c>
      <c r="AT5" s="346" t="str">
        <f>IF(COUNTIF('Програма-кодове'!$C4:$AD4,$AT$2)=0,"-",IF(COUNTIF('Програма-кодове'!$C4:$AD4,$AT$2)=1,INDEX('Програма-кодове'!$C$1:$AD$1,1,MATCH($AT$2,'Програма-кодове'!$C4:$AD4,0)),"Дублаж"))</f>
        <v>11д</v>
      </c>
      <c r="AU5" s="194" t="str">
        <f t="shared" si="1"/>
        <v>-</v>
      </c>
      <c r="AV5" s="194">
        <f t="shared" si="2"/>
        <v>5</v>
      </c>
      <c r="AW5" s="194" t="str">
        <f>IF(COUNTIF('Програма-кодове'!$C4:$AD4,$AW$2)=0,"-",IF(COUNTIF('Програма-кодове'!$C4:$AD4,$AW$2)=1,INDEX('Програма-кодове'!$C$1:$AD$1,1,MATCH($AW$2,'Програма-кодове'!$C4:$AD4,0)),"Дублаж"))</f>
        <v>-</v>
      </c>
      <c r="AX5" s="245" t="str">
        <f>IF(COUNTIF('Програма-кодове'!$C4:$AD4,$AX$2)=0,"-",IF(COUNTIF('Програма-кодове'!$C4:$AD4,$AX$2)=1,INDEX('Програма-кодове'!$C$1:$AD$1,1,MATCH($AX$2,'Програма-кодове'!$C4:$AD4,0)),"Дублаж"))</f>
        <v>-</v>
      </c>
      <c r="AY5" s="194" t="str">
        <f>IF(COUNTIF('Програма-кодове'!$C4:$AD4,$AY$2)=0,"-",IF(COUNTIF('Програма-кодове'!$C4:$AD4,$AY$2)=1,INDEX('Програма-кодове'!$C$1:$AD$1,1,MATCH($AY$2,'Програма-кодове'!$C4:$AD4,0)),"Дублаж"))</f>
        <v>-</v>
      </c>
      <c r="AZ5" s="193" t="str">
        <f t="shared" si="16"/>
        <v>-</v>
      </c>
      <c r="BA5" s="30" t="str">
        <f>IF(COUNTIF('Програма-кодове'!$C4:$AD4,$BA$2)=0,"-",IF(COUNTIF('Програма-кодове'!$C4:$AD4,$BA$2)=1,INDEX('Програма-кодове'!$C$1:$AD$1,1,MATCH($BA$2,'Програма-кодове'!$C4:$AD4,0)),"Дублаж"))</f>
        <v>-</v>
      </c>
      <c r="BB5" s="30" t="str">
        <f>IF(COUNTIF('Програма-кодове'!$C4:$AD4,$BB$2)=0,"-",IF(COUNTIF('Програма-кодове'!$C4:$AD4,$BB$2)=1,INDEX('Програма-кодове'!$C$1:$AD$1,1,MATCH($BB$2,'Програма-кодове'!$C4:$AD4,0)),"Дублаж"))</f>
        <v>-</v>
      </c>
      <c r="BC5" s="30" t="str">
        <f>IF(COUNTIF('Програма-кодове'!$C4:$AD4,$BC$2)=0,"-",IF(COUNTIF('Програма-кодове'!$C4:$AD4,$BC$2)=1,INDEX('Програма-кодове'!$C$1:$AD$1,1,MATCH($BC$2,'Програма-кодове'!$C4:$AD4,0)),"Дублаж"))</f>
        <v>-</v>
      </c>
      <c r="BD5" s="30" t="str">
        <f>IF(COUNTIF('Програма-кодове'!$C4:$AD4,$BD$2)=0,"-",IF(COUNTIF('Програма-кодове'!$C4:$AD4,$BD$2)=1,INDEX('Програма-кодове'!$C$1:$AD$1,1,MATCH($BD$2,'Програма-кодове'!$C4:$AD4,0)),"Дублаж"))</f>
        <v>10д</v>
      </c>
      <c r="BE5" s="30" t="str">
        <f>IF(COUNTIF('Програма-кодове'!$C4:$AD4,$BE$2)=0,"-",IF(COUNTIF('Програма-кодове'!$C4:$AD4,$BE$2)=1,INDEX('Програма-кодове'!$C$1:$AD$1,1,MATCH($BE$2,'Програма-кодове'!$C4:$AD4,0)),"Дублаж"))</f>
        <v>-</v>
      </c>
      <c r="BF5" s="30" t="str">
        <f>IF(COUNTIF('Програма-кодове'!$C4:$AD4,$BF$2)=0,"-",IF(COUNTIF('Програма-кодове'!$C4:$AD4,$BF$2)=1,INDEX('Програма-кодове'!$C$1:$AD$1,1,MATCH($BF$2,'Програма-кодове'!$C4:$AD4,0)),"Дублаж"))</f>
        <v>-</v>
      </c>
      <c r="BG5" s="30" t="str">
        <f>IF(COUNTIF('Програма-кодове'!$C4:$AD4,$BG$2)=0,"-",IF(COUNTIF('Програма-кодове'!$C4:$AD4,$BG$2)=1,INDEX('Програма-кодове'!$C$1:$AD$1,1,MATCH($BG$2,'Програма-кодове'!$C4:$AD4,0)),"Дублаж"))</f>
        <v>8a</v>
      </c>
      <c r="BH5" s="30" t="str">
        <f>IF(COUNTIF('Програма-кодове'!$C4:$AD4,$BH$2)=0,"-",IF(COUNTIF('Програма-кодове'!$C4:$AD4,$BH$2)=1,INDEX('Програма-кодове'!$C$1:$AD$1,1,MATCH($BH$2,'Програма-кодове'!$C4:$AD4,0)),"Дублаж"))</f>
        <v>12в</v>
      </c>
      <c r="BI5" s="94" t="str">
        <f>IF(COUNTIF('Програма-кодове'!$C4:$AD4,$BI$2)=0,"-",IF(COUNTIF('Програма-кодове'!$C4:$AD4,$BI$2)=1,INDEX('Програма-кодове'!$C$1:$AD$1,1,MATCH($BI$2,'Програма-кодове'!$C4:$AD4,0)),IF('Програма-кодове'!Z4='Програма-кодове'!AA4,"12а,б","Дублаж")))</f>
        <v>-</v>
      </c>
      <c r="BJ5" s="94" t="str">
        <f>IF(COUNTIF('Програма-кодове'!$C4:$AD4,$BJ$2)=0,"-",IF(COUNTIF('Програма-кодове'!$C4:$AD4,$BJ$2)=1,INDEX('Програма-кодове'!$C$1:$AD$1,1,MATCH($BJ$2,'Програма-кодове'!$C4:$AD4,0)),"Дублаж"))</f>
        <v>-</v>
      </c>
      <c r="BK5" s="94" t="str">
        <f>IF(COUNTIF('Програма-кодове'!$C4:$AD4,$BK$2)=0,"-",IF(COUNTIF('Програма-кодове'!$C4:$AD4,$BK$2)=1,INDEX('Програма-кодове'!$C$1:$AD$1,1,MATCH($BK$2,'Програма-кодове'!$C4:$AD4,0)),IF('Програма-кодове'!K4='Програма-кодове'!O4,"9а,д",IF('Програма-кодове'!L4='Програма-кодове'!M4,"9б,в","Дублаж"))))</f>
        <v>-</v>
      </c>
      <c r="BL5" s="30" t="str">
        <f>IF(COUNTIF('Програма-кодове'!$C4:$AD4,$BL$2)=0,"-",IF(COUNTIF('Програма-кодове'!$C4:$AD4,$BL$2)=1,INDEX('Програма-кодове'!$C$1:$AD$1,1,MATCH($BL$2,'Програма-кодове'!$C4:$AD4,0)),"Дублаж"))</f>
        <v>-</v>
      </c>
      <c r="BM5" s="30" t="str">
        <f>IF(COUNTIF('Програма-кодове'!$C4:$AD4,$BM$2)=0,"-",IF(COUNTIF('Програма-кодове'!$C4:$AD4,$BM$2)=1,INDEX('Програма-кодове'!$C$1:$AD$1,1,MATCH($BM$2,'Програма-кодове'!$C4:$AD4,0)),"Дублаж"))</f>
        <v>-</v>
      </c>
      <c r="BN5" s="77" t="str">
        <f>IF(COUNTIF('Програма-кодове'!$C4:$AD4,$BN$2)=0,"-",IF(COUNTIF('Програма-кодове'!$C4:$AD4,$BN$2)=1,INDEX('Програма-кодове'!$C$1:$AD$1,1,MATCH($BN$2,'Програма-кодове'!$C4:$AD4,0)),IF(AND('Програма-кодове'!K4='Програма-кодове'!O4,'Програма-кодове'!K4&lt;&gt;""),"9а, д", IF(AND('Програма-кодове'!U4='Програма-кодове'!W4,'Програма-кодове'!U4&lt;&gt;""),"11а,в", "Дублаж"))))</f>
        <v>-</v>
      </c>
      <c r="BO5" s="77" t="str">
        <f>IF(COUNTIF('Програма-кодове'!$C4:$AD4,$BO$2)=0,"-",IF(COUNTIF('Програма-кодове'!$C4:$AD4,$BO$2)=1,INDEX('Програма-кодове'!$C$1:$AD$1,1,MATCH($BO$2,'Програма-кодове'!$C4:$AD4,0)),IF(AND('Програма-кодове'!U4='Програма-кодове'!W4,'Програма-кодове'!U4&lt;&gt;"" ),"11a,в","Дублаж")))</f>
        <v>-</v>
      </c>
      <c r="BP5" s="30" t="str">
        <f>IF(COUNTIF('Програма-кодове'!$C4:$AD4,$BP$2)=0,"-",IF(COUNTIF('Програма-кодове'!$C4:$AD4,$BP$2)=1,"9б,в,г","Дублаж"))</f>
        <v>-</v>
      </c>
      <c r="BQ5" s="30" t="str">
        <f>IF(COUNTIF('Програма-кодове'!$C4:$AD4,$BQ$2)=0,"-",IF(COUNTIF('Програма-кодове'!$C4:$AD4,$BQ$2)=1,INDEX('Програма-кодове'!$C$1:$AD$1,1,MATCH($BQ$2,'Програма-кодове'!$C4:$AD4,0)),"Дублаж"))</f>
        <v>12г</v>
      </c>
      <c r="BR5" s="30" t="str">
        <f>IF(COUNTIF('Програма-кодове'!$C4:$AD4,$BR$2)=0,"-",IF(COUNTIF('Програма-кодове'!$C4:$AD4,$BR$2)=1,INDEX('Програма-кодове'!$C$1:$AD$1,1,MATCH($BR$2,'Програма-кодове'!$C4:$AD4,0)),IF('Програма-кодове'!W4='Програма-кодове'!X4,"11б,в","Дублаж")))</f>
        <v>-</v>
      </c>
      <c r="BS5" s="30" t="str">
        <f>IF(COUNTIF('Програма-кодове'!$C4:$AD4,$BS$2)=0,"-",IF(COUNTIF('Програма-кодове'!$C4:$AD4,$BS$2)=1,INDEX('Програма-кодове'!$C$1:$AD$1,1,MATCH($BS$2,'Програма-кодове'!$C4:$AD4,0)),"Дублаж"))</f>
        <v>-</v>
      </c>
      <c r="BT5" s="193" t="str">
        <f t="shared" si="17"/>
        <v>-</v>
      </c>
      <c r="BU5" s="30" t="str">
        <f>IF(COUNTIF('Програма-кодове'!$C4:$AD4,$BU$2)=0,"-",IF(COUNTIF('Програма-кодове'!$C4:$AD4,$BU$2)=1,INDEX('Програма-кодове'!$C$1:$AD$1,1,MATCH($BU$2,'Програма-кодове'!$C4:$AD4,0)),"Дублаж"))</f>
        <v>-</v>
      </c>
      <c r="BV5" s="30" t="str">
        <f>IF(COUNTIF('Програма-кодове'!$C4:$AD4,$BV$2)=0,"-",IF(COUNTIF('Програма-кодове'!$C4:$AD4,$BV$2)=1,INDEX('Програма-кодове'!$C$1:$AD$1,1,MATCH($BV$2,'Програма-кодове'!$C4:$AD4,0)),"Дублаж"))</f>
        <v>-</v>
      </c>
      <c r="BW5" s="30" t="str">
        <f>IF(COUNTIF('Програма-кодове'!$C4:$AD4,$BW$2)=0,"-",IF(COUNTIF('Програма-кодове'!$C4:$AD4,$BW$2)=1,INDEX('Програма-кодове'!$C$1:$AD$1,1,MATCH($BW$2,'Програма-кодове'!$C4:$AD4,0)),"Дублаж"))</f>
        <v>-</v>
      </c>
      <c r="BX5" s="30">
        <f>IF(COUNTIF('Програма-кодове'!$C4:$AD4,$BX$2)=0,"-",IF(COUNTIF('Програма-кодове'!$C4:$AD4,$BX$2)=1,INDEX('Програма-кодове'!$C$1:$AD$1,1,MATCH($BX$2,'Програма-кодове'!$C4:$AD4,0)),"Дублаж"))</f>
        <v>5</v>
      </c>
      <c r="BY5" s="30">
        <f>IF(COUNTIF('Програма-кодове'!$C4:$AD4,$BY$2)=0,"-",IF(COUNTIF('Програма-кодове'!$C4:$AD4,$BY$2)=1,INDEX('Програма-кодове'!$C$1:$AD$1,1,MATCH($BY$2,'Програма-кодове'!$C4:$AD4,0)),"Дублаж"))</f>
        <v>7</v>
      </c>
      <c r="BZ5" s="30" t="str">
        <f>IF(COUNTIF('Програма-кодове'!$C4:$AD4,$BZ$2)=0,"-",IF(COUNTIF('Програма-кодове'!$C4:$AD4,$BZ$2)=1,INDEX('Програма-кодове'!$C$1:$AD$1,1,MATCH($BZ$2,'Програма-кодове'!$C4:$AD4,0)),"Дублаж"))</f>
        <v>-</v>
      </c>
      <c r="CA5" s="30" t="str">
        <f>IF(COUNTIF('Програма-кодове'!$C4:$AD4,$CA$2)=0,"-",IF(COUNTIF('Програма-кодове'!$C4:$AD4,$CA$2)=1,INDEX('Програма-кодове'!$C$1:$AD$1,1,MATCH($CA$2,'Програма-кодове'!$C4:$AD4,0)),"Дублаж"))</f>
        <v>-</v>
      </c>
      <c r="CB5" s="30" t="str">
        <f>IF(COUNTIF('Програма-кодове'!$C4:$AD4,$CB$2)=0,"-",IF(COUNTIF('Програма-кодове'!$C4:$AD4,$CB$2)=1,INDEX('Програма-кодове'!$C$1:$AD$1,1,MATCH($CB$2,'Програма-кодове'!$C4:$AD4,0)),"Дублаж"))</f>
        <v>9б</v>
      </c>
      <c r="CC5" s="30" t="str">
        <f>IF(COUNTIF('Програма-кодове'!$C4:$AD4,$CC$2)=0,"-",IF(COUNTIF('Програма-кодове'!$C4:$AD4,$CC$2)=1,INDEX('Програма-кодове'!$C$1:$AD$1,1,MATCH($CC$2,'Програма-кодове'!$C4:$AD4,0)),"Дублаж"))</f>
        <v>9а</v>
      </c>
      <c r="CD5" s="30" t="str">
        <f>IF(COUNTIF('Програма-кодове'!$C4:$AD4,$CD$2)=0,"-",IF(COUNTIF('Програма-кодове'!$C4:$AD4,$CD$2)=1,INDEX('Програма-кодове'!$C$1:$AD$1,1,MATCH($CD$2,'Програма-кодове'!$C4:$AD4,0)),"Дублаж"))</f>
        <v>-</v>
      </c>
      <c r="CE5" s="30" t="str">
        <f>IF(COUNTIF('Програма-кодове'!$C4:$AD4,$CE$2)=0,"-",IF(COUNTIF('Програма-кодове'!$C4:$AD4,$CE$2)=1,INDEX('Програма-кодове'!$C$1:$AD$1,1,MATCH($CE$2,'Програма-кодове'!$C4:$AD4,0)),"Дублаж"))</f>
        <v>-</v>
      </c>
    </row>
    <row r="6" spans="1:83" ht="13.5" customHeight="1">
      <c r="A6" s="367"/>
      <c r="B6" s="330">
        <v>4</v>
      </c>
      <c r="C6" s="194" t="str">
        <f>IF(COUNTIF('Програма-кодове'!$C5:$AD5,$C$2)=0,"-",IF(COUNTIF('Програма-кодове'!$C5:$AD5,$C$2)=1,INDEX('Програма-кодове'!$C$1:$AD$1,1,MATCH($C$2,'Програма-кодове'!$C5:$AD5,0)),"Дублаж"))</f>
        <v>-</v>
      </c>
      <c r="D6" s="194" t="str">
        <f>IF(COUNTIF('Програма-кодове'!$C5:$AD5,$D$2)=0,"-",IF(COUNTIF('Програма-кодове'!$C5:$AD5,$D$2)=1,INDEX('Програма-кодове'!$C$1:$AD$1,1,MATCH($D$2,'Програма-кодове'!$C5:$AD5,0)),"Дублаж"))</f>
        <v>-</v>
      </c>
      <c r="E6" s="194">
        <f>IF(COUNTIF('Програма-кодове'!$C5:$AD5,$E$2)=0,"-",IF(COUNTIF('Програма-кодове'!$C5:$AD5,$E$2)=1,INDEX('Програма-кодове'!$C$1:$AD$1,1,MATCH($E$2,'Програма-кодове'!$C5:$AD5,0)),"Дублаж"))</f>
        <v>7</v>
      </c>
      <c r="F6" s="194" t="str">
        <f>IF(COUNTIF('Програма-кодове'!$C5:$AD5,$F$2)=0,"-",IF(COUNTIF('Програма-кодове'!$C5:$AD5,$F$2)=1,INDEX('Програма-кодове'!$C$1:$AD$1,1,MATCH($F$2,'Програма-кодове'!$C5:$AD5,0)),"Дублаж"))</f>
        <v>-</v>
      </c>
      <c r="G6" s="194" t="str">
        <f>IF(COUNTIF('Програма-кодове'!$C5:$AD5,$G$2)=0,"-",IF(COUNTIF('Програма-кодове'!$C5:$AD5,$G$2)=1,INDEX('Програма-кодове'!$C$1:$AD$1,1,MATCH($G$2,'Програма-кодове'!$C5:$AD5,0)),"Дублаж"))</f>
        <v>12д</v>
      </c>
      <c r="H6" s="194" t="str">
        <f>IF(COUNTIF('Програма-кодове'!$C5:$AD5,$H$2)=0,"-",IF(COUNTIF('Програма-кодове'!$C5:$AD5,$H$2)=1,INDEX('Програма-кодове'!$C$1:$AD$1,1,MATCH($H$2,'Програма-кодове'!$C5:$AD5,0)),"Дублаж"))</f>
        <v>9а</v>
      </c>
      <c r="I6" s="194" t="str">
        <f>IF(COUNTIF('Програма-кодове'!$C5:$AD5,$I$2)=0,"-",IF(COUNTIF('Програма-кодове'!$C5:$AD5,$I$2)=1,INDEX('Програма-кодове'!$C$1:$AD$1,1,MATCH($I$2,'Програма-кодове'!$C5:$AD5,0)),"Дублаж"))</f>
        <v>11в</v>
      </c>
      <c r="J6" s="194" t="str">
        <f>IF(COUNTIF('Програма-кодове'!$C5:$AD5,$J$2)=0,"-",IF(COUNTIF('Програма-кодове'!$C5:$AD5,$J$2)=1,INDEX('Програма-кодове'!$C$1:$AD$1,1,MATCH($J$2,'Програма-кодове'!$C5:$AD5,0)),"Дублаж"))</f>
        <v>8г</v>
      </c>
      <c r="K6" s="194" t="str">
        <f>IF(COUNTIF('Програма-кодове'!$C5:$AD5,$K$2)=0,"-",IF(COUNTIF('Програма-кодове'!$C5:$AD5,$K$2)=1,INDEX('Програма-кодове'!$C$1:$AD$1,1,MATCH($K$2,'Програма-кодове'!$C5:$AD5,0)),"Дублаж"))</f>
        <v>12а</v>
      </c>
      <c r="L6" s="194" t="str">
        <f>IF(COUNTIF('Програма-кодове'!$C5:$AD5,$L$2)=0,"-",IF(COUNTIF('Програма-кодове'!$C5:$AD5,$L$2)=1,INDEX('Програма-кодове'!$C$1:$AD$1,1,MATCH($L$2,'Програма-кодове'!$C5:$AD5,0)),"Дублаж"))</f>
        <v>10а</v>
      </c>
      <c r="M6" s="339" t="str">
        <f>IF(COUNTIF('Програма-кодове'!$C5:$AD5,$M$2)=0,"-",IF(COUNTIF('Програма-кодове'!$C5:$AD5,$M$2)=1,INDEX('Програма-кодове'!$C$1:$AD$1,1,MATCH($M$2,'Програма-кодове'!$C5:$AD5,0)),"Дублаж"))</f>
        <v>-</v>
      </c>
      <c r="N6" s="194" t="str">
        <f>IF(COUNTIF('Програма-кодове'!$C5:$AD5,$N$2)=0,"-",IF(COUNTIF('Програма-кодове'!$C5:$AD5,$N$2)=1,INDEX('Програма-кодове'!$C$1:$AD$1,1,MATCH($N$2,'Програма-кодове'!$C5:$AD5,0)),"Дублаж"))</f>
        <v>8в</v>
      </c>
      <c r="O6" s="194" t="str">
        <f>IF(COUNTIF('Програма-кодове'!$C5:$AD5,$O$2)=0,"-",IF(COUNTIF('Програма-кодове'!$C5:$AD5,$O$2)=1,INDEX('Програма-кодове'!$C$1:$AD$1,1,MATCH($O$2,'Програма-кодове'!$C5:$AD5,0)),"Дублаж"))</f>
        <v>8д</v>
      </c>
      <c r="P6" s="194" t="str">
        <f>IF(COUNTIF('Програма-кодове'!$C5:$AD5,$P$2)=0,"-",IF(COUNTIF('Програма-кодове'!$C5:$AD5,$P$2)=1,INDEX('Програма-кодове'!$C$1:$AD$1,1,MATCH($P$2,'Програма-кодове'!$C5:$AD5,0)),"Дублаж"))</f>
        <v>8a</v>
      </c>
      <c r="Q6" s="194" t="str">
        <f>IF(COUNTIF('Програма-кодове'!$C5:$AD5,$Q$2)=0,"-",IF(COUNTIF('Програма-кодове'!$C5:$AD5,$Q$2)=1,INDEX('Програма-кодове'!$C$1:$AD$1,1,MATCH($Q$2,'Програма-кодове'!$C5:$AD5,0)),"Дублаж"))</f>
        <v>-</v>
      </c>
      <c r="R6" s="193" t="str">
        <f t="shared" si="0"/>
        <v>11б</v>
      </c>
      <c r="S6" s="193" t="str">
        <f t="shared" si="3"/>
        <v>11д</v>
      </c>
      <c r="T6" s="339" t="str">
        <f t="shared" si="4"/>
        <v>11б,д</v>
      </c>
      <c r="U6" s="194" t="str">
        <f>IF(COUNTIF('Програма-кодове'!$C5:$AD5,$U$2)=0,"-",IF(COUNTIF('Програма-кодове'!$C5:$AD5,$U$2)=1,INDEX('Програма-кодове'!$C$1:$AD$1,1,MATCH($U$2,'Програма-кодове'!$C5:$AD5,0)),"Дублаж"))</f>
        <v>-</v>
      </c>
      <c r="V6" s="194" t="str">
        <f>IF(COUNTIF('Програма-кодове'!$C5:$AD5,$V$2)=0,"-",IF(COUNTIF('Програма-кодове'!$C5:$AD5,$V$2)=1,INDEX('Програма-кодове'!$C$1:$AD$1,1,MATCH($V$2,'Програма-кодове'!$C5:$AD5,0)),"Дублаж"))</f>
        <v>9г</v>
      </c>
      <c r="W6" s="194" t="str">
        <f>IF(COUNTIF('Програма-кодове'!$C5:$AD5,$W$2)=0,"-",IF(COUNTIF('Програма-кодове'!$C5:$AD5,$W$2)=1,INDEX('Програма-кодове'!$C$1:$AD$1,1,MATCH($W$2,'Програма-кодове'!$C5:$AD5,0)),"Дублаж"))</f>
        <v>-</v>
      </c>
      <c r="X6" s="194" t="str">
        <f>IF(COUNTIF('Програма-кодове'!$C5:$AD5,$X$2)=0,"-",IF(COUNTIF('Програма-кодове'!$C5:$AD5,$X$2)=1,INDEX('Програма-кодове'!$C$1:$AD$1,1,MATCH($X$2,'Програма-кодове'!$C5:$AD5,0)),"Дублаж"))</f>
        <v>12б</v>
      </c>
      <c r="Y6" s="194" t="str">
        <f>IF(COUNTIF('Програма-кодове'!$C5:$AD5,$Y$2)=0,"-",IF(COUNTIF('Програма-кодове'!$C5:$AD5,$Y$2)=1,INDEX('Програма-кодове'!$C$1:$AD$1,1,MATCH($Y$2,'Програма-кодове'!$C5:$AD5,0)),"Дублаж"))</f>
        <v>8б</v>
      </c>
      <c r="Z6" s="317" t="str">
        <f>IF(COUNTIF('Програма-кодове'!$C5:$AD5,$Z$2)=0,"-",IF(COUNTIF('Програма-кодове'!$C5:$AD5,$Z$2)=1,INDEX('Програма-кодове'!$C$1:$AD$1,1,MATCH($Z$2,'Програма-кодове'!$C5:$AD5,0)),"Дублаж"))</f>
        <v>-</v>
      </c>
      <c r="AA6" s="193">
        <f t="shared" si="5"/>
        <v>6</v>
      </c>
      <c r="AB6" s="193" t="str">
        <f t="shared" si="6"/>
        <v>-</v>
      </c>
      <c r="AC6" s="193" t="str">
        <f t="shared" si="7"/>
        <v>10г</v>
      </c>
      <c r="AD6" s="193" t="str">
        <f t="shared" si="8"/>
        <v>10г</v>
      </c>
      <c r="AE6" s="193">
        <f t="shared" si="9"/>
        <v>5</v>
      </c>
      <c r="AF6" s="193" t="str">
        <f t="shared" si="10"/>
        <v>-</v>
      </c>
      <c r="AG6" s="193">
        <f>IF(BA6&lt;&gt;"-",IF(AND(BC6="-",BG6="-",BF6="-",BM6="-",BI6="-"),BA6,"Дублаж"),IF(BC6&lt;&gt;"-",IF(AND(BG6="-",BF6="-",BM6="-",BI6="-"),BC6,"Дублаж"),IF(BG6&lt;&gt;"-",IF(AND(BF6="-",BM6="-",BI6="-"),BG6,"Дублаж"),IF(BF6&lt;&gt;"-",IF(AND(BM6="-",BI6="-"),BF6,"Дублаж"),IF(BM6&lt;&gt;"-",IF(BI6="-",BM6,BI6),BI6)))))</f>
        <v>6</v>
      </c>
      <c r="AH6" s="193" t="str">
        <f t="shared" si="12"/>
        <v>-</v>
      </c>
      <c r="AI6" s="194" t="str">
        <f>IF(AND(BZ6&lt;&gt;"-",BY6&lt;&gt;"-"),"Дублаж",IF(BZ6&lt;&gt;"-",BZ6,BY6))</f>
        <v>11г</v>
      </c>
      <c r="AJ6" s="193" t="str">
        <f t="shared" si="14"/>
        <v>9б</v>
      </c>
      <c r="AK6" s="194" t="str">
        <f>IF(COUNTIF('Програма-кодове'!$C5:$AD5,$AK$2)=0,"-",IF(COUNTIF('Програма-кодове'!$C5:$AD5,$AK$2)=1,INDEX('Програма-кодове'!$C$1:$AD$1,1,MATCH($AK$2,'Програма-кодове'!$C5:$AD5,0)),"Дублаж"))</f>
        <v>11а</v>
      </c>
      <c r="AL6" s="194" t="str">
        <f>IF(COUNTIF('Програма-кодове'!$C5:$AD5,$AL$2)=0,"-",IF(COUNTIF('Програма-кодове'!$C5:$AD5,$AL$2)=1,INDEX('Програма-кодове'!$C$1:$AD$1,1,MATCH($AL$2,'Програма-кодове'!$C5:$AD5,0)),"Дублаж"))</f>
        <v>9в</v>
      </c>
      <c r="AM6" s="194" t="str">
        <f>IF(COUNTIF('Програма-кодове'!$C5:$AD5,$AM$2)=0,"-",IF(COUNTIF('Програма-кодове'!$C5:$AD5,$AM$2)=1,INDEX('Програма-кодове'!$C$1:$AD$1,1,MATCH($AM$2,'Програма-кодове'!$C5:$AD5,0)),"Дублаж"))</f>
        <v>-</v>
      </c>
      <c r="AN6" s="193" t="str">
        <f>IF(COUNTIF('Програма-кодове'!$C5:$AD5,$AN$2)=0,"-",IF(COUNTIF('Програма-кодове'!$C5:$AD5,$AN$2)=1,INDEX('Програма-кодове'!$C$1:$AD$1,1,MATCH($AN$2,'Програма-кодове'!$C5:$AD5,0)),"Дублаж"))</f>
        <v>-</v>
      </c>
      <c r="AO6" s="193" t="str">
        <f>IF(COUNTIF('Програма-кодове'!$C5:$AD5,$AO$2)=0,"-",IF(COUNTIF('Програма-кодове'!$C5:$AD5,$AO$2)=1,INDEX('Програма-кодове'!$C$1:$AD$1,1,MATCH($AO$2,'Програма-кодове'!$C5:$AD5,0)),"Дублаж"))</f>
        <v>12в</v>
      </c>
      <c r="AP6" s="193" t="str">
        <f>IF(COUNTIF('Програма-кодове'!$C5:$AD5,$AP$2)=0,"-",IF(COUNTIF('Програма-кодове'!$C5:$AD5,$AP$2)=1,INDEX('Програма-кодове'!$C$1:$AD$1,1,MATCH($AP$2,'Програма-кодове'!$C5:$AD5,0)),"Дублаж"))</f>
        <v>-</v>
      </c>
      <c r="AQ6" s="193" t="str">
        <f t="shared" si="15"/>
        <v>9д</v>
      </c>
      <c r="AR6" s="193" t="str">
        <f>IF(COUNTIF('Програма-кодове'!$C5:$AD5,$AR$2)=0,"-",IF(COUNTIF('Програма-кодове'!$C5:$AD5,$AR$2)=1,INDEX('Програма-кодове'!$C$1:$AD$1,1,MATCH($AR$2,'Програма-кодове'!$C5:$AD5,0)),"Дублаж"))</f>
        <v>10б</v>
      </c>
      <c r="AS6" s="193" t="str">
        <f>IF(COUNTIF('Програма-кодове'!$C5:$AD5,$AS$2)=0,"-",IF(COUNTIF('Програма-кодове'!$C5:$AD5,$AS$2)=1,INDEX('Програма-кодове'!$C$1:$AD$1,1,MATCH($AS$2,'Програма-кодове'!$C5:$AD5,0)),"Дублаж"))</f>
        <v>10в</v>
      </c>
      <c r="AT6" s="193" t="str">
        <f>IF(COUNTIF('Програма-кодове'!$C5:$AD5,$AT$2)=0,"-",IF(COUNTIF('Програма-кодове'!$C5:$AD5,$AT$2)=1,INDEX('Програма-кодове'!$C$1:$AD$1,1,MATCH($AT$2,'Програма-кодове'!$C5:$AD5,0)),"Дублаж"))</f>
        <v>-</v>
      </c>
      <c r="AU6" s="194" t="str">
        <f t="shared" si="1"/>
        <v>10д</v>
      </c>
      <c r="AV6" s="194">
        <f t="shared" si="2"/>
        <v>5</v>
      </c>
      <c r="AW6" s="194" t="str">
        <f>IF(COUNTIF('Програма-кодове'!$C5:$AD5,$AW$2)=0,"-",IF(COUNTIF('Програма-кодове'!$C5:$AD5,$AW$2)=1,INDEX('Програма-кодове'!$C$1:$AD$1,1,MATCH($AW$2,'Програма-кодове'!$C5:$AD5,0)),"Дублаж"))</f>
        <v>-</v>
      </c>
      <c r="AX6" s="245" t="str">
        <f>IF(COUNTIF('Програма-кодове'!$C5:$AD5,$AX$2)=0,"-",IF(COUNTIF('Програма-кодове'!$C5:$AD5,$AX$2)=1,INDEX('Програма-кодове'!$C$1:$AD$1,1,MATCH($AX$2,'Програма-кодове'!$C5:$AD5,0)),"Дублаж"))</f>
        <v>-</v>
      </c>
      <c r="AY6" s="194" t="str">
        <f>IF(COUNTIF('Програма-кодове'!$C5:$AD5,$AY$2)=0,"-",IF(COUNTIF('Програма-кодове'!$C5:$AD5,$AY$2)=1,INDEX('Програма-кодове'!$C$1:$AD$1,1,MATCH($AY$2,'Програма-кодове'!$C5:$AD5,0)),"Дублаж"))</f>
        <v>-</v>
      </c>
      <c r="AZ6" s="317" t="str">
        <f t="shared" si="16"/>
        <v>12г</v>
      </c>
      <c r="BA6" s="30" t="str">
        <f>IF(COUNTIF('Програма-кодове'!$C5:$AD5,$BA$2)=0,"-",IF(COUNTIF('Програма-кодове'!$C5:$AD5,$BA$2)=1,INDEX('Програма-кодове'!$C$1:$AD$1,1,MATCH($BA$2,'Програма-кодове'!$C5:$AD5,0)),"Дублаж"))</f>
        <v>-</v>
      </c>
      <c r="BB6" s="30" t="str">
        <f>IF(COUNTIF('Програма-кодове'!$C5:$AD5,$BB$2)=0,"-",IF(COUNTIF('Програма-кодове'!$C5:$AD5,$BB$2)=1,INDEX('Програма-кодове'!$C$1:$AD$1,1,MATCH($BB$2,'Програма-кодове'!$C5:$AD5,0)),"Дублаж"))</f>
        <v>-</v>
      </c>
      <c r="BC6" s="30" t="str">
        <f>IF(COUNTIF('Програма-кодове'!$C5:$AD5,$BC$2)=0,"-",IF(COUNTIF('Програма-кодове'!$C5:$AD5,$BC$2)=1,INDEX('Програма-кодове'!$C$1:$AD$1,1,MATCH($BC$2,'Програма-кодове'!$C5:$AD5,0)),"Дублаж"))</f>
        <v>-</v>
      </c>
      <c r="BD6" s="30" t="str">
        <f>IF(COUNTIF('Програма-кодове'!$C5:$AD5,$BD$2)=0,"-",IF(COUNTIF('Програма-кодове'!$C5:$AD5,$BD$2)=1,INDEX('Програма-кодове'!$C$1:$AD$1,1,MATCH($BD$2,'Програма-кодове'!$C5:$AD5,0)),"Дублаж"))</f>
        <v>10г</v>
      </c>
      <c r="BE6" s="30" t="str">
        <f>IF(COUNTIF('Програма-кодове'!$C5:$AD5,$BE$2)=0,"-",IF(COUNTIF('Програма-кодове'!$C5:$AD5,$BE$2)=1,INDEX('Програма-кодове'!$C$1:$AD$1,1,MATCH($BE$2,'Програма-кодове'!$C5:$AD5,0)),"Дублаж"))</f>
        <v>-</v>
      </c>
      <c r="BF6" s="30" t="str">
        <f>IF(COUNTIF('Програма-кодове'!$C5:$AD5,$BF$2)=0,"-",IF(COUNTIF('Програма-кодове'!$C5:$AD5,$BF$2)=1,INDEX('Програма-кодове'!$C$1:$AD$1,1,MATCH($BF$2,'Програма-кодове'!$C5:$AD5,0)),"Дублаж"))</f>
        <v>-</v>
      </c>
      <c r="BG6" s="30" t="str">
        <f>IF(COUNTIF('Програма-кодове'!$C5:$AD5,$BG$2)=0,"-",IF(COUNTIF('Програма-кодове'!$C5:$AD5,$BG$2)=1,INDEX('Програма-кодове'!$C$1:$AD$1,1,MATCH($BG$2,'Програма-кодове'!$C5:$AD5,0)),"Дублаж"))</f>
        <v>-</v>
      </c>
      <c r="BH6" s="30" t="str">
        <f>IF(COUNTIF('Програма-кодове'!$C5:$AD5,$BH$2)=0,"-",IF(COUNTIF('Програма-кодове'!$C5:$AD5,$BH$2)=1,INDEX('Програма-кодове'!$C$1:$AD$1,1,MATCH($BH$2,'Програма-кодове'!$C5:$AD5,0)),"Дублаж"))</f>
        <v>-</v>
      </c>
      <c r="BI6" s="94">
        <f>IF(COUNTIF('Програма-кодове'!$C5:$AD5,$BI$2)=0,"-",IF(COUNTIF('Програма-кодове'!$C5:$AD5,$BI$2)=1,INDEX('Програма-кодове'!$C$1:$AD$1,1,MATCH($BI$2,'Програма-кодове'!$C5:$AD5,0)),IF('Програма-кодове'!Z5='Програма-кодове'!AA5,"12а,б","Дублаж")))</f>
        <v>6</v>
      </c>
      <c r="BJ6" s="94" t="str">
        <f>IF(COUNTIF('Програма-кодове'!$C5:$AD5,$BJ$2)=0,"-",IF(COUNTIF('Програма-кодове'!$C5:$AD5,$BJ$2)=1,INDEX('Програма-кодове'!$C$1:$AD$1,1,MATCH($BJ$2,'Програма-кодове'!$C5:$AD5,0)),"Дублаж"))</f>
        <v>-</v>
      </c>
      <c r="BK6" s="94">
        <f>IF(COUNTIF('Програма-кодове'!$C5:$AD5,$BK$2)=0,"-",IF(COUNTIF('Програма-кодове'!$C5:$AD5,$BK$2)=1,INDEX('Програма-кодове'!$C$1:$AD$1,1,MATCH($BK$2,'Програма-кодове'!$C5:$AD5,0)),IF('Програма-кодове'!K5='Програма-кодове'!O5,"9а,д",IF('Програма-кодове'!L5='Програма-кодове'!M5,"9б,в","Дублаж"))))</f>
        <v>5</v>
      </c>
      <c r="BL6" s="30" t="str">
        <f>IF(COUNTIF('Програма-кодове'!$C5:$AD5,$BL$2)=0,"-",IF(COUNTIF('Програма-кодове'!$C5:$AD5,$BL$2)=1,INDEX('Програма-кодове'!$C$1:$AD$1,1,MATCH($BL$2,'Програма-кодове'!$C5:$AD5,0)),"Дублаж"))</f>
        <v>-</v>
      </c>
      <c r="BM6" s="30" t="str">
        <f>IF(COUNTIF('Програма-кодове'!$C5:$AD5,$BM$2)=0,"-",IF(COUNTIF('Програма-кодове'!$C5:$AD5,$BM$2)=1,INDEX('Програма-кодове'!$C$1:$AD$1,1,MATCH($BM$2,'Програма-кодове'!$C5:$AD5,0)),"Дублаж"))</f>
        <v>-</v>
      </c>
      <c r="BN6" s="77" t="str">
        <f>IF(COUNTIF('Програма-кодове'!$C5:$AD5,$BN$2)=0,"-",IF(COUNTIF('Програма-кодове'!$C5:$AD5,$BN$2)=1,INDEX('Програма-кодове'!$C$1:$AD$1,1,MATCH($BN$2,'Програма-кодове'!$C5:$AD5,0)),IF(AND('Програма-кодове'!K5='Програма-кодове'!O5,'Програма-кодове'!K5&lt;&gt;""),"9а, д", IF(AND('Програма-кодове'!U5='Програма-кодове'!W5,'Програма-кодове'!U5&lt;&gt;""),"11а,в", "Дублаж"))))</f>
        <v>11б</v>
      </c>
      <c r="BO6" s="77" t="str">
        <f>IF(COUNTIF('Програма-кодове'!$C5:$AD5,$BO$2)=0,"-",IF(COUNTIF('Програма-кодове'!$C5:$AD5,$BO$2)=1,INDEX('Програма-кодове'!$C$1:$AD$1,1,MATCH($BO$2,'Програма-кодове'!$C5:$AD5,0)),IF(AND('Програма-кодове'!U5='Програма-кодове'!W5,'Програма-кодове'!U5&lt;&gt;"" ),"11a,в","Дублаж")))</f>
        <v>11д</v>
      </c>
      <c r="BP6" s="30" t="str">
        <f>IF(COUNTIF('Програма-кодове'!$C5:$AD5,$BP$2)=0,"-",IF(COUNTIF('Програма-кодове'!$C5:$AD5,$BP$2)=1,"9б,в,г","Дублаж"))</f>
        <v>-</v>
      </c>
      <c r="BQ6" s="30" t="str">
        <f>IF(COUNTIF('Програма-кодове'!$C5:$AD5,$BQ$2)=0,"-",IF(COUNTIF('Програма-кодове'!$C5:$AD5,$BQ$2)=1,INDEX('Програма-кодове'!$C$1:$AD$1,1,MATCH($BQ$2,'Програма-кодове'!$C5:$AD5,0)),"Дублаж"))</f>
        <v>-</v>
      </c>
      <c r="BR6" s="30" t="str">
        <f>IF(COUNTIF('Програма-кодове'!$C5:$AD5,$BR$2)=0,"-",IF(COUNTIF('Програма-кодове'!$C5:$AD5,$BR$2)=1,INDEX('Програма-кодове'!$C$1:$AD$1,1,MATCH($BR$2,'Програма-кодове'!$C5:$AD5,0)),IF('Програма-кодове'!W5='Програма-кодове'!X5,"11б,в","Дублаж")))</f>
        <v>-</v>
      </c>
      <c r="BS6" s="30" t="str">
        <f>IF(COUNTIF('Програма-кодове'!$C5:$AD5,$BS$2)=0,"-",IF(COUNTIF('Програма-кодове'!$C5:$AD5,$BS$2)=1,INDEX('Програма-кодове'!$C$1:$AD$1,1,MATCH($BS$2,'Програма-кодове'!$C5:$AD5,0)),"Дублаж"))</f>
        <v>12г</v>
      </c>
      <c r="BT6" s="193" t="str">
        <f t="shared" si="17"/>
        <v>-</v>
      </c>
      <c r="BU6" s="30" t="str">
        <f>IF(COUNTIF('Програма-кодове'!$C5:$AD5,$BU$2)=0,"-",IF(COUNTIF('Програма-кодове'!$C5:$AD5,$BU$2)=1,INDEX('Програма-кодове'!$C$1:$AD$1,1,MATCH($BU$2,'Програма-кодове'!$C5:$AD5,0)),"Дублаж"))</f>
        <v>-</v>
      </c>
      <c r="BV6" s="30" t="str">
        <f>IF(COUNTIF('Програма-кодове'!$C5:$AD5,$BV$2)=0,"-",IF(COUNTIF('Програма-кодове'!$C5:$AD5,$BV$2)=1,INDEX('Програма-кодове'!$C$1:$AD$1,1,MATCH($BV$2,'Програма-кодове'!$C5:$AD5,0)),"Дублаж"))</f>
        <v>10д</v>
      </c>
      <c r="BW6" s="30" t="str">
        <f>IF(COUNTIF('Програма-кодове'!$C5:$AD5,$BW$2)=0,"-",IF(COUNTIF('Програма-кодове'!$C5:$AD5,$BW$2)=1,INDEX('Програма-кодове'!$C$1:$AD$1,1,MATCH($BW$2,'Програма-кодове'!$C5:$AD5,0)),"Дублаж"))</f>
        <v>-</v>
      </c>
      <c r="BX6" s="30" t="str">
        <f>IF(COUNTIF('Програма-кодове'!$C5:$AD5,$BX$2)=0,"-",IF(COUNTIF('Програма-кодове'!$C5:$AD5,$BX$2)=1,INDEX('Програма-кодове'!$C$1:$AD$1,1,MATCH($BX$2,'Програма-кодове'!$C5:$AD5,0)),"Дублаж"))</f>
        <v>-</v>
      </c>
      <c r="BY6" s="30" t="str">
        <f>IF(COUNTIF('Програма-кодове'!$C5:$AD5,$BY$2)=0,"-",IF(COUNTIF('Програма-кодове'!$C5:$AD5,$BY$2)=1,INDEX('Програма-кодове'!$C$1:$AD$1,1,MATCH($BY$2,'Програма-кодове'!$C5:$AD5,0)),"Дублаж"))</f>
        <v>11г</v>
      </c>
      <c r="BZ6" s="30" t="str">
        <f>IF(COUNTIF('Програма-кодове'!$C5:$AD5,$BZ$2)=0,"-",IF(COUNTIF('Програма-кодове'!$C5:$AD5,$BZ$2)=1,INDEX('Програма-кодове'!$C$1:$AD$1,1,MATCH($BZ$2,'Програма-кодове'!$C5:$AD5,0)),"Дублаж"))</f>
        <v>-</v>
      </c>
      <c r="CA6" s="30" t="str">
        <f>IF(COUNTIF('Програма-кодове'!$C5:$AD5,$CA$2)=0,"-",IF(COUNTIF('Програма-кодове'!$C5:$AD5,$CA$2)=1,INDEX('Програма-кодове'!$C$1:$AD$1,1,MATCH($CA$2,'Програма-кодове'!$C5:$AD5,0)),"Дублаж"))</f>
        <v>9д</v>
      </c>
      <c r="CB6" s="30" t="str">
        <f>IF(COUNTIF('Програма-кодове'!$C5:$AD5,$CB$2)=0,"-",IF(COUNTIF('Програма-кодове'!$C5:$AD5,$CB$2)=1,INDEX('Програма-кодове'!$C$1:$AD$1,1,MATCH($CB$2,'Програма-кодове'!$C5:$AD5,0)),"Дублаж"))</f>
        <v>-</v>
      </c>
      <c r="CC6" s="30" t="str">
        <f>IF(COUNTIF('Програма-кодове'!$C5:$AD5,$CC$2)=0,"-",IF(COUNTIF('Програма-кодове'!$C5:$AD5,$CC$2)=1,INDEX('Програма-кодове'!$C$1:$AD$1,1,MATCH($CC$2,'Програма-кодове'!$C5:$AD5,0)),"Дублаж"))</f>
        <v>9б</v>
      </c>
      <c r="CD6" s="30" t="str">
        <f>IF(COUNTIF('Програма-кодове'!$C5:$AD5,$CD$2)=0,"-",IF(COUNTIF('Програма-кодове'!$C5:$AD5,$CD$2)=1,INDEX('Програма-кодове'!$C$1:$AD$1,1,MATCH($CD$2,'Програма-кодове'!$C5:$AD5,0)),"Дублаж"))</f>
        <v>-</v>
      </c>
      <c r="CE6" s="30" t="str">
        <f>IF(COUNTIF('Програма-кодове'!$C5:$AD5,$CE$2)=0,"-",IF(COUNTIF('Програма-кодове'!$C5:$AD5,$CE$2)=1,INDEX('Програма-кодове'!$C$1:$AD$1,1,MATCH($CE$2,'Програма-кодове'!$C5:$AD5,0)),"Дублаж"))</f>
        <v>-</v>
      </c>
    </row>
    <row r="7" spans="1:83" ht="13.5" customHeight="1">
      <c r="A7" s="367"/>
      <c r="B7" s="330">
        <v>5</v>
      </c>
      <c r="C7" s="194" t="str">
        <f>IF(COUNTIF('Програма-кодове'!$C6:$AD6,$C$2)=0,"-",IF(COUNTIF('Програма-кодове'!$C6:$AD6,$C$2)=1,INDEX('Програма-кодове'!$C$1:$AD$1,1,MATCH($C$2,'Програма-кодове'!$C6:$AD6,0)),"Дублаж"))</f>
        <v>-</v>
      </c>
      <c r="D7" s="194" t="str">
        <f>IF(COUNTIF('Програма-кодове'!$C6:$AD6,$D$2)=0,"-",IF(COUNTIF('Програма-кодове'!$C6:$AD6,$D$2)=1,INDEX('Програма-кодове'!$C$1:$AD$1,1,MATCH($D$2,'Програма-кодове'!$C6:$AD6,0)),"Дублаж"))</f>
        <v>-</v>
      </c>
      <c r="E7" s="194">
        <f>IF(COUNTIF('Програма-кодове'!$C6:$AD6,$E$2)=0,"-",IF(COUNTIF('Програма-кодове'!$C6:$AD6,$E$2)=1,INDEX('Програма-кодове'!$C$1:$AD$1,1,MATCH($E$2,'Програма-кодове'!$C6:$AD6,0)),"Дублаж"))</f>
        <v>7</v>
      </c>
      <c r="F7" s="194" t="str">
        <f>IF(COUNTIF('Програма-кодове'!$C6:$AD6,$F$2)=0,"-",IF(COUNTIF('Програма-кодове'!$C6:$AD6,$F$2)=1,INDEX('Програма-кодове'!$C$1:$AD$1,1,MATCH($F$2,'Програма-кодове'!$C6:$AD6,0)),"Дублаж"))</f>
        <v>8б</v>
      </c>
      <c r="G7" s="194" t="str">
        <f>IF(COUNTIF('Програма-кодове'!$C6:$AD6,$G$2)=0,"-",IF(COUNTIF('Програма-кодове'!$C6:$AD6,$G$2)=1,INDEX('Програма-кодове'!$C$1:$AD$1,1,MATCH($G$2,'Програма-кодове'!$C6:$AD6,0)),"Дублаж"))</f>
        <v>-</v>
      </c>
      <c r="H7" s="194" t="str">
        <f>IF(COUNTIF('Програма-кодове'!$C6:$AD6,$H$2)=0,"-",IF(COUNTIF('Програма-кодове'!$C6:$AD6,$H$2)=1,INDEX('Програма-кодове'!$C$1:$AD$1,1,MATCH($H$2,'Програма-кодове'!$C6:$AD6,0)),"Дублаж"))</f>
        <v>9а</v>
      </c>
      <c r="I7" s="194" t="str">
        <f>IF(COUNTIF('Програма-кодове'!$C6:$AD6,$I$2)=0,"-",IF(COUNTIF('Програма-кодове'!$C6:$AD6,$I$2)=1,INDEX('Програма-кодове'!$C$1:$AD$1,1,MATCH($I$2,'Програма-кодове'!$C6:$AD6,0)),"Дублаж"))</f>
        <v>-</v>
      </c>
      <c r="J7" s="194" t="str">
        <f>IF(COUNTIF('Програма-кодове'!$C6:$AD6,$J$2)=0,"-",IF(COUNTIF('Програма-кодове'!$C6:$AD6,$J$2)=1,INDEX('Програма-кодове'!$C$1:$AD$1,1,MATCH($J$2,'Програма-кодове'!$C6:$AD6,0)),"Дублаж"))</f>
        <v>8г</v>
      </c>
      <c r="K7" s="194" t="str">
        <f>IF(COUNTIF('Програма-кодове'!$C6:$AD6,$K$2)=0,"-",IF(COUNTIF('Програма-кодове'!$C6:$AD6,$K$2)=1,INDEX('Програма-кодове'!$C$1:$AD$1,1,MATCH($K$2,'Програма-кодове'!$C6:$AD6,0)),"Дублаж"))</f>
        <v>12а</v>
      </c>
      <c r="L7" s="194" t="str">
        <f>IF(COUNTIF('Програма-кодове'!$C6:$AD6,$L$2)=0,"-",IF(COUNTIF('Програма-кодове'!$C6:$AD6,$L$2)=1,INDEX('Програма-кодове'!$C$1:$AD$1,1,MATCH($L$2,'Програма-кодове'!$C6:$AD6,0)),"Дублаж"))</f>
        <v>10а</v>
      </c>
      <c r="M7" s="339" t="str">
        <f>IF(COUNTIF('Програма-кодове'!$C6:$AD6,$M$2)=0,"-",IF(COUNTIF('Програма-кодове'!$C6:$AD6,$M$2)=1,INDEX('Програма-кодове'!$C$1:$AD$1,1,MATCH($M$2,'Програма-кодове'!$C6:$AD6,0)),"Дублаж"))</f>
        <v>-</v>
      </c>
      <c r="N7" s="318" t="str">
        <f>IF(COUNTIF('Програма-кодове'!$C6:$AD6,$N$2)=0,"-",IF(COUNTIF('Програма-кодове'!$C6:$AD6,$N$2)=1,INDEX('Програма-кодове'!$C$1:$AD$1,1,MATCH($N$2,'Програма-кодове'!$C6:$AD6,0)),"Дублаж"))</f>
        <v>-</v>
      </c>
      <c r="O7" s="194" t="str">
        <f>IF(COUNTIF('Програма-кодове'!$C6:$AD6,$O$2)=0,"-",IF(COUNTIF('Програма-кодове'!$C6:$AD6,$O$2)=1,INDEX('Програма-кодове'!$C$1:$AD$1,1,MATCH($O$2,'Програма-кодове'!$C6:$AD6,0)),"Дублаж"))</f>
        <v>-</v>
      </c>
      <c r="P7" s="194" t="str">
        <f>IF(COUNTIF('Програма-кодове'!$C6:$AD6,$P$2)=0,"-",IF(COUNTIF('Програма-кодове'!$C6:$AD6,$P$2)=1,INDEX('Програма-кодове'!$C$1:$AD$1,1,MATCH($P$2,'Програма-кодове'!$C6:$AD6,0)),"Дублаж"))</f>
        <v>8a</v>
      </c>
      <c r="Q7" s="194" t="str">
        <f>IF(COUNTIF('Програма-кодове'!$C6:$AD6,$Q$2)=0,"-",IF(COUNTIF('Програма-кодове'!$C6:$AD6,$Q$2)=1,INDEX('Програма-кодове'!$C$1:$AD$1,1,MATCH($Q$2,'Програма-кодове'!$C6:$AD6,0)),"Дублаж"))</f>
        <v>-</v>
      </c>
      <c r="R7" s="193" t="str">
        <f t="shared" si="0"/>
        <v>11б</v>
      </c>
      <c r="S7" s="193" t="str">
        <f t="shared" si="3"/>
        <v>11д</v>
      </c>
      <c r="T7" s="339" t="str">
        <f t="shared" si="4"/>
        <v>11б,д</v>
      </c>
      <c r="U7" s="194" t="str">
        <f>IF(COUNTIF('Програма-кодове'!$C6:$AD6,$U$2)=0,"-",IF(COUNTIF('Програма-кодове'!$C6:$AD6,$U$2)=1,INDEX('Програма-кодове'!$C$1:$AD$1,1,MATCH($U$2,'Програма-кодове'!$C6:$AD6,0)),"Дублаж"))</f>
        <v>11а</v>
      </c>
      <c r="V7" s="194">
        <f>IF(COUNTIF('Програма-кодове'!$C6:$AD6,$V$2)=0,"-",IF(COUNTIF('Програма-кодове'!$C6:$AD6,$V$2)=1,INDEX('Програма-кодове'!$C$1:$AD$1,1,MATCH($V$2,'Програма-кодове'!$C6:$AD6,0)),"Дублаж"))</f>
        <v>5</v>
      </c>
      <c r="W7" s="194" t="str">
        <f>IF(COUNTIF('Програма-кодове'!$C6:$AD6,$W$2)=0,"-",IF(COUNTIF('Програма-кодове'!$C6:$AD6,$W$2)=1,INDEX('Програма-кодове'!$C$1:$AD$1,1,MATCH($W$2,'Програма-кодове'!$C6:$AD6,0)),"Дублаж"))</f>
        <v>10д</v>
      </c>
      <c r="X7" s="317" t="str">
        <f>IF(COUNTIF('Програма-кодове'!$C6:$AD6,$X$2)=0,"-",IF(COUNTIF('Програма-кодове'!$C6:$AD6,$X$2)=1,INDEX('Програма-кодове'!$C$1:$AD$1,1,MATCH($X$2,'Програма-кодове'!$C6:$AD6,0)),"Дублаж"))</f>
        <v>-</v>
      </c>
      <c r="Y7" s="194" t="str">
        <f>IF(COUNTIF('Програма-кодове'!$C6:$AD6,$Y$2)=0,"-",IF(COUNTIF('Програма-кодове'!$C6:$AD6,$Y$2)=1,INDEX('Програма-кодове'!$C$1:$AD$1,1,MATCH($Y$2,'Програма-кодове'!$C6:$AD6,0)),"Дублаж"))</f>
        <v>-</v>
      </c>
      <c r="Z7" s="194" t="str">
        <f>IF(COUNTIF('Програма-кодове'!$C6:$AD6,$Z$2)=0,"-",IF(COUNTIF('Програма-кодове'!$C6:$AD6,$Z$2)=1,INDEX('Програма-кодове'!$C$1:$AD$1,1,MATCH($Z$2,'Програма-кодове'!$C6:$AD6,0)),"Дублаж"))</f>
        <v>9д</v>
      </c>
      <c r="AA7" s="193" t="str">
        <f>IF(BH7&lt;&gt;"-",IF(AND(BL7="-",BI7="-"),BH7,"Дублаж"),IF(BL7&lt;&gt;"-",IF(BI7="-",BL7,"Дублаж"),BI7))</f>
        <v>12б</v>
      </c>
      <c r="AB7" s="193" t="str">
        <f t="shared" si="6"/>
        <v>-</v>
      </c>
      <c r="AC7" s="193" t="str">
        <f t="shared" si="7"/>
        <v>10б</v>
      </c>
      <c r="AD7" s="193" t="str">
        <f t="shared" si="8"/>
        <v>10б</v>
      </c>
      <c r="AE7" s="193" t="str">
        <f t="shared" si="9"/>
        <v>12б</v>
      </c>
      <c r="AF7" s="193" t="str">
        <f t="shared" si="10"/>
        <v>-</v>
      </c>
      <c r="AG7" s="193" t="str">
        <f>IF(BA7&lt;&gt;"-",IF(AND(BC7="-",BG7="-",BF7="-",BM7="-",BI7="-"),BA7,"Дублаж"),IF(BC7&lt;&gt;"-",IF(AND(BG7="-",BF7="-",BM7="-",BI7="-"),BC7,"Дублаж"),IF(BG7&lt;&gt;"-",IF(AND(BF7="-",BM7="-",BI7="-"),BG7,"Дублаж"),IF(BF7&lt;&gt;"-",IF(AND(BM7="-",BI7="-"),BF7,"Дублаж"),IF(BM7&lt;&gt;"-",IF(BI7="-",BM7,BI7),BI7)))))</f>
        <v>8в</v>
      </c>
      <c r="AH7" s="193" t="str">
        <f t="shared" si="12"/>
        <v>8в</v>
      </c>
      <c r="AI7" s="318" t="str">
        <f t="shared" si="13"/>
        <v>11в</v>
      </c>
      <c r="AJ7" s="193" t="str">
        <f t="shared" si="14"/>
        <v>9г</v>
      </c>
      <c r="AK7" s="194" t="str">
        <f>IF(COUNTIF('Програма-кодове'!$C6:$AD6,$AK$2)=0,"-",IF(COUNTIF('Програма-кодове'!$C6:$AD6,$AK$2)=1,INDEX('Програма-кодове'!$C$1:$AD$1,1,MATCH($AK$2,'Програма-кодове'!$C6:$AD6,0)),"Дублаж"))</f>
        <v>11г</v>
      </c>
      <c r="AL7" s="194" t="str">
        <f>IF(COUNTIF('Програма-кодове'!$C6:$AD6,$AL$2)=0,"-",IF(COUNTIF('Програма-кодове'!$C6:$AD6,$AL$2)=1,INDEX('Програма-кодове'!$C$1:$AD$1,1,MATCH($AL$2,'Програма-кодове'!$C6:$AD6,0)),"Дублаж"))</f>
        <v>9б</v>
      </c>
      <c r="AM7" s="194" t="str">
        <f>IF(COUNTIF('Програма-кодове'!$C6:$AD6,$AM$2)=0,"-",IF(COUNTIF('Програма-кодове'!$C6:$AD6,$AM$2)=1,INDEX('Програма-кодове'!$C$1:$AD$1,1,MATCH($AM$2,'Програма-кодове'!$C6:$AD6,0)),"Дублаж"))</f>
        <v>8д</v>
      </c>
      <c r="AN7" s="193" t="str">
        <f>IF(COUNTIF('Програма-кодове'!$C6:$AD6,$AN$2)=0,"-",IF(COUNTIF('Програма-кодове'!$C6:$AD6,$AN$2)=1,INDEX('Програма-кодове'!$C$1:$AD$1,1,MATCH($AN$2,'Програма-кодове'!$C6:$AD6,0)),"Дублаж"))</f>
        <v>-</v>
      </c>
      <c r="AO7" s="193" t="str">
        <f>IF(COUNTIF('Програма-кодове'!$C6:$AD6,$AO$2)=0,"-",IF(COUNTIF('Програма-кодове'!$C6:$AD6,$AO$2)=1,INDEX('Програма-кодове'!$C$1:$AD$1,1,MATCH($AO$2,'Програма-кодове'!$C6:$AD6,0)),"Дублаж"))</f>
        <v>12г</v>
      </c>
      <c r="AP7" s="193" t="str">
        <f>IF(COUNTIF('Програма-кодове'!$C6:$AD6,$AP$2)=0,"-",IF(COUNTIF('Програма-кодове'!$C6:$AD6,$AP$2)=1,INDEX('Програма-кодове'!$C$1:$AD$1,1,MATCH($AP$2,'Програма-кодове'!$C6:$AD6,0)),"Дублаж"))</f>
        <v>-</v>
      </c>
      <c r="AQ7" s="193" t="str">
        <f t="shared" si="15"/>
        <v>9в</v>
      </c>
      <c r="AR7" s="193" t="str">
        <f>IF(COUNTIF('Програма-кодове'!$C6:$AD6,$AR$2)=0,"-",IF(COUNTIF('Програма-кодове'!$C6:$AD6,$AR$2)=1,INDEX('Програма-кодове'!$C$1:$AD$1,1,MATCH($AR$2,'Програма-кодове'!$C6:$AD6,0)),"Дублаж"))</f>
        <v>10в</v>
      </c>
      <c r="AS7" s="193" t="str">
        <f>IF(COUNTIF('Програма-кодове'!$C6:$AD6,$AS$2)=0,"-",IF(COUNTIF('Програма-кодове'!$C6:$AD6,$AS$2)=1,INDEX('Програма-кодове'!$C$1:$AD$1,1,MATCH($AS$2,'Програма-кодове'!$C6:$AD6,0)),"Дублаж"))</f>
        <v>10г</v>
      </c>
      <c r="AT7" s="193" t="str">
        <f>IF(COUNTIF('Програма-кодове'!$C6:$AD6,$AT$2)=0,"-",IF(COUNTIF('Програма-кодове'!$C6:$AD6,$AT$2)=1,INDEX('Програма-кодове'!$C$1:$AD$1,1,MATCH($AT$2,'Програма-кодове'!$C6:$AD6,0)),"Дублаж"))</f>
        <v>-</v>
      </c>
      <c r="AU7" s="194" t="str">
        <f t="shared" si="1"/>
        <v>-</v>
      </c>
      <c r="AV7" s="194" t="str">
        <f t="shared" si="2"/>
        <v>-</v>
      </c>
      <c r="AW7" s="194" t="str">
        <f>IF(COUNTIF('Програма-кодове'!$C6:$AD6,$AW$2)=0,"-",IF(COUNTIF('Програма-кодове'!$C6:$AD6,$AW$2)=1,INDEX('Програма-кодове'!$C$1:$AD$1,1,MATCH($AW$2,'Програма-кодове'!$C6:$AD6,0)),"Дублаж"))</f>
        <v>-</v>
      </c>
      <c r="AX7" s="194">
        <f>IF(COUNTIF('Програма-кодове'!$C6:$AD6,$AX$2)=0,"-",IF(COUNTIF('Програма-кодове'!$C6:$AD6,$AX$2)=1,INDEX('Програма-кодове'!$C$1:$AD$1,1,MATCH($AX$2,'Програма-кодове'!$C6:$AD6,0)),"Дублаж"))</f>
        <v>6</v>
      </c>
      <c r="AY7" s="194" t="str">
        <f>IF(COUNTIF('Програма-кодове'!$C6:$AD6,$AY$2)=0,"-",IF(COUNTIF('Програма-кодове'!$C6:$AD6,$AY$2)=1,INDEX('Програма-кодове'!$C$1:$AD$1,1,MATCH($AY$2,'Програма-кодове'!$C6:$AD6,0)),"Дублаж"))</f>
        <v>12в</v>
      </c>
      <c r="AZ7" s="317" t="str">
        <f t="shared" si="16"/>
        <v>12д</v>
      </c>
      <c r="BA7" s="30" t="str">
        <f>IF(COUNTIF('Програма-кодове'!$C6:$AD6,$BA$2)=0,"-",IF(COUNTIF('Програма-кодове'!$C6:$AD6,$BA$2)=1,INDEX('Програма-кодове'!$C$1:$AD$1,1,MATCH($BA$2,'Програма-кодове'!$C6:$AD6,0)),"Дублаж"))</f>
        <v>-</v>
      </c>
      <c r="BB7" s="30" t="str">
        <f>IF(COUNTIF('Програма-кодове'!$C6:$AD6,$BB$2)=0,"-",IF(COUNTIF('Програма-кодове'!$C6:$AD6,$BB$2)=1,INDEX('Програма-кодове'!$C$1:$AD$1,1,MATCH($BB$2,'Програма-кодове'!$C6:$AD6,0)),"Дублаж"))</f>
        <v>-</v>
      </c>
      <c r="BC7" s="30" t="str">
        <f>IF(COUNTIF('Програма-кодове'!$C6:$AD6,$BC$2)=0,"-",IF(COUNTIF('Програма-кодове'!$C6:$AD6,$BC$2)=1,INDEX('Програма-кодове'!$C$1:$AD$1,1,MATCH($BC$2,'Програма-кодове'!$C6:$AD6,0)),"Дублаж"))</f>
        <v>-</v>
      </c>
      <c r="BD7" s="30" t="str">
        <f>IF(COUNTIF('Програма-кодове'!$C6:$AD6,$BD$2)=0,"-",IF(COUNTIF('Програма-кодове'!$C6:$AD6,$BD$2)=1,INDEX('Програма-кодове'!$C$1:$AD$1,1,MATCH($BD$2,'Програма-кодове'!$C6:$AD6,0)),"Дублаж"))</f>
        <v>10б</v>
      </c>
      <c r="BE7" s="30" t="str">
        <f>IF(COUNTIF('Програма-кодове'!$C6:$AD6,$BE$2)=0,"-",IF(COUNTIF('Програма-кодове'!$C6:$AD6,$BE$2)=1,INDEX('Програма-кодове'!$C$1:$AD$1,1,MATCH($BE$2,'Програма-кодове'!$C6:$AD6,0)),"Дублаж"))</f>
        <v>-</v>
      </c>
      <c r="BF7" s="30" t="str">
        <f>IF(COUNTIF('Програма-кодове'!$C6:$AD6,$BF$2)=0,"-",IF(COUNTIF('Програма-кодове'!$C6:$AD6,$BF$2)=1,INDEX('Програма-кодове'!$C$1:$AD$1,1,MATCH($BF$2,'Програма-кодове'!$C6:$AD6,0)),"Дублаж"))</f>
        <v>-</v>
      </c>
      <c r="BG7" s="30" t="str">
        <f>IF(COUNTIF('Програма-кодове'!$C6:$AD6,$BG$2)=0,"-",IF(COUNTIF('Програма-кодове'!$C6:$AD6,$BG$2)=1,INDEX('Програма-кодове'!$C$1:$AD$1,1,MATCH($BG$2,'Програма-кодове'!$C6:$AD6,0)),"Дублаж"))</f>
        <v>8в</v>
      </c>
      <c r="BH7" s="30" t="str">
        <f>IF(COUNTIF('Програма-кодове'!$C6:$AD6,$BH$2)=0,"-",IF(COUNTIF('Програма-кодове'!$C6:$AD6,$BH$2)=1,INDEX('Програма-кодове'!$C$1:$AD$1,1,MATCH($BH$2,'Програма-кодове'!$C6:$AD6,0)),"Дублаж"))</f>
        <v>12б</v>
      </c>
      <c r="BI7" s="94" t="str">
        <f>IF(COUNTIF('Програма-кодове'!$C6:$AD6,$BI$2)=0,"-",IF(COUNTIF('Програма-кодове'!$C6:$AD6,$BI$2)=1,INDEX('Програма-кодове'!$C$1:$AD$1,1,MATCH($BI$2,'Програма-кодове'!$C6:$AD6,0)),IF('Програма-кодове'!Z6='Програма-кодове'!AA6,"12а,б","Дублаж")))</f>
        <v>-</v>
      </c>
      <c r="BJ7" s="94" t="str">
        <f>IF(COUNTIF('Програма-кодове'!$C6:$AD6,$BJ$2)=0,"-",IF(COUNTIF('Програма-кодове'!$C6:$AD6,$BJ$2)=1,INDEX('Програма-кодове'!$C$1:$AD$1,1,MATCH($BJ$2,'Програма-кодове'!$C6:$AD6,0)),"Дублаж"))</f>
        <v>-</v>
      </c>
      <c r="BK7" s="94" t="str">
        <f>IF(COUNTIF('Програма-кодове'!$C6:$AD6,$BK$2)=0,"-",IF(COUNTIF('Програма-кодове'!$C6:$AD6,$BK$2)=1,INDEX('Програма-кодове'!$C$1:$AD$1,1,MATCH($BK$2,'Програма-кодове'!$C6:$AD6,0)),IF('Програма-кодове'!K6='Програма-кодове'!O6,"9а,д",IF('Програма-кодове'!L6='Програма-кодове'!M6,"9б,в","Дублаж"))))</f>
        <v>-</v>
      </c>
      <c r="BL7" s="30" t="str">
        <f>IF(COUNTIF('Програма-кодове'!$C6:$AD6,$BL$2)=0,"-",IF(COUNTIF('Програма-кодове'!$C6:$AD6,$BL$2)=1,INDEX('Програма-кодове'!$C$1:$AD$1,1,MATCH($BL$2,'Програма-кодове'!$C6:$AD6,0)),"Дублаж"))</f>
        <v>-</v>
      </c>
      <c r="BM7" s="30" t="str">
        <f>IF(COUNTIF('Програма-кодове'!$C6:$AD6,$BM$2)=0,"-",IF(COUNTIF('Програма-кодове'!$C6:$AD6,$BM$2)=1,INDEX('Програма-кодове'!$C$1:$AD$1,1,MATCH($BM$2,'Програма-кодове'!$C6:$AD6,0)),"Дублаж"))</f>
        <v>-</v>
      </c>
      <c r="BN7" s="77" t="str">
        <f>IF(COUNTIF('Програма-кодове'!$C6:$AD6,$BN$2)=0,"-",IF(COUNTIF('Програма-кодове'!$C6:$AD6,$BN$2)=1,INDEX('Програма-кодове'!$C$1:$AD$1,1,MATCH($BN$2,'Програма-кодове'!$C6:$AD6,0)),IF(AND('Програма-кодове'!K6='Програма-кодове'!O6,'Програма-кодове'!K6&lt;&gt;""),"9а, д", IF(AND('Програма-кодове'!U6='Програма-кодове'!W6,'Програма-кодове'!U6&lt;&gt;""),"11а,в", "Дублаж"))))</f>
        <v>11б</v>
      </c>
      <c r="BO7" s="77" t="str">
        <f>IF(COUNTIF('Програма-кодове'!$C6:$AD6,$BO$2)=0,"-",IF(COUNTIF('Програма-кодове'!$C6:$AD6,$BO$2)=1,INDEX('Програма-кодове'!$C$1:$AD$1,1,MATCH($BO$2,'Програма-кодове'!$C6:$AD6,0)),IF(AND('Програма-кодове'!U6='Програма-кодове'!W6,'Програма-кодове'!U6&lt;&gt;"" ),"11a,в","Дублаж")))</f>
        <v>11д</v>
      </c>
      <c r="BP7" s="30" t="str">
        <f>IF(COUNTIF('Програма-кодове'!$C6:$AD6,$BP$2)=0,"-",IF(COUNTIF('Програма-кодове'!$C6:$AD6,$BP$2)=1,"9б,в,г","Дублаж"))</f>
        <v>-</v>
      </c>
      <c r="BQ7" s="30" t="str">
        <f>IF(COUNTIF('Програма-кодове'!$C6:$AD6,$BQ$2)=0,"-",IF(COUNTIF('Програма-кодове'!$C6:$AD6,$BQ$2)=1,INDEX('Програма-кодове'!$C$1:$AD$1,1,MATCH($BQ$2,'Програма-кодове'!$C6:$AD6,0)),"Дублаж"))</f>
        <v>-</v>
      </c>
      <c r="BR7" s="30" t="str">
        <f>IF(COUNTIF('Програма-кодове'!$C6:$AD6,$BR$2)=0,"-",IF(COUNTIF('Програма-кодове'!$C6:$AD6,$BR$2)=1,INDEX('Програма-кодове'!$C$1:$AD$1,1,MATCH($BR$2,'Програма-кодове'!$C6:$AD6,0)),IF('Програма-кодове'!W6='Програма-кодове'!X6,"11б,в","Дублаж")))</f>
        <v>-</v>
      </c>
      <c r="BS7" s="30" t="str">
        <f>IF(COUNTIF('Програма-кодове'!$C6:$AD6,$BS$2)=0,"-",IF(COUNTIF('Програма-кодове'!$C6:$AD6,$BS$2)=1,INDEX('Програма-кодове'!$C$1:$AD$1,1,MATCH($BS$2,'Програма-кодове'!$C6:$AD6,0)),"Дублаж"))</f>
        <v>12д</v>
      </c>
      <c r="BT7" s="193" t="str">
        <f t="shared" si="17"/>
        <v>-</v>
      </c>
      <c r="BU7" s="30" t="str">
        <f>IF(COUNTIF('Програма-кодове'!$C6:$AD6,$BU$2)=0,"-",IF(COUNTIF('Програма-кодове'!$C6:$AD6,$BU$2)=1,INDEX('Програма-кодове'!$C$1:$AD$1,1,MATCH($BU$2,'Програма-кодове'!$C6:$AD6,0)),"Дублаж"))</f>
        <v>-</v>
      </c>
      <c r="BV7" s="30" t="str">
        <f>IF(COUNTIF('Програма-кодове'!$C6:$AD6,$BV$2)=0,"-",IF(COUNTIF('Програма-кодове'!$C6:$AD6,$BV$2)=1,INDEX('Програма-кодове'!$C$1:$AD$1,1,MATCH($BV$2,'Програма-кодове'!$C6:$AD6,0)),"Дублаж"))</f>
        <v>-</v>
      </c>
      <c r="BW7" s="30" t="str">
        <f>IF(COUNTIF('Програма-кодове'!$C6:$AD6,$BW$2)=0,"-",IF(COUNTIF('Програма-кодове'!$C6:$AD6,$BW$2)=1,INDEX('Програма-кодове'!$C$1:$AD$1,1,MATCH($BW$2,'Програма-кодове'!$C6:$AD6,0)),"Дублаж"))</f>
        <v>-</v>
      </c>
      <c r="BX7" s="30" t="str">
        <f>IF(COUNTIF('Програма-кодове'!$C6:$AD6,$BX$2)=0,"-",IF(COUNTIF('Програма-кодове'!$C6:$AD6,$BX$2)=1,INDEX('Програма-кодове'!$C$1:$AD$1,1,MATCH($BX$2,'Програма-кодове'!$C6:$AD6,0)),"Дублаж"))</f>
        <v>-</v>
      </c>
      <c r="BY7" s="30" t="str">
        <f>IF(COUNTIF('Програма-кодове'!$C6:$AD6,$BY$2)=0,"-",IF(COUNTIF('Програма-кодове'!$C6:$AD6,$BY$2)=1,INDEX('Програма-кодове'!$C$1:$AD$1,1,MATCH($BY$2,'Програма-кодове'!$C6:$AD6,0)),"Дублаж"))</f>
        <v>11в</v>
      </c>
      <c r="BZ7" s="30" t="str">
        <f>IF(COUNTIF('Програма-кодове'!$C6:$AD6,$BZ$2)=0,"-",IF(COUNTIF('Програма-кодове'!$C6:$AD6,$BZ$2)=1,INDEX('Програма-кодове'!$C$1:$AD$1,1,MATCH($BZ$2,'Програма-кодове'!$C6:$AD6,0)),"Дублаж"))</f>
        <v>-</v>
      </c>
      <c r="CA7" s="30" t="str">
        <f>IF(COUNTIF('Програма-кодове'!$C6:$AD6,$CA$2)=0,"-",IF(COUNTIF('Програма-кодове'!$C6:$AD6,$CA$2)=1,INDEX('Програма-кодове'!$C$1:$AD$1,1,MATCH($CA$2,'Програма-кодове'!$C6:$AD6,0)),"Дублаж"))</f>
        <v>-</v>
      </c>
      <c r="CB7" s="30" t="str">
        <f>IF(COUNTIF('Програма-кодове'!$C6:$AD6,$CB$2)=0,"-",IF(COUNTIF('Програма-кодове'!$C6:$AD6,$CB$2)=1,INDEX('Програма-кодове'!$C$1:$AD$1,1,MATCH($CB$2,'Програма-кодове'!$C6:$AD6,0)),"Дублаж"))</f>
        <v>9в</v>
      </c>
      <c r="CC7" s="30" t="str">
        <f>IF(COUNTIF('Програма-кодове'!$C6:$AD6,$CC$2)=0,"-",IF(COUNTIF('Програма-кодове'!$C6:$AD6,$CC$2)=1,INDEX('Програма-кодове'!$C$1:$AD$1,1,MATCH($CC$2,'Програма-кодове'!$C6:$AD6,0)),"Дублаж"))</f>
        <v>9г</v>
      </c>
      <c r="CD7" s="30" t="str">
        <f>IF(COUNTIF('Програма-кодове'!$C6:$AD6,$CD$2)=0,"-",IF(COUNTIF('Програма-кодове'!$C6:$AD6,$CD$2)=1,INDEX('Програма-кодове'!$C$1:$AD$1,1,MATCH($CD$2,'Програма-кодове'!$C6:$AD6,0)),"Дублаж"))</f>
        <v>-</v>
      </c>
      <c r="CE7" s="30" t="str">
        <f>IF(COUNTIF('Програма-кодове'!$C6:$AD6,$CE$2)=0,"-",IF(COUNTIF('Програма-кодове'!$C6:$AD6,$CE$2)=1,INDEX('Програма-кодове'!$C$1:$AD$1,1,MATCH($CE$2,'Програма-кодове'!$C6:$AD6,0)),"Дублаж"))</f>
        <v>-</v>
      </c>
    </row>
    <row r="8" spans="1:83" ht="13.5" customHeight="1">
      <c r="A8" s="367"/>
      <c r="B8" s="330">
        <v>6</v>
      </c>
      <c r="C8" s="194" t="str">
        <f>IF(COUNTIF('Програма-кодове'!$C7:$AD7,$C$2)=0,"-",IF(COUNTIF('Програма-кодове'!$C7:$AD7,$C$2)=1,INDEX('Програма-кодове'!$C$1:$AD$1,1,MATCH($C$2,'Програма-кодове'!$C7:$AD7,0)),"Дублаж"))</f>
        <v>-</v>
      </c>
      <c r="D8" s="319" t="str">
        <f>IF(COUNTIF('Програма-кодове'!$C7:$AD7,$D$2)=0,"-",IF(COUNTIF('Програма-кодове'!$C7:$AD7,$D$2)=1,INDEX('Програма-кодове'!$C$1:$AD$1,1,MATCH($D$2,'Програма-кодове'!$C7:$AD7,0)),"Дублаж"))</f>
        <v>11в</v>
      </c>
      <c r="E8" s="319" t="str">
        <f>IF(COUNTIF('Програма-кодове'!$C7:$AD7,$E$2)=0,"-",IF(COUNTIF('Програма-кодове'!$C7:$AD7,$E$2)=1,INDEX('Програма-кодове'!$C$1:$AD$1,1,MATCH($E$2,'Програма-кодове'!$C7:$AD7,0)),"Дублаж"))</f>
        <v>-</v>
      </c>
      <c r="F8" s="194" t="str">
        <f>IF(COUNTIF('Програма-кодове'!$C7:$AD7,$F$2)=0,"-",IF(COUNTIF('Програма-кодове'!$C7:$AD7,$F$2)=1,INDEX('Програма-кодове'!$C$1:$AD$1,1,MATCH($F$2,'Програма-кодове'!$C7:$AD7,0)),"Дублаж"))</f>
        <v>10г</v>
      </c>
      <c r="G8" s="194" t="str">
        <f>IF(COUNTIF('Програма-кодове'!$C7:$AD7,$G$2)=0,"-",IF(COUNTIF('Програма-кодове'!$C7:$AD7,$G$2)=1,INDEX('Програма-кодове'!$C$1:$AD$1,1,MATCH($G$2,'Програма-кодове'!$C7:$AD7,0)),"Дублаж"))</f>
        <v>12а</v>
      </c>
      <c r="H8" s="194" t="str">
        <f>IF(COUNTIF('Програма-кодове'!$C7:$AD7,$H$2)=0,"-",IF(COUNTIF('Програма-кодове'!$C7:$AD7,$H$2)=1,INDEX('Програма-кодове'!$C$1:$AD$1,1,MATCH($H$2,'Програма-кодове'!$C7:$AD7,0)),"Дублаж"))</f>
        <v>9д</v>
      </c>
      <c r="I8" s="194" t="str">
        <f>IF(COUNTIF('Програма-кодове'!$C7:$AD7,$I$2)=0,"-",IF(COUNTIF('Програма-кодове'!$C7:$AD7,$I$2)=1,INDEX('Програма-кодове'!$C$1:$AD$1,1,MATCH($I$2,'Програма-кодове'!$C7:$AD7,0)),"Дублаж"))</f>
        <v>-</v>
      </c>
      <c r="J8" s="194" t="str">
        <f>IF(COUNTIF('Програма-кодове'!$C7:$AD7,$J$2)=0,"-",IF(COUNTIF('Програма-кодове'!$C7:$AD7,$J$2)=1,INDEX('Програма-кодове'!$C$1:$AD$1,1,MATCH($J$2,'Програма-кодове'!$C7:$AD7,0)),"Дублаж"))</f>
        <v>-</v>
      </c>
      <c r="K8" s="194" t="str">
        <f>IF(COUNTIF('Програма-кодове'!$C7:$AD7,$K$2)=0,"-",IF(COUNTIF('Програма-кодове'!$C7:$AD7,$K$2)=1,INDEX('Програма-кодове'!$C$1:$AD$1,1,MATCH($K$2,'Програма-кодове'!$C7:$AD7,0)),"Дублаж"))</f>
        <v>-</v>
      </c>
      <c r="L8" s="194" t="str">
        <f>IF(COUNTIF('Програма-кодове'!$C7:$AD7,$L$2)=0,"-",IF(COUNTIF('Програма-кодове'!$C7:$AD7,$L$2)=1,INDEX('Програма-кодове'!$C$1:$AD$1,1,MATCH($L$2,'Програма-кодове'!$C7:$AD7,0)),"Дублаж"))</f>
        <v>10д</v>
      </c>
      <c r="M8" s="339" t="str">
        <f>IF(COUNTIF('Програма-кодове'!$C7:$AD7,$M$2)=0,"-",IF(COUNTIF('Програма-кодове'!$C7:$AD7,$M$2)=1,INDEX('Програма-кодове'!$C$1:$AD$1,1,MATCH($M$2,'Програма-кодове'!$C7:$AD7,0)),"Дублаж"))</f>
        <v>-</v>
      </c>
      <c r="N8" s="318" t="str">
        <f>IF(COUNTIF('Програма-кодове'!$C7:$AD7,$N$2)=0,"-",IF(COUNTIF('Програма-кодове'!$C7:$AD7,$N$2)=1,INDEX('Програма-кодове'!$C$1:$AD$1,1,MATCH($N$2,'Програма-кодове'!$C7:$AD7,0)),"Дублаж"))</f>
        <v>-</v>
      </c>
      <c r="O8" s="194" t="str">
        <f>IF(COUNTIF('Програма-кодове'!$C7:$AD7,$O$2)=0,"-",IF(COUNTIF('Програма-кодове'!$C7:$AD7,$O$2)=1,INDEX('Програма-кодове'!$C$1:$AD$1,1,MATCH($O$2,'Програма-кодове'!$C7:$AD7,0)),"Дублаж"))</f>
        <v>8д</v>
      </c>
      <c r="P8" s="194" t="str">
        <f>IF(COUNTIF('Програма-кодове'!$C7:$AD7,$P$2)=0,"-",IF(COUNTIF('Програма-кодове'!$C7:$AD7,$P$2)=1,INDEX('Програма-кодове'!$C$1:$AD$1,1,MATCH($P$2,'Програма-кодове'!$C7:$AD7,0)),"Дублаж"))</f>
        <v>8a</v>
      </c>
      <c r="Q8" s="194" t="str">
        <f>IF(COUNTIF('Програма-кодове'!$C7:$AD7,$Q$2)=0,"-",IF(COUNTIF('Програма-кодове'!$C7:$AD7,$Q$2)=1,INDEX('Програма-кодове'!$C$1:$AD$1,1,MATCH($Q$2,'Програма-кодове'!$C7:$AD7,0)),"Дублаж"))</f>
        <v>-</v>
      </c>
      <c r="R8" s="193" t="str">
        <f t="shared" si="0"/>
        <v>9б,в,г</v>
      </c>
      <c r="S8" s="193" t="str">
        <f t="shared" si="3"/>
        <v>9б,в,г</v>
      </c>
      <c r="T8" s="339" t="str">
        <f t="shared" si="4"/>
        <v>9б,в,г</v>
      </c>
      <c r="U8" s="194" t="str">
        <f>IF(COUNTIF('Програма-кодове'!$C7:$AD7,$U$2)=0,"-",IF(COUNTIF('Програма-кодове'!$C7:$AD7,$U$2)=1,INDEX('Програма-кодове'!$C$1:$AD$1,1,MATCH($U$2,'Програма-кодове'!$C7:$AD7,0)),"Дублаж"))</f>
        <v>11а</v>
      </c>
      <c r="V8" s="194" t="str">
        <f>IF(COUNTIF('Програма-кодове'!$C7:$AD7,$V$2)=0,"-",IF(COUNTIF('Програма-кодове'!$C7:$AD7,$V$2)=1,INDEX('Програма-кодове'!$C$1:$AD$1,1,MATCH($V$2,'Програма-кодове'!$C7:$AD7,0)),"Дублаж"))</f>
        <v>8в</v>
      </c>
      <c r="W8" s="194">
        <f>IF(COUNTIF('Програма-кодове'!$C7:$AD7,$W$2)=0,"-",IF(COUNTIF('Програма-кодове'!$C7:$AD7,$W$2)=1,INDEX('Програма-кодове'!$C$1:$AD$1,1,MATCH($W$2,'Програма-кодове'!$C7:$AD7,0)),"Дублаж"))</f>
        <v>7</v>
      </c>
      <c r="X8" s="317" t="str">
        <f>IF(COUNTIF('Програма-кодове'!$C7:$AD7,$X$2)=0,"-",IF(COUNTIF('Програма-кодове'!$C7:$AD7,$X$2)=1,INDEX('Програма-кодове'!$C$1:$AD$1,1,MATCH($X$2,'Програма-кодове'!$C7:$AD7,0)),"Дублаж"))</f>
        <v>-</v>
      </c>
      <c r="Y8" s="194" t="str">
        <f>IF(COUNTIF('Програма-кодове'!$C7:$AD7,$Y$2)=0,"-",IF(COUNTIF('Програма-кодове'!$C7:$AD7,$Y$2)=1,INDEX('Програма-кодове'!$C$1:$AD$1,1,MATCH($Y$2,'Програма-кодове'!$C7:$AD7,0)),"Дублаж"))</f>
        <v>-</v>
      </c>
      <c r="Z8" s="194" t="str">
        <f>IF(COUNTIF('Програма-кодове'!$C7:$AD7,$Z$2)=0,"-",IF(COUNTIF('Програма-кодове'!$C7:$AD7,$Z$2)=1,INDEX('Програма-кодове'!$C$1:$AD$1,1,MATCH($Z$2,'Програма-кодове'!$C7:$AD7,0)),"Дублаж"))</f>
        <v>10в</v>
      </c>
      <c r="AA8" s="193" t="str">
        <f t="shared" si="5"/>
        <v>-</v>
      </c>
      <c r="AB8" s="193" t="str">
        <f t="shared" si="6"/>
        <v>-</v>
      </c>
      <c r="AC8" s="193" t="str">
        <f t="shared" si="7"/>
        <v>-</v>
      </c>
      <c r="AD8" s="193">
        <f t="shared" si="8"/>
        <v>5</v>
      </c>
      <c r="AE8" s="193" t="str">
        <f t="shared" si="9"/>
        <v>8б</v>
      </c>
      <c r="AF8" s="193" t="str">
        <f t="shared" si="10"/>
        <v>11б</v>
      </c>
      <c r="AG8" s="193" t="str">
        <f t="shared" ref="AG8" si="18">IF(BA8&lt;&gt;"-",IF(AND(BC8="-",BG8="-",BF8="-",BM8="-",BI8="-"),BA8,"Дублаж"),IF(BC8&lt;&gt;"-",IF(AND(BG8="-",BF8="-",BM8="-",BI8="-"),BC8,"Дублаж"),IF(BG8&lt;&gt;"-",IF(AND(BF8="-",BM8="-",BI8="-"),BG8,"Дублаж"),IF(BF8&lt;&gt;"-",IF(AND(BM8="-",BI8="-"),BF8,"Дублаж"),IF(BM8&lt;&gt;"-",IF(BI8="-",BM8,BI8),BI8)))))</f>
        <v>8б</v>
      </c>
      <c r="AH8" s="193" t="str">
        <f t="shared" si="12"/>
        <v>11б</v>
      </c>
      <c r="AI8" s="318" t="str">
        <f t="shared" si="13"/>
        <v>10а</v>
      </c>
      <c r="AJ8" s="193" t="str">
        <f t="shared" si="14"/>
        <v>12в</v>
      </c>
      <c r="AK8" s="194" t="str">
        <f>IF(COUNTIF('Програма-кодове'!$C7:$AD7,$AK$2)=0,"-",IF(COUNTIF('Програма-кодове'!$C7:$AD7,$AK$2)=1,INDEX('Програма-кодове'!$C$1:$AD$1,1,MATCH($AK$2,'Програма-кодове'!$C7:$AD7,0)),"Дублаж"))</f>
        <v>11д</v>
      </c>
      <c r="AL8" s="194">
        <f>IF(COUNTIF('Програма-кодове'!$C7:$AD7,$AL$2)=0,"-",IF(COUNTIF('Програма-кодове'!$C7:$AD7,$AL$2)=1,INDEX('Програма-кодове'!$C$1:$AD$1,1,MATCH($AL$2,'Програма-кодове'!$C7:$AD7,0)),"Дублаж"))</f>
        <v>6</v>
      </c>
      <c r="AM8" s="194" t="str">
        <f>IF(COUNTIF('Програма-кодове'!$C7:$AD7,$AM$2)=0,"-",IF(COUNTIF('Програма-кодове'!$C7:$AD7,$AM$2)=1,INDEX('Програма-кодове'!$C$1:$AD$1,1,MATCH($AM$2,'Програма-кодове'!$C7:$AD7,0)),"Дублаж"))</f>
        <v>8г</v>
      </c>
      <c r="AN8" s="193" t="str">
        <f>IF(COUNTIF('Програма-кодове'!$C7:$AD7,$AN$2)=0,"-",IF(COUNTIF('Програма-кодове'!$C7:$AD7,$AN$2)=1,INDEX('Програма-кодове'!$C$1:$AD$1,1,MATCH($AN$2,'Програма-кодове'!$C7:$AD7,0)),"Дублаж"))</f>
        <v>-</v>
      </c>
      <c r="AO8" s="193" t="str">
        <f>IF(COUNTIF('Програма-кодове'!$C7:$AD7,$AO$2)=0,"-",IF(COUNTIF('Програма-кодове'!$C7:$AD7,$AO$2)=1,INDEX('Програма-кодове'!$C$1:$AD$1,1,MATCH($AO$2,'Програма-кодове'!$C7:$AD7,0)),"Дублаж"))</f>
        <v>12б</v>
      </c>
      <c r="AP8" s="193" t="str">
        <f>IF(COUNTIF('Програма-кодове'!$C7:$AD7,$AP$2)=0,"-",IF(COUNTIF('Програма-кодове'!$C7:$AD7,$AP$2)=1,INDEX('Програма-кодове'!$C$1:$AD$1,1,MATCH($AP$2,'Програма-кодове'!$C7:$AD7,0)),"Дублаж"))</f>
        <v>-</v>
      </c>
      <c r="AQ8" s="193" t="str">
        <f t="shared" si="15"/>
        <v>9а</v>
      </c>
      <c r="AR8" s="193" t="str">
        <f>IF(COUNTIF('Програма-кодове'!$C7:$AD7,$AR$2)=0,"-",IF(COUNTIF('Програма-кодове'!$C7:$AD7,$AR$2)=1,INDEX('Програма-кодове'!$C$1:$AD$1,1,MATCH($AR$2,'Програма-кодове'!$C7:$AD7,0)),"Дублаж"))</f>
        <v>12д</v>
      </c>
      <c r="AS8" s="193" t="str">
        <f>IF(COUNTIF('Програма-кодове'!$C7:$AD7,$AS$2)=0,"-",IF(COUNTIF('Програма-кодове'!$C7:$AD7,$AS$2)=1,INDEX('Програма-кодове'!$C$1:$AD$1,1,MATCH($AS$2,'Програма-кодове'!$C7:$AD7,0)),"Дублаж"))</f>
        <v>11г</v>
      </c>
      <c r="AT8" s="193" t="str">
        <f>IF(COUNTIF('Програма-кодове'!$C7:$AD7,$AT$2)=0,"-",IF(COUNTIF('Програма-кодове'!$C7:$AD7,$AT$2)=1,INDEX('Програма-кодове'!$C$1:$AD$1,1,MATCH($AT$2,'Програма-кодове'!$C7:$AD7,0)),"Дублаж"))</f>
        <v>-</v>
      </c>
      <c r="AU8" s="194" t="str">
        <f t="shared" si="1"/>
        <v>-</v>
      </c>
      <c r="AV8" s="194">
        <f t="shared" si="2"/>
        <v>5</v>
      </c>
      <c r="AW8" s="194" t="str">
        <f>IF(COUNTIF('Програма-кодове'!$C7:$AD7,$AW$2)=0,"-",IF(COUNTIF('Програма-кодове'!$C7:$AD7,$AW$2)=1,INDEX('Програма-кодове'!$C$1:$AD$1,1,MATCH($AW$2,'Програма-кодове'!$C7:$AD7,0)),"Дублаж"))</f>
        <v>-</v>
      </c>
      <c r="AX8" s="194" t="str">
        <f>IF(COUNTIF('Програма-кодове'!$C7:$AD7,$AX$2)=0,"-",IF(COUNTIF('Програма-кодове'!$C7:$AD7,$AX$2)=1,INDEX('Програма-кодове'!$C$1:$AD$1,1,MATCH($AX$2,'Програма-кодове'!$C7:$AD7,0)),"Дублаж"))</f>
        <v>10б</v>
      </c>
      <c r="AY8" s="194" t="str">
        <f>IF(COUNTIF('Програма-кодове'!$C7:$AD7,$AY$2)=0,"-",IF(COUNTIF('Програма-кодове'!$C7:$AD7,$AY$2)=1,INDEX('Програма-кодове'!$C$1:$AD$1,1,MATCH($AY$2,'Програма-кодове'!$C7:$AD7,0)),"Дублаж"))</f>
        <v>12г</v>
      </c>
      <c r="AZ8" s="317" t="str">
        <f t="shared" si="16"/>
        <v>9б,в,г</v>
      </c>
      <c r="BA8" s="30" t="str">
        <f>IF(COUNTIF('Програма-кодове'!$C7:$AD7,$BA$2)=0,"-",IF(COUNTIF('Програма-кодове'!$C7:$AD7,$BA$2)=1,INDEX('Програма-кодове'!$C$1:$AD$1,1,MATCH($BA$2,'Програма-кодове'!$C7:$AD7,0)),"Дублаж"))</f>
        <v>-</v>
      </c>
      <c r="BB8" s="30" t="str">
        <f>IF(COUNTIF('Програма-кодове'!$C7:$AD7,$BB$2)=0,"-",IF(COUNTIF('Програма-кодове'!$C7:$AD7,$BB$2)=1,INDEX('Програма-кодове'!$C$1:$AD$1,1,MATCH($BB$2,'Програма-кодове'!$C7:$AD7,0)),"Дублаж"))</f>
        <v>-</v>
      </c>
      <c r="BC8" s="30" t="str">
        <f>IF(COUNTIF('Програма-кодове'!$C7:$AD7,$BC$2)=0,"-",IF(COUNTIF('Програма-кодове'!$C7:$AD7,$BC$2)=1,INDEX('Програма-кодове'!$C$1:$AD$1,1,MATCH($BC$2,'Програма-кодове'!$C7:$AD7,0)),"Дублаж"))</f>
        <v>8б</v>
      </c>
      <c r="BD8" s="30" t="str">
        <f>IF(COUNTIF('Програма-кодове'!$C7:$AD7,$BD$2)=0,"-",IF(COUNTIF('Програма-кодове'!$C7:$AD7,$BD$2)=1,INDEX('Програма-кодове'!$C$1:$AD$1,1,MATCH($BD$2,'Програма-кодове'!$C7:$AD7,0)),"Дублаж"))</f>
        <v>-</v>
      </c>
      <c r="BE8" s="30" t="str">
        <f>IF(COUNTIF('Програма-кодове'!$C7:$AD7,$BE$2)=0,"-",IF(COUNTIF('Програма-кодове'!$C7:$AD7,$BE$2)=1,INDEX('Програма-кодове'!$C$1:$AD$1,1,MATCH($BE$2,'Програма-кодове'!$C7:$AD7,0)),"Дублаж"))</f>
        <v>11б</v>
      </c>
      <c r="BF8" s="30" t="str">
        <f>IF(COUNTIF('Програма-кодове'!$C7:$AD7,$BF$2)=0,"-",IF(COUNTIF('Програма-кодове'!$C7:$AD7,$BF$2)=1,INDEX('Програма-кодове'!$C$1:$AD$1,1,MATCH($BF$2,'Програма-кодове'!$C7:$AD7,0)),"Дублаж"))</f>
        <v>-</v>
      </c>
      <c r="BG8" s="30" t="str">
        <f>IF(COUNTIF('Програма-кодове'!$C7:$AD7,$BG$2)=0,"-",IF(COUNTIF('Програма-кодове'!$C7:$AD7,$BG$2)=1,INDEX('Програма-кодове'!$C$1:$AD$1,1,MATCH($BG$2,'Програма-кодове'!$C7:$AD7,0)),"Дублаж"))</f>
        <v>-</v>
      </c>
      <c r="BH8" s="30" t="str">
        <f>IF(COUNTIF('Програма-кодове'!$C7:$AD7,$BH$2)=0,"-",IF(COUNTIF('Програма-кодове'!$C7:$AD7,$BH$2)=1,INDEX('Програма-кодове'!$C$1:$AD$1,1,MATCH($BH$2,'Програма-кодове'!$C7:$AD7,0)),"Дублаж"))</f>
        <v>-</v>
      </c>
      <c r="BI8" s="94" t="str">
        <f>IF(COUNTIF('Програма-кодове'!$C7:$AD7,$BI$2)=0,"-",IF(COUNTIF('Програма-кодове'!$C7:$AD7,$BI$2)=1,INDEX('Програма-кодове'!$C$1:$AD$1,1,MATCH($BI$2,'Програма-кодове'!$C7:$AD7,0)),IF('Програма-кодове'!Z7='Програма-кодове'!AA7,"12а,б","Дублаж")))</f>
        <v>-</v>
      </c>
      <c r="BJ8" s="94">
        <f>IF(COUNTIF('Програма-кодове'!$C7:$AD7,$BJ$2)=0,"-",IF(COUNTIF('Програма-кодове'!$C7:$AD7,$BJ$2)=1,INDEX('Програма-кодове'!$C$1:$AD$1,1,MATCH($BJ$2,'Програма-кодове'!$C7:$AD7,0)),"Дублаж"))</f>
        <v>5</v>
      </c>
      <c r="BK8" s="94" t="str">
        <f>IF(COUNTIF('Програма-кодове'!$C7:$AD7,$BK$2)=0,"-",IF(COUNTIF('Програма-кодове'!$C7:$AD7,$BK$2)=1,INDEX('Програма-кодове'!$C$1:$AD$1,1,MATCH($BK$2,'Програма-кодове'!$C7:$AD7,0)),IF('Програма-кодове'!K7='Програма-кодове'!O7,"9а,д",IF('Програма-кодове'!L7='Програма-кодове'!M7,"9б,в","Дублаж"))))</f>
        <v>-</v>
      </c>
      <c r="BL8" s="30" t="str">
        <f>IF(COUNTIF('Програма-кодове'!$C7:$AD7,$BL$2)=0,"-",IF(COUNTIF('Програма-кодове'!$C7:$AD7,$BL$2)=1,INDEX('Програма-кодове'!$C$1:$AD$1,1,MATCH($BL$2,'Програма-кодове'!$C7:$AD7,0)),"Дублаж"))</f>
        <v>-</v>
      </c>
      <c r="BM8" s="30" t="str">
        <f>IF(COUNTIF('Програма-кодове'!$C7:$AD7,$BM$2)=0,"-",IF(COUNTIF('Програма-кодове'!$C7:$AD7,$BM$2)=1,INDEX('Програма-кодове'!$C$1:$AD$1,1,MATCH($BM$2,'Програма-кодове'!$C7:$AD7,0)),"Дублаж"))</f>
        <v>-</v>
      </c>
      <c r="BN8" s="77" t="str">
        <f>IF(COUNTIF('Програма-кодове'!$C7:$AD7,$BN$2)=0,"-",IF(COUNTIF('Програма-кодове'!$C7:$AD7,$BN$2)=1,INDEX('Програма-кодове'!$C$1:$AD$1,1,MATCH($BN$2,'Програма-кодове'!$C7:$AD7,0)),IF(AND('Програма-кодове'!K7='Програма-кодове'!O7,'Програма-кодове'!K7&lt;&gt;""),"9а, д", IF(AND('Програма-кодове'!U7='Програма-кодове'!W7,'Програма-кодове'!U7&lt;&gt;""),"11а,в", "Дублаж"))))</f>
        <v>-</v>
      </c>
      <c r="BO8" s="77" t="str">
        <f>IF(COUNTIF('Програма-кодове'!$C7:$AD7,$BO$2)=0,"-",IF(COUNTIF('Програма-кодове'!$C7:$AD7,$BO$2)=1,INDEX('Програма-кодове'!$C$1:$AD$1,1,MATCH($BO$2,'Програма-кодове'!$C7:$AD7,0)),IF(AND('Програма-кодове'!U7='Програма-кодове'!W7,'Програма-кодове'!U7&lt;&gt;"" ),"11a,в","Дублаж")))</f>
        <v>-</v>
      </c>
      <c r="BP8" s="30" t="str">
        <f>IF(COUNTIF('Програма-кодове'!$C7:$AD7,$BP$2)=0,"-",IF(COUNTIF('Програма-кодове'!$C7:$AD7,$BP$2)=1,"9б,в,г","Дублаж"))</f>
        <v>9б,в,г</v>
      </c>
      <c r="BQ8" s="30" t="str">
        <f>IF(COUNTIF('Програма-кодове'!$C7:$AD7,$BQ$2)=0,"-",IF(COUNTIF('Програма-кодове'!$C7:$AD7,$BQ$2)=1,INDEX('Програма-кодове'!$C$1:$AD$1,1,MATCH($BQ$2,'Програма-кодове'!$C7:$AD7,0)),"Дублаж"))</f>
        <v>-</v>
      </c>
      <c r="BR8" s="30" t="str">
        <f>IF(COUNTIF('Програма-кодове'!$C7:$AD7,$BR$2)=0,"-",IF(COUNTIF('Програма-кодове'!$C7:$AD7,$BR$2)=1,INDEX('Програма-кодове'!$C$1:$AD$1,1,MATCH($BR$2,'Програма-кодове'!$C7:$AD7,0)),IF('Програма-кодове'!W7='Програма-кодове'!X7,"11б,в","Дублаж")))</f>
        <v>-</v>
      </c>
      <c r="BS8" s="30" t="str">
        <f>IF(COUNTIF('Програма-кодове'!$C7:$AD7,$BS$2)=0,"-",IF(COUNTIF('Програма-кодове'!$C7:$AD7,$BS$2)=1,INDEX('Програма-кодове'!$C$1:$AD$1,1,MATCH($BS$2,'Програма-кодове'!$C7:$AD7,0)),"Дублаж"))</f>
        <v>-</v>
      </c>
      <c r="BT8" s="193" t="str">
        <f t="shared" si="17"/>
        <v>9б,в,г</v>
      </c>
      <c r="BU8" s="30" t="str">
        <f>IF(COUNTIF('Програма-кодове'!$C7:$AD7,$BU$2)=0,"-",IF(COUNTIF('Програма-кодове'!$C7:$AD7,$BU$2)=1,INDEX('Програма-кодове'!$C$1:$AD$1,1,MATCH($BU$2,'Програма-кодове'!$C7:$AD7,0)),"Дублаж"))</f>
        <v>-</v>
      </c>
      <c r="BV8" s="30" t="str">
        <f>IF(COUNTIF('Програма-кодове'!$C7:$AD7,$BV$2)=0,"-",IF(COUNTIF('Програма-кодове'!$C7:$AD7,$BV$2)=1,INDEX('Програма-кодове'!$C$1:$AD$1,1,MATCH($BV$2,'Програма-кодове'!$C7:$AD7,0)),"Дублаж"))</f>
        <v>-</v>
      </c>
      <c r="BW8" s="30" t="str">
        <f>IF(COUNTIF('Програма-кодове'!$C7:$AD7,$BW$2)=0,"-",IF(COUNTIF('Програма-кодове'!$C7:$AD7,$BW$2)=1,INDEX('Програма-кодове'!$C$1:$AD$1,1,MATCH($BW$2,'Програма-кодове'!$C7:$AD7,0)),"Дублаж"))</f>
        <v>-</v>
      </c>
      <c r="BX8" s="30" t="str">
        <f>IF(COUNTIF('Програма-кодове'!$C7:$AD7,$BX$2)=0,"-",IF(COUNTIF('Програма-кодове'!$C7:$AD7,$BX$2)=1,INDEX('Програма-кодове'!$C$1:$AD$1,1,MATCH($BX$2,'Програма-кодове'!$C7:$AD7,0)),"Дублаж"))</f>
        <v>-</v>
      </c>
      <c r="BY8" s="30" t="str">
        <f>IF(COUNTIF('Програма-кодове'!$C7:$AD7,$BY$2)=0,"-",IF(COUNTIF('Програма-кодове'!$C7:$AD7,$BY$2)=1,INDEX('Програма-кодове'!$C$1:$AD$1,1,MATCH($BY$2,'Програма-кодове'!$C7:$AD7,0)),"Дублаж"))</f>
        <v>10а</v>
      </c>
      <c r="BZ8" s="30" t="str">
        <f>IF(COUNTIF('Програма-кодове'!$C7:$AD7,$BZ$2)=0,"-",IF(COUNTIF('Програма-кодове'!$C7:$AD7,$BZ$2)=1,INDEX('Програма-кодове'!$C$1:$AD$1,1,MATCH($BZ$2,'Програма-кодове'!$C7:$AD7,0)),"Дублаж"))</f>
        <v>-</v>
      </c>
      <c r="CA8" s="30" t="str">
        <f>IF(COUNTIF('Програма-кодове'!$C7:$AD7,$CA$2)=0,"-",IF(COUNTIF('Програма-кодове'!$C7:$AD7,$CA$2)=1,INDEX('Програма-кодове'!$C$1:$AD$1,1,MATCH($CA$2,'Програма-кодове'!$C7:$AD7,0)),"Дублаж"))</f>
        <v>-</v>
      </c>
      <c r="CB8" s="30" t="str">
        <f>IF(COUNTIF('Програма-кодове'!$C7:$AD7,$CB$2)=0,"-",IF(COUNTIF('Програма-кодове'!$C7:$AD7,$CB$2)=1,INDEX('Програма-кодове'!$C$1:$AD$1,1,MATCH($CB$2,'Програма-кодове'!$C7:$AD7,0)),"Дублаж"))</f>
        <v>9а</v>
      </c>
      <c r="CC8" s="30" t="str">
        <f>IF(COUNTIF('Програма-кодове'!$C7:$AD7,$CC$2)=0,"-",IF(COUNTIF('Програма-кодове'!$C7:$AD7,$CC$2)=1,INDEX('Програма-кодове'!$C$1:$AD$1,1,MATCH($CC$2,'Програма-кодове'!$C7:$AD7,0)),"Дублаж"))</f>
        <v>-</v>
      </c>
      <c r="CD8" s="30" t="str">
        <f>IF(COUNTIF('Програма-кодове'!$C7:$AD7,$CD$2)=0,"-",IF(COUNTIF('Програма-кодове'!$C7:$AD7,$CD$2)=1,INDEX('Програма-кодове'!$C$1:$AD$1,1,MATCH($CD$2,'Програма-кодове'!$C7:$AD7,0)),"Дублаж"))</f>
        <v>-</v>
      </c>
      <c r="CE8" s="30" t="str">
        <f>IF(COUNTIF('Програма-кодове'!$C7:$AD7,$CE$2)=0,"-",IF(COUNTIF('Програма-кодове'!$C7:$AD7,$CE$2)=1,INDEX('Програма-кодове'!$C$1:$AD$1,1,MATCH($CE$2,'Програма-кодове'!$C7:$AD7,0)),"Дублаж"))</f>
        <v>12в</v>
      </c>
    </row>
    <row r="9" spans="1:83" ht="13.5" thickBot="1">
      <c r="A9" s="368"/>
      <c r="B9" s="349">
        <v>7</v>
      </c>
      <c r="C9" s="195" t="str">
        <f>IF(COUNTIF('Програма-кодове'!$C8:$AD8,$C$2)=0,"-",IF(COUNTIF('Програма-кодове'!$C8:$AD8,$C$2)=1,INDEX('Програма-кодове'!$C$1:$AD$1,1,MATCH($C$2,'Програма-кодове'!$C8:$AD8,0)),"Дублаж"))</f>
        <v>-</v>
      </c>
      <c r="D9" s="320" t="str">
        <f>IF(COUNTIF('Програма-кодове'!$C8:$AD8,$D$2)=0,"-",IF(COUNTIF('Програма-кодове'!$C8:$AD8,$D$2)=1,INDEX('Програма-кодове'!$C$1:$AD$1,1,MATCH($D$2,'Програма-кодове'!$C8:$AD8,0)),"Дублаж"))</f>
        <v>11г</v>
      </c>
      <c r="E9" s="320" t="str">
        <f>IF(COUNTIF('Програма-кодове'!$C8:$AD8,$E$2)=0,"-",IF(COUNTIF('Програма-кодове'!$C8:$AD8,$E$2)=1,INDEX('Програма-кодове'!$C$1:$AD$1,1,MATCH($E$2,'Програма-кодове'!$C8:$AD8,0)),"Дублаж"))</f>
        <v>-</v>
      </c>
      <c r="F9" s="195" t="str">
        <f>IF(COUNTIF('Програма-кодове'!$C8:$AD8,$F$2)=0,"-",IF(COUNTIF('Програма-кодове'!$C8:$AD8,$F$2)=1,INDEX('Програма-кодове'!$C$1:$AD$1,1,MATCH($F$2,'Програма-кодове'!$C8:$AD8,0)),"Дублаж"))</f>
        <v>10г</v>
      </c>
      <c r="G9" s="195" t="str">
        <f>IF(COUNTIF('Програма-кодове'!$C8:$AD8,$G$2)=0,"-",IF(COUNTIF('Програма-кодове'!$C8:$AD8,$G$2)=1,INDEX('Програма-кодове'!$C$1:$AD$1,1,MATCH($G$2,'Програма-кодове'!$C8:$AD8,0)),"Дублаж"))</f>
        <v>12а</v>
      </c>
      <c r="H9" s="195" t="str">
        <f>IF(COUNTIF('Програма-кодове'!$C8:$AD8,$H$2)=0,"-",IF(COUNTIF('Програма-кодове'!$C8:$AD8,$H$2)=1,INDEX('Програма-кодове'!$C$1:$AD$1,1,MATCH($H$2,'Програма-кодове'!$C8:$AD8,0)),"Дублаж"))</f>
        <v>9д</v>
      </c>
      <c r="I9" s="195" t="str">
        <f>IF(COUNTIF('Програма-кодове'!$C8:$AD8,$I$2)=0,"-",IF(COUNTIF('Програма-кодове'!$C8:$AD8,$I$2)=1,INDEX('Програма-кодове'!$C$1:$AD$1,1,MATCH($I$2,'Програма-кодове'!$C8:$AD8,0)),"Дублаж"))</f>
        <v>-</v>
      </c>
      <c r="J9" s="194" t="str">
        <f>IF(COUNTIF('Програма-кодове'!$C8:$AD8,$J$2)=0,"-",IF(COUNTIF('Програма-кодове'!$C8:$AD8,$J$2)=1,INDEX('Програма-кодове'!$C$1:$AD$1,1,MATCH($J$2,'Програма-кодове'!$C8:$AD8,0)),"Дублаж"))</f>
        <v>-</v>
      </c>
      <c r="K9" s="195" t="str">
        <f>IF(COUNTIF('Програма-кодове'!$C8:$AD8,$K$2)=0,"-",IF(COUNTIF('Програма-кодове'!$C8:$AD8,$K$2)=1,INDEX('Програма-кодове'!$C$1:$AD$1,1,MATCH($K$2,'Програма-кодове'!$C8:$AD8,0)),"Дублаж"))</f>
        <v>-</v>
      </c>
      <c r="L9" s="195" t="str">
        <f>IF(COUNTIF('Програма-кодове'!$C8:$AD8,$L$2)=0,"-",IF(COUNTIF('Програма-кодове'!$C8:$AD8,$L$2)=1,INDEX('Програма-кодове'!$C$1:$AD$1,1,MATCH($L$2,'Програма-кодове'!$C8:$AD8,0)),"Дублаж"))</f>
        <v>11а</v>
      </c>
      <c r="M9" s="340" t="str">
        <f>IF(COUNTIF('Програма-кодове'!$C8:$AD8,$M$2)=0,"-",IF(COUNTIF('Програма-кодове'!$C8:$AD8,$M$2)=1,INDEX('Програма-кодове'!$C$1:$AD$1,1,MATCH($M$2,'Програма-кодове'!$C8:$AD8,0)),"Дублаж"))</f>
        <v>-</v>
      </c>
      <c r="N9" s="321" t="str">
        <f>IF(COUNTIF('Програма-кодове'!$C8:$AD8,$N$2)=0,"-",IF(COUNTIF('Програма-кодове'!$C8:$AD8,$N$2)=1,INDEX('Програма-кодове'!$C$1:$AD$1,1,MATCH($N$2,'Програма-кодове'!$C8:$AD8,0)),"Дублаж"))</f>
        <v>-</v>
      </c>
      <c r="O9" s="195" t="str">
        <f>IF(COUNTIF('Програма-кодове'!$C8:$AD8,$O$2)=0,"-",IF(COUNTIF('Програма-кодове'!$C8:$AD8,$O$2)=1,INDEX('Програма-кодове'!$C$1:$AD$1,1,MATCH($O$2,'Програма-кодове'!$C8:$AD8,0)),"Дублаж"))</f>
        <v>8д</v>
      </c>
      <c r="P9" s="195" t="str">
        <f>IF(COUNTIF('Програма-кодове'!$C8:$AD8,$P$2)=0,"-",IF(COUNTIF('Програма-кодове'!$C8:$AD8,$P$2)=1,INDEX('Програма-кодове'!$C$1:$AD$1,1,MATCH($P$2,'Програма-кодове'!$C8:$AD8,0)),"Дублаж"))</f>
        <v>8a</v>
      </c>
      <c r="Q9" s="195" t="str">
        <f>IF(COUNTIF('Програма-кодове'!$C8:$AD8,$Q$2)=0,"-",IF(COUNTIF('Програма-кодове'!$C8:$AD8,$Q$2)=1,INDEX('Програма-кодове'!$C$1:$AD$1,1,MATCH($Q$2,'Програма-кодове'!$C8:$AD8,0)),"Дублаж"))</f>
        <v>-</v>
      </c>
      <c r="R9" s="322" t="str">
        <f t="shared" si="0"/>
        <v>9б,в,г</v>
      </c>
      <c r="S9" s="322" t="str">
        <f t="shared" si="3"/>
        <v>9б,в,г</v>
      </c>
      <c r="T9" s="340" t="str">
        <f t="shared" si="4"/>
        <v>9б,в,г</v>
      </c>
      <c r="U9" s="195" t="str">
        <f>IF(COUNTIF('Програма-кодове'!$C8:$AD8,$U$2)=0,"-",IF(COUNTIF('Програма-кодове'!$C8:$AD8,$U$2)=1,INDEX('Програма-кодове'!$C$1:$AD$1,1,MATCH($U$2,'Програма-кодове'!$C8:$AD8,0)),"Дублаж"))</f>
        <v>12в</v>
      </c>
      <c r="V9" s="195" t="str">
        <f>IF(COUNTIF('Програма-кодове'!$C8:$AD8,$V$2)=0,"-",IF(COUNTIF('Програма-кодове'!$C8:$AD8,$V$2)=1,INDEX('Програма-кодове'!$C$1:$AD$1,1,MATCH($V$2,'Програма-кодове'!$C8:$AD8,0)),"Дублаж"))</f>
        <v>8г</v>
      </c>
      <c r="W9" s="195" t="str">
        <f>IF(COUNTIF('Програма-кодове'!$C8:$AD8,$W$2)=0,"-",IF(COUNTIF('Програма-кодове'!$C8:$AD8,$W$2)=1,INDEX('Програма-кодове'!$C$1:$AD$1,1,MATCH($W$2,'Програма-кодове'!$C8:$AD8,0)),"Дублаж"))</f>
        <v>-</v>
      </c>
      <c r="X9" s="317" t="str">
        <f>IF(COUNTIF('Програма-кодове'!$C8:$AD8,$X$2)=0,"-",IF(COUNTIF('Програма-кодове'!$C8:$AD8,$X$2)=1,INDEX('Програма-кодове'!$C$1:$AD$1,1,MATCH($X$2,'Програма-кодове'!$C8:$AD8,0)),"Дублаж"))</f>
        <v>-</v>
      </c>
      <c r="Y9" s="194" t="str">
        <f>IF(COUNTIF('Програма-кодове'!$C8:$AD8,$Y$2)=0,"-",IF(COUNTIF('Програма-кодове'!$C8:$AD8,$Y$2)=1,INDEX('Програма-кодове'!$C$1:$AD$1,1,MATCH($Y$2,'Програма-кодове'!$C8:$AD8,0)),"Дублаж"))</f>
        <v>-</v>
      </c>
      <c r="Z9" s="195" t="str">
        <f>IF(COUNTIF('Програма-кодове'!$C8:$AD8,$Z$2)=0,"-",IF(COUNTIF('Програма-кодове'!$C8:$AD8,$Z$2)=1,INDEX('Програма-кодове'!$C$1:$AD$1,1,MATCH($Z$2,'Програма-кодове'!$C8:$AD8,0)),"Дублаж"))</f>
        <v>10б</v>
      </c>
      <c r="AA9" s="322" t="str">
        <f t="shared" si="5"/>
        <v>-</v>
      </c>
      <c r="AB9" s="322" t="str">
        <f t="shared" si="6"/>
        <v>-</v>
      </c>
      <c r="AC9" s="322" t="str">
        <f t="shared" si="7"/>
        <v>-</v>
      </c>
      <c r="AD9" s="322" t="str">
        <f t="shared" si="8"/>
        <v>-</v>
      </c>
      <c r="AE9" s="322" t="str">
        <f t="shared" si="9"/>
        <v>-</v>
      </c>
      <c r="AF9" s="322" t="str">
        <f t="shared" si="10"/>
        <v>11в</v>
      </c>
      <c r="AG9" s="322" t="str">
        <f>IF(BA9&lt;&gt;"-",IF(AND(BC9="-",BG9="-",BF9="-",BM9="-",BI9="-"),BA9,"Дублаж"),IF(BC9&lt;&gt;"-",IF(AND(BG9="-",BF9="-",BM9="-",BI9="-"),BC9,"Дублаж"),IF(BG9&lt;&gt;"-",IF(AND(BF9="-",BM9="-",BI9="-"),BG9,"Дублаж"),IF(BF9&lt;&gt;"-",IF(AND(BM9="-",BI9="-"),BF9,"Дублаж"),IF(BM9&lt;&gt;"-",IF(BI9="-",BM9,BI9),BI9)))))</f>
        <v>-</v>
      </c>
      <c r="AH9" s="322" t="str">
        <f t="shared" si="12"/>
        <v>11в</v>
      </c>
      <c r="AI9" s="321" t="str">
        <f t="shared" si="13"/>
        <v>11б</v>
      </c>
      <c r="AJ9" s="322" t="str">
        <f t="shared" si="14"/>
        <v>12г</v>
      </c>
      <c r="AK9" s="195" t="str">
        <f>IF(COUNTIF('Програма-кодове'!$C8:$AD8,$AK$2)=0,"-",IF(COUNTIF('Програма-кодове'!$C8:$AD8,$AK$2)=1,INDEX('Програма-кодове'!$C$1:$AD$1,1,MATCH($AK$2,'Програма-кодове'!$C8:$AD8,0)),"Дублаж"))</f>
        <v>10в</v>
      </c>
      <c r="AL9" s="195" t="str">
        <f>IF(COUNTIF('Програма-кодове'!$C8:$AD8,$AL$2)=0,"-",IF(COUNTIF('Програма-кодове'!$C8:$AD8,$AL$2)=1,INDEX('Програма-кодове'!$C$1:$AD$1,1,MATCH($AL$2,'Програма-кодове'!$C8:$AD8,0)),"Дублаж"))</f>
        <v>10д</v>
      </c>
      <c r="AM9" s="195" t="str">
        <f>IF(COUNTIF('Програма-кодове'!$C8:$AD8,$AM$2)=0,"-",IF(COUNTIF('Програма-кодове'!$C8:$AD8,$AM$2)=1,INDEX('Програма-кодове'!$C$1:$AD$1,1,MATCH($AM$2,'Програма-кодове'!$C8:$AD8,0)),"Дублаж"))</f>
        <v>8в</v>
      </c>
      <c r="AN9" s="322" t="str">
        <f>IF(COUNTIF('Програма-кодове'!$C8:$AD8,$AN$2)=0,"-",IF(COUNTIF('Програма-кодове'!$C8:$AD8,$AN$2)=1,INDEX('Програма-кодове'!$C$1:$AD$1,1,MATCH($AN$2,'Програма-кодове'!$C8:$AD8,0)),"Дублаж"))</f>
        <v>-</v>
      </c>
      <c r="AO9" s="322">
        <f>IF(COUNTIF('Програма-кодове'!$C8:$AD8,$AO$2)=0,"-",IF(COUNTIF('Програма-кодове'!$C8:$AD8,$AO$2)=1,INDEX('Програма-кодове'!$C$1:$AD$1,1,MATCH($AO$2,'Програма-кодове'!$C8:$AD8,0)),"Дублаж"))</f>
        <v>7</v>
      </c>
      <c r="AP9" s="322" t="str">
        <f>IF(COUNTIF('Програма-кодове'!$C8:$AD8,$AP$2)=0,"-",IF(COUNTIF('Програма-кодове'!$C8:$AD8,$AP$2)=1,INDEX('Програма-кодове'!$C$1:$AD$1,1,MATCH($AP$2,'Програма-кодове'!$C8:$AD8,0)),"Дублаж"))</f>
        <v>-</v>
      </c>
      <c r="AQ9" s="322" t="str">
        <f t="shared" si="15"/>
        <v>11д</v>
      </c>
      <c r="AR9" s="322" t="str">
        <f>IF(COUNTIF('Програма-кодове'!$C8:$AD8,$AR$2)=0,"-",IF(COUNTIF('Програма-кодове'!$C8:$AD8,$AR$2)=1,INDEX('Програма-кодове'!$C$1:$AD$1,1,MATCH($AR$2,'Програма-кодове'!$C8:$AD8,0)),"Дублаж"))</f>
        <v>12д</v>
      </c>
      <c r="AS9" s="322" t="str">
        <f>IF(COUNTIF('Програма-кодове'!$C8:$AD8,$AS$2)=0,"-",IF(COUNTIF('Програма-кодове'!$C8:$AD8,$AS$2)=1,INDEX('Програма-кодове'!$C$1:$AD$1,1,MATCH($AS$2,'Програма-кодове'!$C8:$AD8,0)),"Дублаж"))</f>
        <v>10а</v>
      </c>
      <c r="AT9" s="322" t="str">
        <f>IF(COUNTIF('Програма-кодове'!$C8:$AD8,$AT$2)=0,"-",IF(COUNTIF('Програма-кодове'!$C8:$AD8,$AT$2)=1,INDEX('Програма-кодове'!$C$1:$AD$1,1,MATCH($AT$2,'Програма-кодове'!$C8:$AD8,0)),"Дублаж"))</f>
        <v>-</v>
      </c>
      <c r="AU9" s="195" t="str">
        <f t="shared" si="1"/>
        <v>-</v>
      </c>
      <c r="AV9" s="195" t="str">
        <f t="shared" si="2"/>
        <v>9а</v>
      </c>
      <c r="AW9" s="195" t="str">
        <f>IF(COUNTIF('Програма-кодове'!$C8:$AD8,$AW$2)=0,"-",IF(COUNTIF('Програма-кодове'!$C8:$AD8,$AW$2)=1,INDEX('Програма-кодове'!$C$1:$AD$1,1,MATCH($AW$2,'Програма-кодове'!$C8:$AD8,0)),"Дублаж"))</f>
        <v>-</v>
      </c>
      <c r="AX9" s="195" t="str">
        <f>IF(COUNTIF('Програма-кодове'!$C8:$AD8,$AX$2)=0,"-",IF(COUNTIF('Програма-кодове'!$C8:$AD8,$AX$2)=1,INDEX('Програма-кодове'!$C$1:$AD$1,1,MATCH($AX$2,'Програма-кодове'!$C8:$AD8,0)),"Дублаж"))</f>
        <v>8б</v>
      </c>
      <c r="AY9" s="195" t="str">
        <f>IF(COUNTIF('Програма-кодове'!$C8:$AD8,$AY$2)=0,"-",IF(COUNTIF('Програма-кодове'!$C8:$AD8,$AY$2)=1,INDEX('Програма-кодове'!$C$1:$AD$1,1,MATCH($AY$2,'Програма-кодове'!$C8:$AD8,0)),"Дублаж"))</f>
        <v>12б</v>
      </c>
      <c r="AZ9" s="323" t="str">
        <f t="shared" si="16"/>
        <v>9б,в,г</v>
      </c>
      <c r="BA9" s="30" t="str">
        <f>IF(COUNTIF('Програма-кодове'!$C8:$AD8,$BA$2)=0,"-",IF(COUNTIF('Програма-кодове'!$C8:$AD8,$BA$2)=1,INDEX('Програма-кодове'!$C$1:$AD$1,1,MATCH($BA$2,'Програма-кодове'!$C8:$AD8,0)),"Дублаж"))</f>
        <v>-</v>
      </c>
      <c r="BB9" s="30" t="str">
        <f>IF(COUNTIF('Програма-кодове'!$C8:$AD8,$BB$2)=0,"-",IF(COUNTIF('Програма-кодове'!$C8:$AD8,$BB$2)=1,INDEX('Програма-кодове'!$C$1:$AD$1,1,MATCH($BB$2,'Програма-кодове'!$C8:$AD8,0)),"Дублаж"))</f>
        <v>-</v>
      </c>
      <c r="BC9" s="30" t="str">
        <f>IF(COUNTIF('Програма-кодове'!$C8:$AD8,$BC$2)=0,"-",IF(COUNTIF('Програма-кодове'!$C8:$AD8,$BC$2)=1,INDEX('Програма-кодове'!$C$1:$AD$1,1,MATCH($BC$2,'Програма-кодове'!$C8:$AD8,0)),"Дублаж"))</f>
        <v>-</v>
      </c>
      <c r="BD9" s="30" t="str">
        <f>IF(COUNTIF('Програма-кодове'!$C8:$AD8,$BD$2)=0,"-",IF(COUNTIF('Програма-кодове'!$C8:$AD8,$BD$2)=1,INDEX('Програма-кодове'!$C$1:$AD$1,1,MATCH($BD$2,'Програма-кодове'!$C8:$AD8,0)),"Дублаж"))</f>
        <v>-</v>
      </c>
      <c r="BE9" s="30" t="str">
        <f>IF(COUNTIF('Програма-кодове'!$C8:$AD8,$BE$2)=0,"-",IF(COUNTIF('Програма-кодове'!$C8:$AD8,$BE$2)=1,INDEX('Програма-кодове'!$C$1:$AD$1,1,MATCH($BE$2,'Програма-кодове'!$C8:$AD8,0)),"Дублаж"))</f>
        <v>11в</v>
      </c>
      <c r="BF9" s="30" t="str">
        <f>IF(COUNTIF('Програма-кодове'!$C8:$AD8,$BF$2)=0,"-",IF(COUNTIF('Програма-кодове'!$C8:$AD8,$BF$2)=1,INDEX('Програма-кодове'!$C$1:$AD$1,1,MATCH($BF$2,'Програма-кодове'!$C8:$AD8,0)),"Дублаж"))</f>
        <v>-</v>
      </c>
      <c r="BG9" s="30" t="str">
        <f>IF(COUNTIF('Програма-кодове'!$C8:$AD8,$BG$2)=0,"-",IF(COUNTIF('Програма-кодове'!$C8:$AD8,$BG$2)=1,INDEX('Програма-кодове'!$C$1:$AD$1,1,MATCH($BG$2,'Програма-кодове'!$C8:$AD8,0)),"Дублаж"))</f>
        <v>-</v>
      </c>
      <c r="BH9" s="30" t="str">
        <f>IF(COUNTIF('Програма-кодове'!$C8:$AD8,$BH$2)=0,"-",IF(COUNTIF('Програма-кодове'!$C8:$AD8,$BH$2)=1,INDEX('Програма-кодове'!$C$1:$AD$1,1,MATCH($BH$2,'Програма-кодове'!$C8:$AD8,0)),"Дублаж"))</f>
        <v>-</v>
      </c>
      <c r="BI9" s="94" t="str">
        <f>IF(COUNTIF('Програма-кодове'!$C8:$AD8,$BI$2)=0,"-",IF(COUNTIF('Програма-кодове'!$C8:$AD8,$BI$2)=1,INDEX('Програма-кодове'!$C$1:$AD$1,1,MATCH($BI$2,'Програма-кодове'!$C8:$AD8,0)),IF('Програма-кодове'!Z8='Програма-кодове'!AA8,"12а,б","Дублаж")))</f>
        <v>-</v>
      </c>
      <c r="BJ9" s="94" t="str">
        <f>IF(COUNTIF('Програма-кодове'!$C8:$AD8,$BJ$2)=0,"-",IF(COUNTIF('Програма-кодове'!$C8:$AD8,$BJ$2)=1,INDEX('Програма-кодове'!$C$1:$AD$1,1,MATCH($BJ$2,'Програма-кодове'!$C8:$AD8,0)),"Дублаж"))</f>
        <v>-</v>
      </c>
      <c r="BK9" s="94" t="str">
        <f>IF(COUNTIF('Програма-кодове'!$C8:$AD8,$BK$2)=0,"-",IF(COUNTIF('Програма-кодове'!$C8:$AD8,$BK$2)=1,INDEX('Програма-кодове'!$C$1:$AD$1,1,MATCH($BK$2,'Програма-кодове'!$C8:$AD8,0)),IF('Програма-кодове'!K8='Програма-кодове'!O8,"9а,д",IF('Програма-кодове'!L8='Програма-кодове'!M8,"9б,в","Дублаж"))))</f>
        <v>-</v>
      </c>
      <c r="BL9" s="30" t="str">
        <f>IF(COUNTIF('Програма-кодове'!$C8:$AD8,$BL$2)=0,"-",IF(COUNTIF('Програма-кодове'!$C8:$AD8,$BL$2)=1,INDEX('Програма-кодове'!$C$1:$AD$1,1,MATCH($BL$2,'Програма-кодове'!$C8:$AD8,0)),"Дублаж"))</f>
        <v>-</v>
      </c>
      <c r="BM9" s="30" t="str">
        <f>IF(COUNTIF('Програма-кодове'!$C8:$AD8,$BM$2)=0,"-",IF(COUNTIF('Програма-кодове'!$C8:$AD8,$BM$2)=1,INDEX('Програма-кодове'!$C$1:$AD$1,1,MATCH($BM$2,'Програма-кодове'!$C8:$AD8,0)),"Дублаж"))</f>
        <v>-</v>
      </c>
      <c r="BN9" s="77" t="str">
        <f>IF(COUNTIF('Програма-кодове'!$C8:$AD8,$BN$2)=0,"-",IF(COUNTIF('Програма-кодове'!$C8:$AD8,$BN$2)=1,INDEX('Програма-кодове'!$C$1:$AD$1,1,MATCH($BN$2,'Програма-кодове'!$C8:$AD8,0)),IF(AND('Програма-кодове'!K8='Програма-кодове'!O8,'Програма-кодове'!K8&lt;&gt;""),"9а, д", IF(AND('Програма-кодове'!U8='Програма-кодове'!W8,'Програма-кодове'!U8&lt;&gt;""),"11а,в", "Дублаж"))))</f>
        <v>-</v>
      </c>
      <c r="BO9" s="77" t="str">
        <f>IF(COUNTIF('Програма-кодове'!$C8:$AD8,$BO$2)=0,"-",IF(COUNTIF('Програма-кодове'!$C8:$AD8,$BO$2)=1,INDEX('Програма-кодове'!$C$1:$AD$1,1,MATCH($BO$2,'Програма-кодове'!$C8:$AD8,0)),IF(AND('Програма-кодове'!U8='Програма-кодове'!W8,'Програма-кодове'!U8&lt;&gt;"" ),"11a,в","Дублаж")))</f>
        <v>-</v>
      </c>
      <c r="BP9" s="30" t="str">
        <f>IF(COUNTIF('Програма-кодове'!$C8:$AD8,$BP$2)=0,"-",IF(COUNTIF('Програма-кодове'!$C8:$AD8,$BP$2)=1,"9б,в,г","Дублаж"))</f>
        <v>9б,в,г</v>
      </c>
      <c r="BQ9" s="30" t="str">
        <f>IF(COUNTIF('Програма-кодове'!$C8:$AD8,$BQ$2)=0,"-",IF(COUNTIF('Програма-кодове'!$C8:$AD8,$BQ$2)=1,INDEX('Програма-кодове'!$C$1:$AD$1,1,MATCH($BQ$2,'Програма-кодове'!$C8:$AD8,0)),"Дублаж"))</f>
        <v>-</v>
      </c>
      <c r="BR9" s="30" t="str">
        <f>IF(COUNTIF('Програма-кодове'!$C8:$AD8,$BR$2)=0,"-",IF(COUNTIF('Програма-кодове'!$C8:$AD8,$BR$2)=1,INDEX('Програма-кодове'!$C$1:$AD$1,1,MATCH($BR$2,'Програма-кодове'!$C8:$AD8,0)),IF('Програма-кодове'!W8='Програма-кодове'!X8,"11б,в","Дублаж")))</f>
        <v>-</v>
      </c>
      <c r="BS9" s="30" t="str">
        <f>IF(COUNTIF('Програма-кодове'!$C8:$AD8,$BS$2)=0,"-",IF(COUNTIF('Програма-кодове'!$C8:$AD8,$BS$2)=1,INDEX('Програма-кодове'!$C$1:$AD$1,1,MATCH($BS$2,'Програма-кодове'!$C8:$AD8,0)),"Дублаж"))</f>
        <v>-</v>
      </c>
      <c r="BT9" s="193" t="str">
        <f t="shared" si="17"/>
        <v>9б,в,г</v>
      </c>
      <c r="BU9" s="30" t="str">
        <f>IF(COUNTIF('Програма-кодове'!$C8:$AD8,$BU$2)=0,"-",IF(COUNTIF('Програма-кодове'!$C8:$AD8,$BU$2)=1,INDEX('Програма-кодове'!$C$1:$AD$1,1,MATCH($BU$2,'Програма-кодове'!$C8:$AD8,0)),"Дублаж"))</f>
        <v>-</v>
      </c>
      <c r="BV9" s="30" t="str">
        <f>IF(COUNTIF('Програма-кодове'!$C8:$AD8,$BV$2)=0,"-",IF(COUNTIF('Програма-кодове'!$C8:$AD8,$BV$2)=1,INDEX('Програма-кодове'!$C$1:$AD$1,1,MATCH($BV$2,'Програма-кодове'!$C8:$AD8,0)),"Дублаж"))</f>
        <v>-</v>
      </c>
      <c r="BW9" s="30" t="str">
        <f>IF(COUNTIF('Програма-кодове'!$C8:$AD8,$BW$2)=0,"-",IF(COUNTIF('Програма-кодове'!$C8:$AD8,$BW$2)=1,INDEX('Програма-кодове'!$C$1:$AD$1,1,MATCH($BW$2,'Програма-кодове'!$C8:$AD8,0)),"Дублаж"))</f>
        <v>-</v>
      </c>
      <c r="BX9" s="30" t="str">
        <f>IF(COUNTIF('Програма-кодове'!$C8:$AD8,$BX$2)=0,"-",IF(COUNTIF('Програма-кодове'!$C8:$AD8,$BX$2)=1,INDEX('Програма-кодове'!$C$1:$AD$1,1,MATCH($BX$2,'Програма-кодове'!$C8:$AD8,0)),"Дублаж"))</f>
        <v>9а</v>
      </c>
      <c r="BY9" s="30" t="str">
        <f>IF(COUNTIF('Програма-кодове'!$C8:$AD8,$BY$2)=0,"-",IF(COUNTIF('Програма-кодове'!$C8:$AD8,$BY$2)=1,INDEX('Програма-кодове'!$C$1:$AD$1,1,MATCH($BY$2,'Програма-кодове'!$C8:$AD8,0)),"Дублаж"))</f>
        <v>11б</v>
      </c>
      <c r="BZ9" s="30" t="str">
        <f>IF(COUNTIF('Програма-кодове'!$C8:$AD8,$BZ$2)=0,"-",IF(COUNTIF('Програма-кодове'!$C8:$AD8,$BZ$2)=1,INDEX('Програма-кодове'!$C$1:$AD$1,1,MATCH($BZ$2,'Програма-кодове'!$C8:$AD8,0)),"Дублаж"))</f>
        <v>-</v>
      </c>
      <c r="CA9" s="30" t="str">
        <f>IF(COUNTIF('Програма-кодове'!$C8:$AD8,$CA$2)=0,"-",IF(COUNTIF('Програма-кодове'!$C8:$AD8,$CA$2)=1,INDEX('Програма-кодове'!$C$1:$AD$1,1,MATCH($CA$2,'Програма-кодове'!$C8:$AD8,0)),"Дублаж"))</f>
        <v>-</v>
      </c>
      <c r="CB9" s="30" t="str">
        <f>IF(COUNTIF('Програма-кодове'!$C8:$AD8,$CB$2)=0,"-",IF(COUNTIF('Програма-кодове'!$C8:$AD8,$CB$2)=1,INDEX('Програма-кодове'!$C$1:$AD$1,1,MATCH($CB$2,'Програма-кодове'!$C8:$AD8,0)),"Дублаж"))</f>
        <v>11д</v>
      </c>
      <c r="CC9" s="30" t="str">
        <f>IF(COUNTIF('Програма-кодове'!$C8:$AD8,$CC$2)=0,"-",IF(COUNTIF('Програма-кодове'!$C8:$AD8,$CC$2)=1,INDEX('Програма-кодове'!$C$1:$AD$1,1,MATCH($CC$2,'Програма-кодове'!$C8:$AD8,0)),"Дублаж"))</f>
        <v>12г</v>
      </c>
      <c r="CD9" s="30" t="str">
        <f>IF(COUNTIF('Програма-кодове'!$C8:$AD8,$CD$2)=0,"-",IF(COUNTIF('Програма-кодове'!$C8:$AD8,$CD$2)=1,INDEX('Програма-кодове'!$C$1:$AD$1,1,MATCH($CD$2,'Програма-кодове'!$C8:$AD8,0)),"Дублаж"))</f>
        <v>-</v>
      </c>
      <c r="CE9" s="30" t="str">
        <f>IF(COUNTIF('Програма-кодове'!$C8:$AD8,$CE$2)=0,"-",IF(COUNTIF('Програма-кодове'!$C8:$AD8,$CE$2)=1,INDEX('Програма-кодове'!$C$1:$AD$1,1,MATCH($CE$2,'Програма-кодове'!$C8:$AD8,0)),"Дублаж"))</f>
        <v>-</v>
      </c>
    </row>
    <row r="10" spans="1:83" ht="13.5" customHeight="1">
      <c r="A10" s="369" t="s">
        <v>25</v>
      </c>
      <c r="B10" s="350">
        <v>1</v>
      </c>
      <c r="C10" s="20" t="str">
        <f>IF(COUNTIF('Програма-кодове'!$C9:$AD9,$C$2)=0,"-",IF(COUNTIF('Програма-кодове'!$C9:$AD9,$C$2)=1,INDEX('Програма-кодове'!$C$1:$AD$1,1,MATCH($C$2,'Програма-кодове'!$C9:$AD9,0)),"Дублаж"))</f>
        <v>-</v>
      </c>
      <c r="D10" s="20" t="str">
        <f>IF(COUNTIF('Програма-кодове'!$C9:$AD9,$D$2)=0,"-",IF(COUNTIF('Програма-кодове'!$C9:$AD9,$D$2)=1,INDEX('Програма-кодове'!$C$1:$AD$1,1,MATCH($D$2,'Програма-кодове'!$C9:$AD9,0)),"Дублаж"))</f>
        <v>-</v>
      </c>
      <c r="E10" s="20" t="str">
        <f>IF(COUNTIF('Програма-кодове'!$C9:$AD9,$E$2)=0,"-",IF(COUNTIF('Програма-кодове'!$C9:$AD9,$E$2)=1,INDEX('Програма-кодове'!$C$1:$AD$1,1,MATCH($E$2,'Програма-кодове'!$C9:$AD9,0)),"Дублаж"))</f>
        <v>-</v>
      </c>
      <c r="F10" s="20" t="str">
        <f>IF(COUNTIF('Програма-кодове'!$C9:$AD9,$F$2)=0,"-",IF(COUNTIF('Програма-кодове'!$C9:$AD9,$F$2)=1,INDEX('Програма-кодове'!$C$1:$AD$1,1,MATCH($F$2,'Програма-кодове'!$C9:$AD9,0)),"Дублаж"))</f>
        <v>8б</v>
      </c>
      <c r="G10" s="20" t="str">
        <f>IF(COUNTIF('Програма-кодове'!$C9:$AD9,$G$2)=0,"-",IF(COUNTIF('Програма-кодове'!$C9:$AD9,$G$2)=1,INDEX('Програма-кодове'!$C$1:$AD$1,1,MATCH($G$2,'Програма-кодове'!$C9:$AD9,0)),"Дублаж"))</f>
        <v>12г</v>
      </c>
      <c r="H10" s="20" t="str">
        <f>IF(COUNTIF('Програма-кодове'!$C9:$AD9,$H$2)=0,"-",IF(COUNTIF('Програма-кодове'!$C9:$AD9,$H$2)=1,INDEX('Програма-кодове'!$C$1:$AD$1,1,MATCH($H$2,'Програма-кодове'!$C9:$AD9,0)),"Дублаж"))</f>
        <v>-</v>
      </c>
      <c r="I10" s="20" t="str">
        <f>IF(COUNTIF('Програма-кодове'!$C9:$AD9,$I$2)=0,"-",IF(COUNTIF('Програма-кодове'!$C9:$AD9,$I$2)=1,INDEX('Програма-кодове'!$C$1:$AD$1,1,MATCH($I$2,'Програма-кодове'!$C9:$AD9,0)),"Дублаж"))</f>
        <v>11в</v>
      </c>
      <c r="J10" s="20" t="str">
        <f>IF(COUNTIF('Програма-кодове'!$C9:$AD9,$J$2)=0,"-",IF(COUNTIF('Програма-кодове'!$C9:$AD9,$J$2)=1,INDEX('Програма-кодове'!$C$1:$AD$1,1,MATCH($J$2,'Програма-кодове'!$C9:$AD9,0)),"Дублаж"))</f>
        <v>8г</v>
      </c>
      <c r="K10" s="20" t="str">
        <f>IF(COUNTIF('Програма-кодове'!$C9:$AD9,$K$2)=0,"-",IF(COUNTIF('Програма-кодове'!$C9:$AD9,$K$2)=1,INDEX('Програма-кодове'!$C$1:$AD$1,1,MATCH($K$2,'Програма-кодове'!$C9:$AD9,0)),"Дублаж"))</f>
        <v>12д</v>
      </c>
      <c r="L10" s="20" t="str">
        <f>IF(COUNTIF('Програма-кодове'!$C9:$AD9,$L$2)=0,"-",IF(COUNTIF('Програма-кодове'!$C9:$AD9,$L$2)=1,INDEX('Програма-кодове'!$C$1:$AD$1,1,MATCH($L$2,'Програма-кодове'!$C9:$AD9,0)),"Дублаж"))</f>
        <v>-</v>
      </c>
      <c r="M10" s="20" t="str">
        <f>IF(COUNTIF('Програма-кодове'!$C9:$AD9,$M$2)=0,"-",IF(COUNTIF('Програма-кодове'!$C9:$AD9,$M$2)=1,INDEX('Програма-кодове'!$C$1:$AD$1,1,MATCH($M$2,'Програма-кодове'!$C9:$AD9,0)),"Дублаж"))</f>
        <v>10б</v>
      </c>
      <c r="N10" s="20">
        <f>IF(COUNTIF('Програма-кодове'!$C9:$AD9,$N$2)=0,"-",IF(COUNTIF('Програма-кодове'!$C9:$AD9,$N$2)=1,INDEX('Програма-кодове'!$C$1:$AD$1,1,MATCH($N$2,'Програма-кодове'!$C9:$AD9,0)),"Дублаж"))</f>
        <v>6</v>
      </c>
      <c r="O10" s="20">
        <f>IF(COUNTIF('Програма-кодове'!$C9:$AD9,$O$2)=0,"-",IF(COUNTIF('Програма-кодове'!$C9:$AD9,$O$2)=1,INDEX('Програма-кодове'!$C$1:$AD$1,1,MATCH($O$2,'Програма-кодове'!$C9:$AD9,0)),"Дублаж"))</f>
        <v>5</v>
      </c>
      <c r="P10" s="20" t="str">
        <f>IF(COUNTIF('Програма-кодове'!$C9:$AD9,$P$2)=0,"-",IF(COUNTIF('Програма-кодове'!$C9:$AD9,$P$2)=1,INDEX('Програма-кодове'!$C$1:$AD$1,1,MATCH($P$2,'Програма-кодове'!$C9:$AD9,0)),"Дублаж"))</f>
        <v>8a</v>
      </c>
      <c r="Q10" s="20" t="str">
        <f>IF(COUNTIF('Програма-кодове'!$C9:$AD9,$Q$2)=0,"-",IF(COUNTIF('Програма-кодове'!$C9:$AD9,$Q$2)=1,INDEX('Програма-кодове'!$C$1:$AD$1,1,MATCH($Q$2,'Програма-кодове'!$C9:$AD9,0)),"Дублаж"))</f>
        <v>-</v>
      </c>
      <c r="R10" s="324" t="str">
        <f t="shared" si="0"/>
        <v>-</v>
      </c>
      <c r="S10" s="324" t="str">
        <f>IF(BO10&lt;&gt;"-",IF(AND(BQ10="-",BP10="-"),BO10,"Дублаж"),IF(AND(BQ10&lt;&gt;"-",BP10&lt;&gt;"-"),"Дублаж",IF(BQ10&lt;&gt;"-",BQ10,BP10)))</f>
        <v>11г</v>
      </c>
      <c r="T10" s="324" t="str">
        <f t="shared" si="4"/>
        <v>-</v>
      </c>
      <c r="U10" s="20" t="str">
        <f>IF(COUNTIF('Програма-кодове'!$C9:$AD9,$U$2)=0,"-",IF(COUNTIF('Програма-кодове'!$C9:$AD9,$U$2)=1,INDEX('Програма-кодове'!$C$1:$AD$1,1,MATCH($U$2,'Програма-кодове'!$C9:$AD9,0)),"Дублаж"))</f>
        <v>12в</v>
      </c>
      <c r="V10" s="20" t="str">
        <f>IF(COUNTIF('Програма-кодове'!$C9:$AD9,$V$2)=0,"-",IF(COUNTIF('Програма-кодове'!$C9:$AD9,$V$2)=1,INDEX('Програма-кодове'!$C$1:$AD$1,1,MATCH($V$2,'Програма-кодове'!$C9:$AD9,0)),"Дублаж"))</f>
        <v>9а</v>
      </c>
      <c r="W10" s="20" t="str">
        <f>IF(COUNTIF('Програма-кодове'!$C9:$AD9,$W$2)=0,"-",IF(COUNTIF('Програма-кодове'!$C9:$AD9,$W$2)=1,INDEX('Програма-кодове'!$C$1:$AD$1,1,MATCH($W$2,'Програма-кодове'!$C9:$AD9,0)),"Дублаж"))</f>
        <v>10а</v>
      </c>
      <c r="X10" s="20" t="str">
        <f>IF(COUNTIF('Програма-кодове'!$C9:$AD9,$X$2)=0,"-",IF(COUNTIF('Програма-кодове'!$C9:$AD9,$X$2)=1,INDEX('Програма-кодове'!$C$1:$AD$1,1,MATCH($X$2,'Програма-кодове'!$C9:$AD9,0)),"Дублаж"))</f>
        <v>-</v>
      </c>
      <c r="Y10" s="20" t="str">
        <f>IF(COUNTIF('Програма-кодове'!$C9:$AD9,$Y$2)=0,"-",IF(COUNTIF('Програма-кодове'!$C9:$AD9,$Y$2)=1,INDEX('Програма-кодове'!$C$1:$AD$1,1,MATCH($Y$2,'Програма-кодове'!$C9:$AD9,0)),"Дублаж"))</f>
        <v>-</v>
      </c>
      <c r="Z10" s="20" t="str">
        <f>IF(COUNTIF('Програма-кодове'!$C9:$AD9,$Z$2)=0,"-",IF(COUNTIF('Програма-кодове'!$C9:$AD9,$Z$2)=1,INDEX('Програма-кодове'!$C$1:$AD$1,1,MATCH($Z$2,'Програма-кодове'!$C9:$AD9,0)),"Дублаж"))</f>
        <v>10в</v>
      </c>
      <c r="AA10" s="324" t="str">
        <f>IF(BH10&lt;&gt;"-",IF(AND(BL10="-",BI10="-"),BH10,"Дублаж"),IF(BL10&lt;&gt;"-",IF(BI10="-",BL10,"Дублаж"),BI10))</f>
        <v>12а</v>
      </c>
      <c r="AB10" s="324" t="str">
        <f t="shared" si="6"/>
        <v>8в</v>
      </c>
      <c r="AC10" s="324" t="str">
        <f t="shared" si="7"/>
        <v>10г</v>
      </c>
      <c r="AD10" s="324" t="str">
        <f t="shared" si="8"/>
        <v>10г</v>
      </c>
      <c r="AE10" s="324" t="str">
        <f t="shared" si="9"/>
        <v>12а</v>
      </c>
      <c r="AF10" s="324" t="str">
        <f t="shared" si="10"/>
        <v>11а</v>
      </c>
      <c r="AG10" s="324" t="str">
        <f t="shared" ref="AG10:AG11" si="19">IF(BA10&lt;&gt;"-",IF(AND(BC10="-",BG10="-",BF10="-",BM10="-",BI10="-"),BA10,"Дублаж"),IF(BC10&lt;&gt;"-",IF(AND(BG10="-",BF10="-",BM10="-",BI10="-"),BC10,"Дублаж"),IF(BG10&lt;&gt;"-",IF(AND(BF10="-",BM10="-",BI10="-"),BG10,"Дублаж"),IF(BF10&lt;&gt;"-",IF(AND(BM10="-",BI10="-"),BF10,"Дублаж"),IF(BM10&lt;&gt;"-",IF(BI10="-",BM10,BI10),BI10)))))</f>
        <v>8в</v>
      </c>
      <c r="AH10" s="324" t="str">
        <f t="shared" si="12"/>
        <v>11а</v>
      </c>
      <c r="AI10" s="20">
        <f t="shared" si="13"/>
        <v>7</v>
      </c>
      <c r="AJ10" s="324" t="str">
        <f>IF(CC10&lt;&gt;"-",IF(AND(CD10="-",CE10="-"),CC10,"Дублаж"),IF(AND(CD10&lt;&gt;"-",CE10&lt;&gt;"-"),"Дублаж",IF(CD10&lt;&gt;"-",CD10,CE10)))</f>
        <v>12б</v>
      </c>
      <c r="AK10" s="332" t="str">
        <f>IF(COUNTIF('Програма-кодове'!$C9:$AD9,$AK$2)=0,"-",IF(COUNTIF('Програма-кодове'!$C9:$AD9,$AK$2)=1,INDEX('Програма-кодове'!$C$1:$AD$1,1,MATCH($AK$2,'Програма-кодове'!$C9:$AD9,0)),"Дублаж"))</f>
        <v>-</v>
      </c>
      <c r="AL10" s="20" t="str">
        <f>IF(COUNTIF('Програма-кодове'!$C9:$AD9,$AL$2)=0,"-",IF(COUNTIF('Програма-кодове'!$C9:$AD9,$AL$2)=1,INDEX('Програма-кодове'!$C$1:$AD$1,1,MATCH($AL$2,'Програма-кодове'!$C9:$AD9,0)),"Дублаж"))</f>
        <v>9б</v>
      </c>
      <c r="AM10" s="332" t="str">
        <f>IF(COUNTIF('Програма-кодове'!$C9:$AD9,$AM$2)=0,"-",IF(COUNTIF('Програма-кодове'!$C9:$AD9,$AM$2)=1,INDEX('Програма-кодове'!$C$1:$AD$1,1,MATCH($AM$2,'Програма-кодове'!$C9:$AD9,0)),"Дублаж"))</f>
        <v>10д</v>
      </c>
      <c r="AN10" s="324" t="str">
        <f>IF(COUNTIF('Програма-кодове'!$C9:$AD9,$AN$2)=0,"-",IF(COUNTIF('Програма-кодове'!$C9:$AD9,$AN$2)=1,INDEX('Програма-кодове'!$C$1:$AD$1,1,MATCH($AN$2,'Програма-кодове'!$C9:$AD9,0)),"Дублаж"))</f>
        <v>11б</v>
      </c>
      <c r="AO10" s="324" t="str">
        <f>IF(COUNTIF('Програма-кодове'!$C9:$AD9,$AO$2)=0,"-",IF(COUNTIF('Програма-кодове'!$C9:$AD9,$AO$2)=1,INDEX('Програма-кодове'!$C$1:$AD$1,1,MATCH($AO$2,'Програма-кодове'!$C9:$AD9,0)),"Дублаж"))</f>
        <v>9д</v>
      </c>
      <c r="AP10" s="324" t="str">
        <f>IF(COUNTIF('Програма-кодове'!$C9:$AD9,$AP$2)=0,"-",IF(COUNTIF('Програма-кодове'!$C9:$AD9,$AP$2)=1,INDEX('Програма-кодове'!$C$1:$AD$1,1,MATCH($AP$2,'Програма-кодове'!$C9:$AD9,0)),"Дублаж"))</f>
        <v>-</v>
      </c>
      <c r="AQ10" s="324" t="str">
        <f t="shared" si="15"/>
        <v>11д</v>
      </c>
      <c r="AR10" s="324" t="str">
        <f>IF(COUNTIF('Програма-кодове'!$C9:$AD9,$AR$2)=0,"-",IF(COUNTIF('Програма-кодове'!$C9:$AD9,$AR$2)=1,INDEX('Програма-кодове'!$C$1:$AD$1,1,MATCH($AR$2,'Програма-кодове'!$C9:$AD9,0)),"Дублаж"))</f>
        <v>-</v>
      </c>
      <c r="AS10" s="324" t="str">
        <f>IF(COUNTIF('Програма-кодове'!$C9:$AD9,$AS$2)=0,"-",IF(COUNTIF('Програма-кодове'!$C9:$AD9,$AS$2)=1,INDEX('Програма-кодове'!$C$1:$AD$1,1,MATCH($AS$2,'Програма-кодове'!$C9:$AD9,0)),"Дублаж"))</f>
        <v>-</v>
      </c>
      <c r="AT10" s="324" t="str">
        <f>IF(COUNTIF('Програма-кодове'!$C9:$AD9,$AT$2)=0,"-",IF(COUNTIF('Програма-кодове'!$C9:$AD9,$AT$2)=1,INDEX('Програма-кодове'!$C$1:$AD$1,1,MATCH($AT$2,'Програма-кодове'!$C9:$AD9,0)),"Дублаж"))</f>
        <v>9в</v>
      </c>
      <c r="AU10" s="196" t="str">
        <f t="shared" si="1"/>
        <v>-</v>
      </c>
      <c r="AV10" s="196" t="str">
        <f t="shared" si="2"/>
        <v>-</v>
      </c>
      <c r="AW10" s="196" t="str">
        <f>IF(COUNTIF('Програма-кодове'!$C9:$AD9,$AW$2)=0,"-",IF(COUNTIF('Програма-кодове'!$C9:$AD9,$AW$2)=1,INDEX('Програма-кодове'!$C$1:$AD$1,1,MATCH($AW$2,'Програма-кодове'!$C9:$AD9,0)),"Дублаж"))</f>
        <v>9г</v>
      </c>
      <c r="AX10" s="196" t="str">
        <f>IF(COUNTIF('Програма-кодове'!$C9:$AD9,$AX$2)=0,"-",IF(COUNTIF('Програма-кодове'!$C9:$AD9,$AX$2)=1,INDEX('Програма-кодове'!$C$1:$AD$1,1,MATCH($AX$2,'Програма-кодове'!$C9:$AD9,0)),"Дублаж"))</f>
        <v>8д</v>
      </c>
      <c r="AY10" s="196" t="str">
        <f>IF(COUNTIF('Програма-кодове'!$C9:$AD9,$AY$2)=0,"-",IF(COUNTIF('Програма-кодове'!$C9:$AD9,$AY$2)=1,INDEX('Програма-кодове'!$C$1:$AD$1,1,MATCH($AY$2,'Програма-кодове'!$C9:$AD9,0)),"Дублаж"))</f>
        <v>-</v>
      </c>
      <c r="AZ10" s="324" t="str">
        <f>IF(AND(BS10&lt;&gt;"-",BT10&lt;&gt;"-"),"Дублаж",IF(BS10&lt;&gt;"-",BS10,BT10))</f>
        <v>-</v>
      </c>
      <c r="BA10" s="30" t="str">
        <f>IF(COUNTIF('Програма-кодове'!$C9:$AD9,$BA$2)=0,"-",IF(COUNTIF('Програма-кодове'!$C9:$AD9,$BA$2)=1,INDEX('Програма-кодове'!$C$1:$AD$1,1,MATCH($BA$2,'Програма-кодове'!$C9:$AD9,0)),"Дублаж"))</f>
        <v>8в</v>
      </c>
      <c r="BB10" s="30" t="str">
        <f>IF(COUNTIF('Програма-кодове'!$C9:$AD9,$BB$2)=0,"-",IF(COUNTIF('Програма-кодове'!$C9:$AD9,$BB$2)=1,INDEX('Програма-кодове'!$C$1:$AD$1,1,MATCH($BB$2,'Програма-кодове'!$C9:$AD9,0)),"Дублаж"))</f>
        <v>-</v>
      </c>
      <c r="BC10" s="30" t="str">
        <f>IF(COUNTIF('Програма-кодове'!$C9:$AD9,$BC$2)=0,"-",IF(COUNTIF('Програма-кодове'!$C9:$AD9,$BC$2)=1,INDEX('Програма-кодове'!$C$1:$AD$1,1,MATCH($BC$2,'Програма-кодове'!$C9:$AD9,0)),"Дублаж"))</f>
        <v>-</v>
      </c>
      <c r="BD10" s="30" t="str">
        <f>IF(COUNTIF('Програма-кодове'!$C9:$AD9,$BD$2)=0,"-",IF(COUNTIF('Програма-кодове'!$C9:$AD9,$BD$2)=1,INDEX('Програма-кодове'!$C$1:$AD$1,1,MATCH($BD$2,'Програма-кодове'!$C9:$AD9,0)),"Дублаж"))</f>
        <v>10г</v>
      </c>
      <c r="BE10" s="30" t="str">
        <f>IF(COUNTIF('Програма-кодове'!$C9:$AD9,$BE$2)=0,"-",IF(COUNTIF('Програма-кодове'!$C9:$AD9,$BE$2)=1,INDEX('Програма-кодове'!$C$1:$AD$1,1,MATCH($BE$2,'Програма-кодове'!$C9:$AD9,0)),"Дублаж"))</f>
        <v>11а</v>
      </c>
      <c r="BF10" s="30" t="str">
        <f>IF(COUNTIF('Програма-кодове'!$C9:$AD9,$BF$2)=0,"-",IF(COUNTIF('Програма-кодове'!$C9:$AD9,$BF$2)=1,INDEX('Програма-кодове'!$C$1:$AD$1,1,MATCH($BF$2,'Програма-кодове'!$C9:$AD9,0)),"Дублаж"))</f>
        <v>-</v>
      </c>
      <c r="BG10" s="30" t="str">
        <f>IF(COUNTIF('Програма-кодове'!$C9:$AD9,$BG$2)=0,"-",IF(COUNTIF('Програма-кодове'!$C9:$AD9,$BG$2)=1,INDEX('Програма-кодове'!$C$1:$AD$1,1,MATCH($BG$2,'Програма-кодове'!$C9:$AD9,0)),"Дублаж"))</f>
        <v>-</v>
      </c>
      <c r="BH10" s="30" t="str">
        <f>IF(COUNTIF('Програма-кодове'!$C9:$AD9,$BH$2)=0,"-",IF(COUNTIF('Програма-кодове'!$C9:$AD9,$BH$2)=1,INDEX('Програма-кодове'!$C$1:$AD$1,1,MATCH($BH$2,'Програма-кодове'!$C9:$AD9,0)),"Дублаж"))</f>
        <v>12а</v>
      </c>
      <c r="BI10" s="94" t="str">
        <f>IF(COUNTIF('Програма-кодове'!$C9:$AD9,$BI$2)=0,"-",IF(COUNTIF('Програма-кодове'!$C9:$AD9,$BI$2)=1,INDEX('Програма-кодове'!$C$1:$AD$1,1,MATCH($BI$2,'Програма-кодове'!$C9:$AD9,0)),IF('Програма-кодове'!Z9='Програма-кодове'!AA9,"12а,б","Дублаж")))</f>
        <v>-</v>
      </c>
      <c r="BJ10" s="94" t="str">
        <f>IF(COUNTIF('Програма-кодове'!$C9:$AD9,$BJ$2)=0,"-",IF(COUNTIF('Програма-кодове'!$C9:$AD9,$BJ$2)=1,INDEX('Програма-кодове'!$C$1:$AD$1,1,MATCH($BJ$2,'Програма-кодове'!$C9:$AD9,0)),"Дублаж"))</f>
        <v>-</v>
      </c>
      <c r="BK10" s="94" t="str">
        <f>IF(COUNTIF('Програма-кодове'!$C9:$AD9,$BK$2)=0,"-",IF(COUNTIF('Програма-кодове'!$C9:$AD9,$BK$2)=1,INDEX('Програма-кодове'!$C$1:$AD$1,1,MATCH($BK$2,'Програма-кодове'!$C9:$AD9,0)),IF('Програма-кодове'!K9='Програма-кодове'!O9,"9а,д",IF('Програма-кодове'!L9='Програма-кодове'!M9,"9б,в","Дублаж"))))</f>
        <v>-</v>
      </c>
      <c r="BL10" s="30" t="str">
        <f>IF(COUNTIF('Програма-кодове'!$C9:$AD9,$BL$2)=0,"-",IF(COUNTIF('Програма-кодове'!$C9:$AD9,$BL$2)=1,INDEX('Програма-кодове'!$C$1:$AD$1,1,MATCH($BL$2,'Програма-кодове'!$C9:$AD9,0)),"Дублаж"))</f>
        <v>-</v>
      </c>
      <c r="BM10" s="30" t="str">
        <f>IF(COUNTIF('Програма-кодове'!$C9:$AD9,$BM$2)=0,"-",IF(COUNTIF('Програма-кодове'!$C9:$AD9,$BM$2)=1,INDEX('Програма-кодове'!$C$1:$AD$1,1,MATCH($BM$2,'Програма-кодове'!$C9:$AD9,0)),"Дублаж"))</f>
        <v>-</v>
      </c>
      <c r="BN10" s="77" t="str">
        <f>IF(COUNTIF('Програма-кодове'!$C9:$AD9,$BN$2)=0,"-",IF(COUNTIF('Програма-кодове'!$C9:$AD9,$BN$2)=1,INDEX('Програма-кодове'!$C$1:$AD$1,1,MATCH($BN$2,'Програма-кодове'!$C9:$AD9,0)),IF(AND('Програма-кодове'!K9='Програма-кодове'!O9,'Програма-кодове'!K9&lt;&gt;""),"9а, д", IF(AND('Програма-кодове'!U9='Програма-кодове'!W9,'Програма-кодове'!U9&lt;&gt;""),"11а,в", "Дублаж"))))</f>
        <v>-</v>
      </c>
      <c r="BO10" s="77" t="str">
        <f>IF(COUNTIF('Програма-кодове'!$C9:$AD9,$BO$2)=0,"-",IF(COUNTIF('Програма-кодове'!$C9:$AD9,$BO$2)=1,INDEX('Програма-кодове'!$C$1:$AD$1,1,MATCH($BO$2,'Програма-кодове'!$C9:$AD9,0)),IF(AND('Програма-кодове'!U9='Програма-кодове'!W9,'Програма-кодове'!U9&lt;&gt;"" ),"11a,в","Дублаж")))</f>
        <v>-</v>
      </c>
      <c r="BP10" s="30" t="str">
        <f>IF(COUNTIF('Програма-кодове'!$C9:$AD9,$BP$2)=0,"-",IF(COUNTIF('Програма-кодове'!$C9:$AD9,$BP$2)=1,"9б,в,г","Дублаж"))</f>
        <v>-</v>
      </c>
      <c r="BQ10" s="30" t="str">
        <f>IF(COUNTIF('Програма-кодове'!$C9:$AD9,$BQ$2)=0,"-",IF(COUNTIF('Програма-кодове'!$C9:$AD9,$BQ$2)=1,INDEX('Програма-кодове'!$C$1:$AD$1,1,MATCH($BQ$2,'Програма-кодове'!$C9:$AD9,0)),"Дублаж"))</f>
        <v>11г</v>
      </c>
      <c r="BR10" s="30" t="str">
        <f>IF(COUNTIF('Програма-кодове'!$C9:$AD9,$BR$2)=0,"-",IF(COUNTIF('Програма-кодове'!$C9:$AD9,$BR$2)=1,INDEX('Програма-кодове'!$C$1:$AD$1,1,MATCH($BR$2,'Програма-кодове'!$C9:$AD9,0)),IF('Програма-кодове'!W9='Програма-кодове'!X9,"11б,в","Дублаж")))</f>
        <v>-</v>
      </c>
      <c r="BS10" s="30" t="str">
        <f>IF(COUNTIF('Програма-кодове'!$C9:$AD9,$BS$2)=0,"-",IF(COUNTIF('Програма-кодове'!$C9:$AD9,$BS$2)=1,INDEX('Програма-кодове'!$C$1:$AD$1,1,MATCH($BS$2,'Програма-кодове'!$C9:$AD9,0)),"Дублаж"))</f>
        <v>-</v>
      </c>
      <c r="BT10" s="193" t="str">
        <f t="shared" si="17"/>
        <v>-</v>
      </c>
      <c r="BU10" s="30" t="str">
        <f>IF(COUNTIF('Програма-кодове'!$C9:$AD9,$BU$2)=0,"-",IF(COUNTIF('Програма-кодове'!$C9:$AD9,$BU$2)=1,INDEX('Програма-кодове'!$C$1:$AD$1,1,MATCH($BU$2,'Програма-кодове'!$C9:$AD9,0)),"Дублаж"))</f>
        <v>-</v>
      </c>
      <c r="BV10" s="30" t="str">
        <f>IF(COUNTIF('Програма-кодове'!$C9:$AD9,$BV$2)=0,"-",IF(COUNTIF('Програма-кодове'!$C9:$AD9,$BV$2)=1,INDEX('Програма-кодове'!$C$1:$AD$1,1,MATCH($BV$2,'Програма-кодове'!$C9:$AD9,0)),"Дублаж"))</f>
        <v>-</v>
      </c>
      <c r="BW10" s="30" t="str">
        <f>IF(COUNTIF('Програма-кодове'!$C9:$AD9,$BW$2)=0,"-",IF(COUNTIF('Програма-кодове'!$C9:$AD9,$BW$2)=1,INDEX('Програма-кодове'!$C$1:$AD$1,1,MATCH($BW$2,'Програма-кодове'!$C9:$AD9,0)),"Дублаж"))</f>
        <v>-</v>
      </c>
      <c r="BX10" s="30" t="str">
        <f>IF(COUNTIF('Програма-кодове'!$C9:$AD9,$BX$2)=0,"-",IF(COUNTIF('Програма-кодове'!$C9:$AD9,$BX$2)=1,INDEX('Програма-кодове'!$C$1:$AD$1,1,MATCH($BX$2,'Програма-кодове'!$C9:$AD9,0)),"Дублаж"))</f>
        <v>-</v>
      </c>
      <c r="BY10" s="30">
        <f>IF(COUNTIF('Програма-кодове'!$C9:$AD9,$BY$2)=0,"-",IF(COUNTIF('Програма-кодове'!$C9:$AD9,$BY$2)=1,INDEX('Програма-кодове'!$C$1:$AD$1,1,MATCH($BY$2,'Програма-кодове'!$C9:$AD9,0)),"Дублаж"))</f>
        <v>7</v>
      </c>
      <c r="BZ10" s="30" t="str">
        <f>IF(COUNTIF('Програма-кодове'!$C9:$AD9,$BZ$2)=0,"-",IF(COUNTIF('Програма-кодове'!$C9:$AD9,$BZ$2)=1,INDEX('Програма-кодове'!$C$1:$AD$1,1,MATCH($BZ$2,'Програма-кодове'!$C9:$AD9,0)),"Дублаж"))</f>
        <v>-</v>
      </c>
      <c r="CA10" s="30" t="str">
        <f>IF(COUNTIF('Програма-кодове'!$C9:$AD9,$CA$2)=0,"-",IF(COUNTIF('Програма-кодове'!$C9:$AD9,$CA$2)=1,INDEX('Програма-кодове'!$C$1:$AD$1,1,MATCH($CA$2,'Програма-кодове'!$C9:$AD9,0)),"Дублаж"))</f>
        <v>-</v>
      </c>
      <c r="CB10" s="30" t="str">
        <f>IF(COUNTIF('Програма-кодове'!$C9:$AD9,$CB$2)=0,"-",IF(COUNTIF('Програма-кодове'!$C9:$AD9,$CB$2)=1,INDEX('Програма-кодове'!$C$1:$AD$1,1,MATCH($CB$2,'Програма-кодове'!$C9:$AD9,0)),"Дублаж"))</f>
        <v>11д</v>
      </c>
      <c r="CC10" s="30" t="str">
        <f>IF(COUNTIF('Програма-кодове'!$C9:$AD9,$CC$2)=0,"-",IF(COUNTIF('Програма-кодове'!$C9:$AD9,$CC$2)=1,INDEX('Програма-кодове'!$C$1:$AD$1,1,MATCH($CC$2,'Програма-кодове'!$C9:$AD9,0)),"Дублаж"))</f>
        <v>12б</v>
      </c>
      <c r="CD10" s="30" t="str">
        <f>IF(COUNTIF('Програма-кодове'!$C9:$AD9,$CD$2)=0,"-",IF(COUNTIF('Програма-кодове'!$C9:$AD9,$CD$2)=1,INDEX('Програма-кодове'!$C$1:$AD$1,1,MATCH($CD$2,'Програма-кодове'!$C9:$AD9,0)),"Дублаж"))</f>
        <v>-</v>
      </c>
      <c r="CE10" s="30" t="str">
        <f>IF(COUNTIF('Програма-кодове'!$C9:$AD9,$CE$2)=0,"-",IF(COUNTIF('Програма-кодове'!$C9:$AD9,$CE$2)=1,INDEX('Програма-кодове'!$C$1:$AD$1,1,MATCH($CE$2,'Програма-кодове'!$C9:$AD9,0)),"Дублаж"))</f>
        <v>-</v>
      </c>
    </row>
    <row r="11" spans="1:83" ht="13.5" customHeight="1">
      <c r="A11" s="369"/>
      <c r="B11" s="351">
        <v>2</v>
      </c>
      <c r="C11" s="20" t="str">
        <f>IF(COUNTIF('Програма-кодове'!$C10:$AD10,$C$2)=0,"-",IF(COUNTIF('Програма-кодове'!$C10:$AD10,$C$2)=1,INDEX('Програма-кодове'!$C$1:$AD$1,1,MATCH($C$2,'Програма-кодове'!$C10:$AD10,0)),"Дублаж"))</f>
        <v>-</v>
      </c>
      <c r="D11" s="20" t="str">
        <f>IF(COUNTIF('Програма-кодове'!$C10:$AD10,$D$2)=0,"-",IF(COUNTIF('Програма-кодове'!$C10:$AD10,$D$2)=1,INDEX('Програма-кодове'!$C$1:$AD$1,1,MATCH($D$2,'Програма-кодове'!$C10:$AD10,0)),"Дублаж"))</f>
        <v>-</v>
      </c>
      <c r="E11" s="20" t="str">
        <f>IF(COUNTIF('Програма-кодове'!$C10:$AD10,$E$2)=0,"-",IF(COUNTIF('Програма-кодове'!$C10:$AD10,$E$2)=1,INDEX('Програма-кодове'!$C$1:$AD$1,1,MATCH($E$2,'Програма-кодове'!$C10:$AD10,0)),"Дублаж"))</f>
        <v>-</v>
      </c>
      <c r="F11" s="20" t="str">
        <f>IF(COUNTIF('Програма-кодове'!$C10:$AD10,$F$2)=0,"-",IF(COUNTIF('Програма-кодове'!$C10:$AD10,$F$2)=1,INDEX('Програма-кодове'!$C$1:$AD$1,1,MATCH($F$2,'Програма-кодове'!$C10:$AD10,0)),"Дублаж"))</f>
        <v>10д</v>
      </c>
      <c r="G11" s="20" t="str">
        <f>IF(COUNTIF('Програма-кодове'!$C10:$AD10,$G$2)=0,"-",IF(COUNTIF('Програма-кодове'!$C10:$AD10,$G$2)=1,INDEX('Програма-кодове'!$C$1:$AD$1,1,MATCH($G$2,'Програма-кодове'!$C10:$AD10,0)),"Дублаж"))</f>
        <v>12г</v>
      </c>
      <c r="H11" s="20">
        <f>IF(COUNTIF('Програма-кодове'!$C10:$AD10,$H$2)=0,"-",IF(COUNTIF('Програма-кодове'!$C10:$AD10,$H$2)=1,INDEX('Програма-кодове'!$C$1:$AD$1,1,MATCH($H$2,'Програма-кодове'!$C10:$AD10,0)),"Дублаж"))</f>
        <v>5</v>
      </c>
      <c r="I11" s="20" t="str">
        <f>IF(COUNTIF('Програма-кодове'!$C10:$AD10,$I$2)=0,"-",IF(COUNTIF('Програма-кодове'!$C10:$AD10,$I$2)=1,INDEX('Програма-кодове'!$C$1:$AD$1,1,MATCH($I$2,'Програма-кодове'!$C10:$AD10,0)),"Дублаж"))</f>
        <v>11в</v>
      </c>
      <c r="J11" s="20" t="str">
        <f>IF(COUNTIF('Програма-кодове'!$C10:$AD10,$J$2)=0,"-",IF(COUNTIF('Програма-кодове'!$C10:$AD10,$J$2)=1,INDEX('Програма-кодове'!$C$1:$AD$1,1,MATCH($J$2,'Програма-кодове'!$C10:$AD10,0)),"Дублаж"))</f>
        <v>-</v>
      </c>
      <c r="K11" s="20" t="str">
        <f>IF(COUNTIF('Програма-кодове'!$C10:$AD10,$K$2)=0,"-",IF(COUNTIF('Програма-кодове'!$C10:$AD10,$K$2)=1,INDEX('Програма-кодове'!$C$1:$AD$1,1,MATCH($K$2,'Програма-кодове'!$C10:$AD10,0)),"Дублаж"))</f>
        <v>12д</v>
      </c>
      <c r="L11" s="346" t="str">
        <f>IF(COUNTIF('Програма-кодове'!$C10:$AD10,$L$2)=0,"-",IF(COUNTIF('Програма-кодове'!$C10:$AD10,$L$2)=1,INDEX('Програма-кодове'!$C$1:$AD$1,1,MATCH($L$2,'Програма-кодове'!$C10:$AD10,0)),"Дублаж"))</f>
        <v>-</v>
      </c>
      <c r="M11" s="20" t="str">
        <f>IF(COUNTIF('Програма-кодове'!$C10:$AD10,$M$2)=0,"-",IF(COUNTIF('Програма-кодове'!$C10:$AD10,$M$2)=1,INDEX('Програма-кодове'!$C$1:$AD$1,1,MATCH($M$2,'Програма-кодове'!$C10:$AD10,0)),"Дублаж"))</f>
        <v>10б</v>
      </c>
      <c r="N11" s="20" t="str">
        <f>IF(COUNTIF('Програма-кодове'!$C10:$AD10,$N$2)=0,"-",IF(COUNTIF('Програма-кодове'!$C10:$AD10,$N$2)=1,INDEX('Програма-кодове'!$C$1:$AD$1,1,MATCH($N$2,'Програма-кодове'!$C10:$AD10,0)),"Дублаж"))</f>
        <v>8в</v>
      </c>
      <c r="O11" s="20" t="str">
        <f>IF(COUNTIF('Програма-кодове'!$C10:$AD10,$O$2)=0,"-",IF(COUNTIF('Програма-кодове'!$C10:$AD10,$O$2)=1,INDEX('Програма-кодове'!$C$1:$AD$1,1,MATCH($O$2,'Програма-кодове'!$C10:$AD10,0)),"Дублаж"))</f>
        <v>8д</v>
      </c>
      <c r="P11" s="20" t="str">
        <f>IF(COUNTIF('Програма-кодове'!$C10:$AD10,$P$2)=0,"-",IF(COUNTIF('Програма-кодове'!$C10:$AD10,$P$2)=1,INDEX('Програма-кодове'!$C$1:$AD$1,1,MATCH($P$2,'Програма-кодове'!$C10:$AD10,0)),"Дублаж"))</f>
        <v>-</v>
      </c>
      <c r="Q11" s="20" t="str">
        <f>IF(COUNTIF('Програма-кодове'!$C10:$AD10,$Q$2)=0,"-",IF(COUNTIF('Програма-кодове'!$C10:$AD10,$Q$2)=1,INDEX('Програма-кодове'!$C$1:$AD$1,1,MATCH($Q$2,'Програма-кодове'!$C10:$AD10,0)),"Дублаж"))</f>
        <v>-</v>
      </c>
      <c r="R11" s="193" t="str">
        <f t="shared" si="0"/>
        <v>-</v>
      </c>
      <c r="S11" s="324" t="str">
        <f>IF(BO11&lt;&gt;"-",IF(AND(BQ11="-",BP11="-"),BO11,"Дублаж"),IF(AND(BQ11&lt;&gt;"-",BP11&lt;&gt;"-"),"Дублаж",IF(BQ11&lt;&gt;"-",BQ11,BP11)))</f>
        <v>-</v>
      </c>
      <c r="T11" s="193" t="str">
        <f t="shared" si="4"/>
        <v>-</v>
      </c>
      <c r="U11" s="20" t="str">
        <f>IF(COUNTIF('Програма-кодове'!$C10:$AD10,$U$2)=0,"-",IF(COUNTIF('Програма-кодове'!$C10:$AD10,$U$2)=1,INDEX('Програма-кодове'!$C$1:$AD$1,1,MATCH($U$2,'Програма-кодове'!$C10:$AD10,0)),"Дублаж"))</f>
        <v>12в</v>
      </c>
      <c r="V11" s="20" t="str">
        <f>IF(COUNTIF('Програма-кодове'!$C10:$AD10,$V$2)=0,"-",IF(COUNTIF('Програма-кодове'!$C10:$AD10,$V$2)=1,INDEX('Програма-кодове'!$C$1:$AD$1,1,MATCH($V$2,'Програма-кодове'!$C10:$AD10,0)),"Дублаж"))</f>
        <v>8г</v>
      </c>
      <c r="W11" s="20">
        <f>IF(COUNTIF('Програма-кодове'!$C10:$AD10,$W$2)=0,"-",IF(COUNTIF('Програма-кодове'!$C10:$AD10,$W$2)=1,INDEX('Програма-кодове'!$C$1:$AD$1,1,MATCH($W$2,'Програма-кодове'!$C10:$AD10,0)),"Дублаж"))</f>
        <v>7</v>
      </c>
      <c r="X11" s="20" t="str">
        <f>IF(COUNTIF('Програма-кодове'!$C10:$AD10,$X$2)=0,"-",IF(COUNTIF('Програма-кодове'!$C10:$AD10,$X$2)=1,INDEX('Програма-кодове'!$C$1:$AD$1,1,MATCH($X$2,'Програма-кодове'!$C10:$AD10,0)),"Дублаж"))</f>
        <v>9б</v>
      </c>
      <c r="Y11" s="20" t="str">
        <f>IF(COUNTIF('Програма-кодове'!$C10:$AD10,$Y$2)=0,"-",IF(COUNTIF('Програма-кодове'!$C10:$AD10,$Y$2)=1,INDEX('Програма-кодове'!$C$1:$AD$1,1,MATCH($Y$2,'Програма-кодове'!$C10:$AD10,0)),"Дублаж"))</f>
        <v>-</v>
      </c>
      <c r="Z11" s="20" t="str">
        <f>IF(COUNTIF('Програма-кодове'!$C10:$AD10,$Z$2)=0,"-",IF(COUNTIF('Програма-кодове'!$C10:$AD10,$Z$2)=1,INDEX('Програма-кодове'!$C$1:$AD$1,1,MATCH($Z$2,'Програма-кодове'!$C10:$AD10,0)),"Дублаж"))</f>
        <v>10в</v>
      </c>
      <c r="AA11" s="193" t="str">
        <f t="shared" si="5"/>
        <v>12б</v>
      </c>
      <c r="AB11" s="193" t="str">
        <f t="shared" si="6"/>
        <v>8a</v>
      </c>
      <c r="AC11" s="193" t="str">
        <f t="shared" si="7"/>
        <v>10а</v>
      </c>
      <c r="AD11" s="193" t="str">
        <f t="shared" si="8"/>
        <v>10а</v>
      </c>
      <c r="AE11" s="193" t="str">
        <f t="shared" si="9"/>
        <v>12б</v>
      </c>
      <c r="AF11" s="193" t="str">
        <f t="shared" si="10"/>
        <v>11г</v>
      </c>
      <c r="AG11" s="193" t="str">
        <f t="shared" si="19"/>
        <v>8a</v>
      </c>
      <c r="AH11" s="193" t="str">
        <f t="shared" si="12"/>
        <v>11г</v>
      </c>
      <c r="AI11" s="20" t="str">
        <f t="shared" si="13"/>
        <v>10г</v>
      </c>
      <c r="AJ11" s="193" t="str">
        <f t="shared" si="14"/>
        <v>12а</v>
      </c>
      <c r="AK11" s="20" t="str">
        <f>IF(COUNTIF('Програма-кодове'!$C10:$AD10,$AK$2)=0,"-",IF(COUNTIF('Програма-кодове'!$C10:$AD10,$AK$2)=1,INDEX('Програма-кодове'!$C$1:$AD$1,1,MATCH($AK$2,'Програма-кодове'!$C10:$AD10,0)),"Дублаж"))</f>
        <v>-</v>
      </c>
      <c r="AL11" s="20" t="str">
        <f>IF(COUNTIF('Програма-кодове'!$C10:$AD10,$AL$2)=0,"-",IF(COUNTIF('Програма-кодове'!$C10:$AD10,$AL$2)=1,INDEX('Програма-кодове'!$C$1:$AD$1,1,MATCH($AL$2,'Програма-кодове'!$C10:$AD10,0)),"Дублаж"))</f>
        <v>9в</v>
      </c>
      <c r="AM11" s="20" t="str">
        <f>IF(COUNTIF('Програма-кодове'!$C10:$AD10,$AM$2)=0,"-",IF(COUNTIF('Програма-кодове'!$C10:$AD10,$AM$2)=1,INDEX('Програма-кодове'!$C$1:$AD$1,1,MATCH($AM$2,'Програма-кодове'!$C10:$AD10,0)),"Дублаж"))</f>
        <v>8б</v>
      </c>
      <c r="AN11" s="346" t="str">
        <f>IF(COUNTIF('Програма-кодове'!$C10:$AD10,$AN$2)=0,"-",IF(COUNTIF('Програма-кодове'!$C10:$AD10,$AN$2)=1,INDEX('Програма-кодове'!$C$1:$AD$1,1,MATCH($AN$2,'Програма-кодове'!$C10:$AD10,0)),"Дублаж"))</f>
        <v>11а</v>
      </c>
      <c r="AO11" s="346" t="str">
        <f>IF(COUNTIF('Програма-кодове'!$C10:$AD10,$AO$2)=0,"-",IF(COUNTIF('Програма-кодове'!$C10:$AD10,$AO$2)=1,INDEX('Програма-кодове'!$C$1:$AD$1,1,MATCH($AO$2,'Програма-кодове'!$C10:$AD10,0)),"Дублаж"))</f>
        <v>9а</v>
      </c>
      <c r="AP11" s="346" t="str">
        <f>IF(COUNTIF('Програма-кодове'!$C10:$AD10,$AP$2)=0,"-",IF(COUNTIF('Програма-кодове'!$C10:$AD10,$AP$2)=1,INDEX('Програма-кодове'!$C$1:$AD$1,1,MATCH($AP$2,'Програма-кодове'!$C10:$AD10,0)),"Дублаж"))</f>
        <v>11б</v>
      </c>
      <c r="AQ11" s="346" t="str">
        <f t="shared" si="15"/>
        <v>11д</v>
      </c>
      <c r="AR11" s="346" t="str">
        <f>IF(COUNTIF('Програма-кодове'!$C10:$AD10,$AR$2)=0,"-",IF(COUNTIF('Програма-кодове'!$C10:$AD10,$AR$2)=1,INDEX('Програма-кодове'!$C$1:$AD$1,1,MATCH($AR$2,'Програма-кодове'!$C10:$AD10,0)),"Дублаж"))</f>
        <v>-</v>
      </c>
      <c r="AS11" s="346" t="str">
        <f>IF(COUNTIF('Програма-кодове'!$C10:$AD10,$AS$2)=0,"-",IF(COUNTIF('Програма-кодове'!$C10:$AD10,$AS$2)=1,INDEX('Програма-кодове'!$C$1:$AD$1,1,MATCH($AS$2,'Програма-кодове'!$C10:$AD10,0)),"Дублаж"))</f>
        <v>-</v>
      </c>
      <c r="AT11" s="346" t="str">
        <f>IF(COUNTIF('Програма-кодове'!$C10:$AD10,$AT$2)=0,"-",IF(COUNTIF('Програма-кодове'!$C10:$AD10,$AT$2)=1,INDEX('Програма-кодове'!$C$1:$AD$1,1,MATCH($AT$2,'Програма-кодове'!$C10:$AD10,0)),"Дублаж"))</f>
        <v>9г</v>
      </c>
      <c r="AU11" s="196" t="str">
        <f t="shared" si="1"/>
        <v>-</v>
      </c>
      <c r="AV11" s="194" t="str">
        <f t="shared" si="2"/>
        <v>-</v>
      </c>
      <c r="AW11" s="196" t="str">
        <f>IF(COUNTIF('Програма-кодове'!$C10:$AD10,$AW$2)=0,"-",IF(COUNTIF('Програма-кодове'!$C10:$AD10,$AW$2)=1,INDEX('Програма-кодове'!$C$1:$AD$1,1,MATCH($AW$2,'Програма-кодове'!$C10:$AD10,0)),"Дублаж"))</f>
        <v>9д</v>
      </c>
      <c r="AX11" s="196">
        <f>IF(COUNTIF('Програма-кодове'!$C10:$AD10,$AX$2)=0,"-",IF(COUNTIF('Програма-кодове'!$C10:$AD10,$AX$2)=1,INDEX('Програма-кодове'!$C$1:$AD$1,1,MATCH($AX$2,'Програма-кодове'!$C10:$AD10,0)),"Дублаж"))</f>
        <v>6</v>
      </c>
      <c r="AY11" s="196" t="str">
        <f>IF(COUNTIF('Програма-кодове'!$C10:$AD10,$AY$2)=0,"-",IF(COUNTIF('Програма-кодове'!$C10:$AD10,$AY$2)=1,INDEX('Програма-кодове'!$C$1:$AD$1,1,MATCH($AY$2,'Програма-кодове'!$C10:$AD10,0)),"Дублаж"))</f>
        <v>-</v>
      </c>
      <c r="AZ11" s="193" t="str">
        <f t="shared" si="16"/>
        <v>-</v>
      </c>
      <c r="BA11" s="30" t="str">
        <f>IF(COUNTIF('Програма-кодове'!$C10:$AD10,$BA$2)=0,"-",IF(COUNTIF('Програма-кодове'!$C10:$AD10,$BA$2)=1,INDEX('Програма-кодове'!$C$1:$AD$1,1,MATCH($BA$2,'Програма-кодове'!$C10:$AD10,0)),"Дублаж"))</f>
        <v>8a</v>
      </c>
      <c r="BB11" s="30" t="str">
        <f>IF(COUNTIF('Програма-кодове'!$C10:$AD10,$BB$2)=0,"-",IF(COUNTIF('Програма-кодове'!$C10:$AD10,$BB$2)=1,INDEX('Програма-кодове'!$C$1:$AD$1,1,MATCH($BB$2,'Програма-кодове'!$C10:$AD10,0)),"Дублаж"))</f>
        <v>-</v>
      </c>
      <c r="BC11" s="30" t="str">
        <f>IF(COUNTIF('Програма-кодове'!$C10:$AD10,$BC$2)=0,"-",IF(COUNTIF('Програма-кодове'!$C10:$AD10,$BC$2)=1,INDEX('Програма-кодове'!$C$1:$AD$1,1,MATCH($BC$2,'Програма-кодове'!$C10:$AD10,0)),"Дублаж"))</f>
        <v>-</v>
      </c>
      <c r="BD11" s="30" t="str">
        <f>IF(COUNTIF('Програма-кодове'!$C10:$AD10,$BD$2)=0,"-",IF(COUNTIF('Програма-кодове'!$C10:$AD10,$BD$2)=1,INDEX('Програма-кодове'!$C$1:$AD$1,1,MATCH($BD$2,'Програма-кодове'!$C10:$AD10,0)),"Дублаж"))</f>
        <v>10а</v>
      </c>
      <c r="BE11" s="30" t="str">
        <f>IF(COUNTIF('Програма-кодове'!$C10:$AD10,$BE$2)=0,"-",IF(COUNTIF('Програма-кодове'!$C10:$AD10,$BE$2)=1,INDEX('Програма-кодове'!$C$1:$AD$1,1,MATCH($BE$2,'Програма-кодове'!$C10:$AD10,0)),"Дублаж"))</f>
        <v>11г</v>
      </c>
      <c r="BF11" s="30" t="str">
        <f>IF(COUNTIF('Програма-кодове'!$C10:$AD10,$BF$2)=0,"-",IF(COUNTIF('Програма-кодове'!$C10:$AD10,$BF$2)=1,INDEX('Програма-кодове'!$C$1:$AD$1,1,MATCH($BF$2,'Програма-кодове'!$C10:$AD10,0)),"Дублаж"))</f>
        <v>-</v>
      </c>
      <c r="BG11" s="30" t="str">
        <f>IF(COUNTIF('Програма-кодове'!$C10:$AD10,$BG$2)=0,"-",IF(COUNTIF('Програма-кодове'!$C10:$AD10,$BG$2)=1,INDEX('Програма-кодове'!$C$1:$AD$1,1,MATCH($BG$2,'Програма-кодове'!$C10:$AD10,0)),"Дублаж"))</f>
        <v>-</v>
      </c>
      <c r="BH11" s="30" t="str">
        <f>IF(COUNTIF('Програма-кодове'!$C10:$AD10,$BH$2)=0,"-",IF(COUNTIF('Програма-кодове'!$C10:$AD10,$BH$2)=1,INDEX('Програма-кодове'!$C$1:$AD$1,1,MATCH($BH$2,'Програма-кодове'!$C10:$AD10,0)),"Дублаж"))</f>
        <v>12б</v>
      </c>
      <c r="BI11" s="94" t="str">
        <f>IF(COUNTIF('Програма-кодове'!$C10:$AD10,$BI$2)=0,"-",IF(COUNTIF('Програма-кодове'!$C10:$AD10,$BI$2)=1,INDEX('Програма-кодове'!$C$1:$AD$1,1,MATCH($BI$2,'Програма-кодове'!$C10:$AD10,0)),IF('Програма-кодове'!Z10='Програма-кодове'!AA10,"12а,б","Дублаж")))</f>
        <v>-</v>
      </c>
      <c r="BJ11" s="94" t="str">
        <f>IF(COUNTIF('Програма-кодове'!$C10:$AD10,$BJ$2)=0,"-",IF(COUNTIF('Програма-кодове'!$C10:$AD10,$BJ$2)=1,INDEX('Програма-кодове'!$C$1:$AD$1,1,MATCH($BJ$2,'Програма-кодове'!$C10:$AD10,0)),"Дублаж"))</f>
        <v>-</v>
      </c>
      <c r="BK11" s="94" t="str">
        <f>IF(COUNTIF('Програма-кодове'!$C10:$AD10,$BK$2)=0,"-",IF(COUNTIF('Програма-кодове'!$C10:$AD10,$BK$2)=1,INDEX('Програма-кодове'!$C$1:$AD$1,1,MATCH($BK$2,'Програма-кодове'!$C10:$AD10,0)),IF('Програма-кодове'!K10='Програма-кодове'!O10,"9а,д",IF('Програма-кодове'!L10='Програма-кодове'!M10,"9б,в","Дублаж"))))</f>
        <v>-</v>
      </c>
      <c r="BL11" s="30" t="str">
        <f>IF(COUNTIF('Програма-кодове'!$C10:$AD10,$BL$2)=0,"-",IF(COUNTIF('Програма-кодове'!$C10:$AD10,$BL$2)=1,INDEX('Програма-кодове'!$C$1:$AD$1,1,MATCH($BL$2,'Програма-кодове'!$C10:$AD10,0)),"Дублаж"))</f>
        <v>-</v>
      </c>
      <c r="BM11" s="30" t="str">
        <f>IF(COUNTIF('Програма-кодове'!$C10:$AD10,$BM$2)=0,"-",IF(COUNTIF('Програма-кодове'!$C10:$AD10,$BM$2)=1,INDEX('Програма-кодове'!$C$1:$AD$1,1,MATCH($BM$2,'Програма-кодове'!$C10:$AD10,0)),"Дублаж"))</f>
        <v>-</v>
      </c>
      <c r="BN11" s="77" t="str">
        <f>IF(COUNTIF('Програма-кодове'!$C10:$AD10,$BN$2)=0,"-",IF(COUNTIF('Програма-кодове'!$C10:$AD10,$BN$2)=1,INDEX('Програма-кодове'!$C$1:$AD$1,1,MATCH($BN$2,'Програма-кодове'!$C10:$AD10,0)),IF(AND('Програма-кодове'!K10='Програма-кодове'!O10,'Програма-кодове'!K10&lt;&gt;""),"9а, д", IF(AND('Програма-кодове'!U10='Програма-кодове'!W10,'Програма-кодове'!U10&lt;&gt;""),"11а,в", "Дублаж"))))</f>
        <v>-</v>
      </c>
      <c r="BO11" s="77" t="str">
        <f>IF(COUNTIF('Програма-кодове'!$C10:$AD10,$BO$2)=0,"-",IF(COUNTIF('Програма-кодове'!$C10:$AD10,$BO$2)=1,INDEX('Програма-кодове'!$C$1:$AD$1,1,MATCH($BO$2,'Програма-кодове'!$C10:$AD10,0)),IF(AND('Програма-кодове'!U10='Програма-кодове'!W10,'Програма-кодове'!U10&lt;&gt;"" ),"11a,в","Дублаж")))</f>
        <v>-</v>
      </c>
      <c r="BP11" s="30" t="str">
        <f>IF(COUNTIF('Програма-кодове'!$C10:$AD10,$BP$2)=0,"-",IF(COUNTIF('Програма-кодове'!$C10:$AD10,$BP$2)=1,"9б,в,г","Дублаж"))</f>
        <v>-</v>
      </c>
      <c r="BQ11" s="30" t="str">
        <f>IF(COUNTIF('Програма-кодове'!$C10:$AD10,$BQ$2)=0,"-",IF(COUNTIF('Програма-кодове'!$C10:$AD10,$BQ$2)=1,INDEX('Програма-кодове'!$C$1:$AD$1,1,MATCH($BQ$2,'Програма-кодове'!$C10:$AD10,0)),"Дублаж"))</f>
        <v>-</v>
      </c>
      <c r="BR11" s="30" t="str">
        <f>IF(COUNTIF('Програма-кодове'!$C10:$AD10,$BR$2)=0,"-",IF(COUNTIF('Програма-кодове'!$C10:$AD10,$BR$2)=1,INDEX('Програма-кодове'!$C$1:$AD$1,1,MATCH($BR$2,'Програма-кодове'!$C10:$AD10,0)),IF('Програма-кодове'!W10='Програма-кодове'!X10,"11б,в","Дублаж")))</f>
        <v>-</v>
      </c>
      <c r="BS11" s="30" t="str">
        <f>IF(COUNTIF('Програма-кодове'!$C10:$AD10,$BS$2)=0,"-",IF(COUNTIF('Програма-кодове'!$C10:$AD10,$BS$2)=1,INDEX('Програма-кодове'!$C$1:$AD$1,1,MATCH($BS$2,'Програма-кодове'!$C10:$AD10,0)),"Дублаж"))</f>
        <v>-</v>
      </c>
      <c r="BT11" s="193" t="str">
        <f t="shared" si="17"/>
        <v>-</v>
      </c>
      <c r="BU11" s="30" t="str">
        <f>IF(COUNTIF('Програма-кодове'!$C10:$AD10,$BU$2)=0,"-",IF(COUNTIF('Програма-кодове'!$C10:$AD10,$BU$2)=1,INDEX('Програма-кодове'!$C$1:$AD$1,1,MATCH($BU$2,'Програма-кодове'!$C10:$AD10,0)),"Дублаж"))</f>
        <v>-</v>
      </c>
      <c r="BV11" s="30" t="str">
        <f>IF(COUNTIF('Програма-кодове'!$C10:$AD10,$BV$2)=0,"-",IF(COUNTIF('Програма-кодове'!$C10:$AD10,$BV$2)=1,INDEX('Програма-кодове'!$C$1:$AD$1,1,MATCH($BV$2,'Програма-кодове'!$C10:$AD10,0)),"Дублаж"))</f>
        <v>-</v>
      </c>
      <c r="BW11" s="30" t="str">
        <f>IF(COUNTIF('Програма-кодове'!$C10:$AD10,$BW$2)=0,"-",IF(COUNTIF('Програма-кодове'!$C10:$AD10,$BW$2)=1,INDEX('Програма-кодове'!$C$1:$AD$1,1,MATCH($BW$2,'Програма-кодове'!$C10:$AD10,0)),"Дублаж"))</f>
        <v>-</v>
      </c>
      <c r="BX11" s="30" t="str">
        <f>IF(COUNTIF('Програма-кодове'!$C10:$AD10,$BX$2)=0,"-",IF(COUNTIF('Програма-кодове'!$C10:$AD10,$BX$2)=1,INDEX('Програма-кодове'!$C$1:$AD$1,1,MATCH($BX$2,'Програма-кодове'!$C10:$AD10,0)),"Дублаж"))</f>
        <v>-</v>
      </c>
      <c r="BY11" s="30" t="str">
        <f>IF(COUNTIF('Програма-кодове'!$C10:$AD10,$BY$2)=0,"-",IF(COUNTIF('Програма-кодове'!$C10:$AD10,$BY$2)=1,INDEX('Програма-кодове'!$C$1:$AD$1,1,MATCH($BY$2,'Програма-кодове'!$C10:$AD10,0)),"Дублаж"))</f>
        <v>10г</v>
      </c>
      <c r="BZ11" s="30" t="str">
        <f>IF(COUNTIF('Програма-кодове'!$C10:$AD10,$BZ$2)=0,"-",IF(COUNTIF('Програма-кодове'!$C10:$AD10,$BZ$2)=1,INDEX('Програма-кодове'!$C$1:$AD$1,1,MATCH($BZ$2,'Програма-кодове'!$C10:$AD10,0)),"Дублаж"))</f>
        <v>-</v>
      </c>
      <c r="CA11" s="30" t="str">
        <f>IF(COUNTIF('Програма-кодове'!$C10:$AD10,$CA$2)=0,"-",IF(COUNTIF('Програма-кодове'!$C10:$AD10,$CA$2)=1,INDEX('Програма-кодове'!$C$1:$AD$1,1,MATCH($CA$2,'Програма-кодове'!$C10:$AD10,0)),"Дублаж"))</f>
        <v>-</v>
      </c>
      <c r="CB11" s="30" t="str">
        <f>IF(COUNTIF('Програма-кодове'!$C10:$AD10,$CB$2)=0,"-",IF(COUNTIF('Програма-кодове'!$C10:$AD10,$CB$2)=1,INDEX('Програма-кодове'!$C$1:$AD$1,1,MATCH($CB$2,'Програма-кодове'!$C10:$AD10,0)),"Дублаж"))</f>
        <v>11д</v>
      </c>
      <c r="CC11" s="30" t="str">
        <f>IF(COUNTIF('Програма-кодове'!$C10:$AD10,$CC$2)=0,"-",IF(COUNTIF('Програма-кодове'!$C10:$AD10,$CC$2)=1,INDEX('Програма-кодове'!$C$1:$AD$1,1,MATCH($CC$2,'Програма-кодове'!$C10:$AD10,0)),"Дублаж"))</f>
        <v>12а</v>
      </c>
      <c r="CD11" s="30" t="str">
        <f>IF(COUNTIF('Програма-кодове'!$C10:$AD10,$CD$2)=0,"-",IF(COUNTIF('Програма-кодове'!$C10:$AD10,$CD$2)=1,INDEX('Програма-кодове'!$C$1:$AD$1,1,MATCH($CD$2,'Програма-кодове'!$C10:$AD10,0)),"Дублаж"))</f>
        <v>-</v>
      </c>
      <c r="CE11" s="30" t="str">
        <f>IF(COUNTIF('Програма-кодове'!$C10:$AD10,$CE$2)=0,"-",IF(COUNTIF('Програма-кодове'!$C10:$AD10,$CE$2)=1,INDEX('Програма-кодове'!$C$1:$AD$1,1,MATCH($CE$2,'Програма-кодове'!$C10:$AD10,0)),"Дублаж"))</f>
        <v>-</v>
      </c>
    </row>
    <row r="12" spans="1:83" ht="13.5" customHeight="1">
      <c r="A12" s="369"/>
      <c r="B12" s="351">
        <v>3</v>
      </c>
      <c r="C12" s="20" t="str">
        <f>IF(COUNTIF('Програма-кодове'!$C11:$AD11,$C$2)=0,"-",IF(COUNTIF('Програма-кодове'!$C11:$AD11,$C$2)=1,INDEX('Програма-кодове'!$C$1:$AD$1,1,MATCH($C$2,'Програма-кодове'!$C11:$AD11,0)),"Дублаж"))</f>
        <v>-</v>
      </c>
      <c r="D12" s="20" t="str">
        <f>IF(COUNTIF('Програма-кодове'!$C11:$AD11,$D$2)=0,"-",IF(COUNTIF('Програма-кодове'!$C11:$AD11,$D$2)=1,INDEX('Програма-кодове'!$C$1:$AD$1,1,MATCH($D$2,'Програма-кодове'!$C11:$AD11,0)),"Дублаж"))</f>
        <v>-</v>
      </c>
      <c r="E12" s="20" t="str">
        <f>IF(COUNTIF('Програма-кодове'!$C11:$AD11,$E$2)=0,"-",IF(COUNTIF('Програма-кодове'!$C11:$AD11,$E$2)=1,INDEX('Програма-кодове'!$C$1:$AD$1,1,MATCH($E$2,'Програма-кодове'!$C11:$AD11,0)),"Дублаж"))</f>
        <v>-</v>
      </c>
      <c r="F12" s="20" t="str">
        <f>IF(COUNTIF('Програма-кодове'!$C11:$AD11,$F$2)=0,"-",IF(COUNTIF('Програма-кодове'!$C11:$AD11,$F$2)=1,INDEX('Програма-кодове'!$C$1:$AD$1,1,MATCH($F$2,'Програма-кодове'!$C11:$AD11,0)),"Дублаж"))</f>
        <v>10д</v>
      </c>
      <c r="G12" s="20" t="str">
        <f>IF(COUNTIF('Програма-кодове'!$C11:$AD11,$G$2)=0,"-",IF(COUNTIF('Програма-кодове'!$C11:$AD11,$G$2)=1,INDEX('Програма-кодове'!$C$1:$AD$1,1,MATCH($G$2,'Програма-кодове'!$C11:$AD11,0)),"Дублаж"))</f>
        <v>12б</v>
      </c>
      <c r="H12" s="20" t="str">
        <f>IF(COUNTIF('Програма-кодове'!$C11:$AD11,$H$2)=0,"-",IF(COUNTIF('Програма-кодове'!$C11:$AD11,$H$2)=1,INDEX('Програма-кодове'!$C$1:$AD$1,1,MATCH($H$2,'Програма-кодове'!$C11:$AD11,0)),"Дублаж"))</f>
        <v>9г</v>
      </c>
      <c r="I12" s="20" t="str">
        <f>IF(COUNTIF('Програма-кодове'!$C11:$AD11,$I$2)=0,"-",IF(COUNTIF('Програма-кодове'!$C11:$AD11,$I$2)=1,INDEX('Програма-кодове'!$C$1:$AD$1,1,MATCH($I$2,'Програма-кодове'!$C11:$AD11,0)),"Дублаж"))</f>
        <v>-</v>
      </c>
      <c r="J12" s="20" t="str">
        <f>IF(COUNTIF('Програма-кодове'!$C11:$AD11,$J$2)=0,"-",IF(COUNTIF('Програма-кодове'!$C11:$AD11,$J$2)=1,INDEX('Програма-кодове'!$C$1:$AD$1,1,MATCH($J$2,'Програма-кодове'!$C11:$AD11,0)),"Дублаж"))</f>
        <v>8г</v>
      </c>
      <c r="K12" s="20" t="str">
        <f>IF(COUNTIF('Програма-кодове'!$C11:$AD11,$K$2)=0,"-",IF(COUNTIF('Програма-кодове'!$C11:$AD11,$K$2)=1,INDEX('Програма-кодове'!$C$1:$AD$1,1,MATCH($K$2,'Програма-кодове'!$C11:$AD11,0)),"Дублаж"))</f>
        <v>12а</v>
      </c>
      <c r="L12" s="346" t="str">
        <f>IF(COUNTIF('Програма-кодове'!$C11:$AD11,$L$2)=0,"-",IF(COUNTIF('Програма-кодове'!$C11:$AD11,$L$2)=1,INDEX('Програма-кодове'!$C$1:$AD$1,1,MATCH($L$2,'Програма-кодове'!$C11:$AD11,0)),"Дублаж"))</f>
        <v>-</v>
      </c>
      <c r="M12" s="20" t="str">
        <f>IF(COUNTIF('Програма-кодове'!$C11:$AD11,$M$2)=0,"-",IF(COUNTIF('Програма-кодове'!$C11:$AD11,$M$2)=1,INDEX('Програма-кодове'!$C$1:$AD$1,1,MATCH($M$2,'Програма-кодове'!$C11:$AD11,0)),"Дублаж"))</f>
        <v>-</v>
      </c>
      <c r="N12" s="20" t="str">
        <f>IF(COUNTIF('Програма-кодове'!$C11:$AD11,$N$2)=0,"-",IF(COUNTIF('Програма-кодове'!$C11:$AD11,$N$2)=1,INDEX('Програма-кодове'!$C$1:$AD$1,1,MATCH($N$2,'Програма-кодове'!$C11:$AD11,0)),"Дублаж"))</f>
        <v>8в</v>
      </c>
      <c r="O12" s="20" t="str">
        <f>IF(COUNTIF('Програма-кодове'!$C11:$AD11,$O$2)=0,"-",IF(COUNTIF('Програма-кодове'!$C11:$AD11,$O$2)=1,INDEX('Програма-кодове'!$C$1:$AD$1,1,MATCH($O$2,'Програма-кодове'!$C11:$AD11,0)),"Дублаж"))</f>
        <v>8д</v>
      </c>
      <c r="P12" s="20" t="str">
        <f>IF(COUNTIF('Програма-кодове'!$C11:$AD11,$P$2)=0,"-",IF(COUNTIF('Програма-кодове'!$C11:$AD11,$P$2)=1,INDEX('Програма-кодове'!$C$1:$AD$1,1,MATCH($P$2,'Програма-кодове'!$C11:$AD11,0)),"Дублаж"))</f>
        <v>8a</v>
      </c>
      <c r="Q12" s="20" t="str">
        <f>IF(COUNTIF('Програма-кодове'!$C11:$AD11,$Q$2)=0,"-",IF(COUNTIF('Програма-кодове'!$C11:$AD11,$Q$2)=1,INDEX('Програма-кодове'!$C$1:$AD$1,1,MATCH($Q$2,'Програма-кодове'!$C11:$AD11,0)),"Дублаж"))</f>
        <v>-</v>
      </c>
      <c r="R12" s="193" t="str">
        <f t="shared" si="0"/>
        <v>-</v>
      </c>
      <c r="S12" s="193" t="str">
        <f t="shared" si="3"/>
        <v>-</v>
      </c>
      <c r="T12" s="193" t="str">
        <f t="shared" si="4"/>
        <v>-</v>
      </c>
      <c r="U12" s="20" t="str">
        <f>IF(COUNTIF('Програма-кодове'!$C11:$AD11,$U$2)=0,"-",IF(COUNTIF('Програма-кодове'!$C11:$AD11,$U$2)=1,INDEX('Програма-кодове'!$C$1:$AD$1,1,MATCH($U$2,'Програма-кодове'!$C11:$AD11,0)),"Дублаж"))</f>
        <v>12г</v>
      </c>
      <c r="V12" s="20">
        <f>IF(COUNTIF('Програма-кодове'!$C11:$AD11,$V$2)=0,"-",IF(COUNTIF('Програма-кодове'!$C11:$AD11,$V$2)=1,INDEX('Програма-кодове'!$C$1:$AD$1,1,MATCH($V$2,'Програма-кодове'!$C11:$AD11,0)),"Дублаж"))</f>
        <v>5</v>
      </c>
      <c r="W12" s="20">
        <f>IF(COUNTIF('Програма-кодове'!$C11:$AD11,$W$2)=0,"-",IF(COUNTIF('Програма-кодове'!$C11:$AD11,$W$2)=1,INDEX('Програма-кодове'!$C$1:$AD$1,1,MATCH($W$2,'Програма-кодове'!$C11:$AD11,0)),"Дублаж"))</f>
        <v>7</v>
      </c>
      <c r="X12" s="20" t="str">
        <f>IF(COUNTIF('Програма-кодове'!$C11:$AD11,$X$2)=0,"-",IF(COUNTIF('Програма-кодове'!$C11:$AD11,$X$2)=1,INDEX('Програма-кодове'!$C$1:$AD$1,1,MATCH($X$2,'Програма-кодове'!$C11:$AD11,0)),"Дублаж"))</f>
        <v>9б</v>
      </c>
      <c r="Y12" s="20" t="str">
        <f>IF(COUNTIF('Програма-кодове'!$C11:$AD11,$Y$2)=0,"-",IF(COUNTIF('Програма-кодове'!$C11:$AD11,$Y$2)=1,INDEX('Програма-кодове'!$C$1:$AD$1,1,MATCH($Y$2,'Програма-кодове'!$C11:$AD11,0)),"Дублаж"))</f>
        <v>-</v>
      </c>
      <c r="Z12" s="20">
        <f>IF(COUNTIF('Програма-кодове'!$C11:$AD11,$Z$2)=0,"-",IF(COUNTIF('Програма-кодове'!$C11:$AD11,$Z$2)=1,INDEX('Програма-кодове'!$C$1:$AD$1,1,MATCH($Z$2,'Програма-кодове'!$C11:$AD11,0)),"Дублаж"))</f>
        <v>6</v>
      </c>
      <c r="AA12" s="193" t="str">
        <f t="shared" si="5"/>
        <v>12в</v>
      </c>
      <c r="AB12" s="193" t="str">
        <f t="shared" si="6"/>
        <v>8б</v>
      </c>
      <c r="AC12" s="193" t="str">
        <f t="shared" si="7"/>
        <v>10б</v>
      </c>
      <c r="AD12" s="193" t="str">
        <f t="shared" si="8"/>
        <v>10б</v>
      </c>
      <c r="AE12" s="193" t="str">
        <f t="shared" si="9"/>
        <v>12в</v>
      </c>
      <c r="AF12" s="193" t="str">
        <f t="shared" si="10"/>
        <v>11б</v>
      </c>
      <c r="AG12" s="193" t="str">
        <f>IF(BA12&lt;&gt;"-",IF(AND(BC12="-",BG12="-",BF12="-",BM12="-",BI12="-"),BA12,"Дублаж"),IF(BC12&lt;&gt;"-",IF(AND(BG12="-",BF12="-",BM12="-",BI12="-"),BC12,"Дублаж"),IF(BG12&lt;&gt;"-",IF(AND(BF12="-",BM12="-",BI12="-"),BG12,"Дублаж"),IF(BF12&lt;&gt;"-",IF(AND(BM12="-",BI12="-"),BF12,"Дублаж"),IF(BM12&lt;&gt;"-",IF(BI12="-",BM12,BI12),BI12)))))</f>
        <v>8б</v>
      </c>
      <c r="AH12" s="193" t="str">
        <f t="shared" si="12"/>
        <v>11б</v>
      </c>
      <c r="AI12" s="20" t="str">
        <f t="shared" si="13"/>
        <v>11а</v>
      </c>
      <c r="AJ12" s="193" t="str">
        <f>IF(CC12&lt;&gt;"-",IF(AND(CD12="-",CE12="-"),CC12,"Дублаж"),IF(AND(CD12&lt;&gt;"-",CE12&lt;&gt;"-"),"Дублаж",IF(CD12&lt;&gt;"-",CD12,CE12)))</f>
        <v>12д</v>
      </c>
      <c r="AK12" s="20" t="str">
        <f>IF(COUNTIF('Програма-кодове'!$C11:$AD11,$AK$2)=0,"-",IF(COUNTIF('Програма-кодове'!$C11:$AD11,$AK$2)=1,INDEX('Програма-кодове'!$C$1:$AD$1,1,MATCH($AK$2,'Програма-кодове'!$C11:$AD11,0)),"Дублаж"))</f>
        <v>-</v>
      </c>
      <c r="AL12" s="20" t="str">
        <f>IF(COUNTIF('Програма-кодове'!$C11:$AD11,$AL$2)=0,"-",IF(COUNTIF('Програма-кодове'!$C11:$AD11,$AL$2)=1,INDEX('Програма-кодове'!$C$1:$AD$1,1,MATCH($AL$2,'Програма-кодове'!$C11:$AD11,0)),"Дублаж"))</f>
        <v>9а</v>
      </c>
      <c r="AM12" s="20" t="str">
        <f>IF(COUNTIF('Програма-кодове'!$C11:$AD11,$AM$2)=0,"-",IF(COUNTIF('Програма-кодове'!$C11:$AD11,$AM$2)=1,INDEX('Програма-кодове'!$C$1:$AD$1,1,MATCH($AM$2,'Програма-кодове'!$C11:$AD11,0)),"Дублаж"))</f>
        <v>11г</v>
      </c>
      <c r="AN12" s="346" t="str">
        <f>IF(COUNTIF('Програма-кодове'!$C11:$AD11,$AN$2)=0,"-",IF(COUNTIF('Програма-кодове'!$C11:$AD11,$AN$2)=1,INDEX('Програма-кодове'!$C$1:$AD$1,1,MATCH($AN$2,'Програма-кодове'!$C11:$AD11,0)),"Дублаж"))</f>
        <v>10а</v>
      </c>
      <c r="AO12" s="346" t="str">
        <f>IF(COUNTIF('Програма-кодове'!$C11:$AD11,$AO$2)=0,"-",IF(COUNTIF('Програма-кодове'!$C11:$AD11,$AO$2)=1,INDEX('Програма-кодове'!$C$1:$AD$1,1,MATCH($AO$2,'Програма-кодове'!$C11:$AD11,0)),"Дублаж"))</f>
        <v>10в</v>
      </c>
      <c r="AP12" s="346" t="str">
        <f>IF(COUNTIF('Програма-кодове'!$C11:$AD11,$AP$2)=0,"-",IF(COUNTIF('Програма-кодове'!$C11:$AD11,$AP$2)=1,INDEX('Програма-кодове'!$C$1:$AD$1,1,MATCH($AP$2,'Програма-кодове'!$C11:$AD11,0)),"Дублаж"))</f>
        <v>11в</v>
      </c>
      <c r="AQ12" s="346" t="str">
        <f t="shared" si="15"/>
        <v>9д</v>
      </c>
      <c r="AR12" s="346" t="str">
        <f>IF(COUNTIF('Програма-кодове'!$C11:$AD11,$AR$2)=0,"-",IF(COUNTIF('Програма-кодове'!$C11:$AD11,$AR$2)=1,INDEX('Програма-кодове'!$C$1:$AD$1,1,MATCH($AR$2,'Програма-кодове'!$C11:$AD11,0)),"Дублаж"))</f>
        <v>-</v>
      </c>
      <c r="AS12" s="346" t="str">
        <f>IF(COUNTIF('Програма-кодове'!$C11:$AD11,$AS$2)=0,"-",IF(COUNTIF('Програма-кодове'!$C11:$AD11,$AS$2)=1,INDEX('Програма-кодове'!$C$1:$AD$1,1,MATCH($AS$2,'Програма-кодове'!$C11:$AD11,0)),"Дублаж"))</f>
        <v>-</v>
      </c>
      <c r="AT12" s="346" t="str">
        <f>IF(COUNTIF('Програма-кодове'!$C11:$AD11,$AT$2)=0,"-",IF(COUNTIF('Програма-кодове'!$C11:$AD11,$AT$2)=1,INDEX('Програма-кодове'!$C$1:$AD$1,1,MATCH($AT$2,'Програма-кодове'!$C11:$AD11,0)),"Дублаж"))</f>
        <v>11д</v>
      </c>
      <c r="AU12" s="196" t="str">
        <f t="shared" si="1"/>
        <v>10г</v>
      </c>
      <c r="AV12" s="194" t="str">
        <f t="shared" si="2"/>
        <v>-</v>
      </c>
      <c r="AW12" s="196" t="str">
        <f>IF(COUNTIF('Програма-кодове'!$C11:$AD11,$AW$2)=0,"-",IF(COUNTIF('Програма-кодове'!$C11:$AD11,$AW$2)=1,INDEX('Програма-кодове'!$C$1:$AD$1,1,MATCH($AW$2,'Програма-кодове'!$C11:$AD11,0)),"Дублаж"))</f>
        <v>9в</v>
      </c>
      <c r="AX12" s="196" t="str">
        <f>IF(COUNTIF('Програма-кодове'!$C11:$AD11,$AX$2)=0,"-",IF(COUNTIF('Програма-кодове'!$C11:$AD11,$AX$2)=1,INDEX('Програма-кодове'!$C$1:$AD$1,1,MATCH($AX$2,'Програма-кодове'!$C11:$AD11,0)),"Дублаж"))</f>
        <v>-</v>
      </c>
      <c r="AY12" s="196" t="str">
        <f>IF(COUNTIF('Програма-кодове'!$C11:$AD11,$AY$2)=0,"-",IF(COUNTIF('Програма-кодове'!$C11:$AD11,$AY$2)=1,INDEX('Програма-кодове'!$C$1:$AD$1,1,MATCH($AY$2,'Програма-кодове'!$C11:$AD11,0)),"Дублаж"))</f>
        <v>-</v>
      </c>
      <c r="AZ12" s="193" t="str">
        <f t="shared" si="16"/>
        <v>-</v>
      </c>
      <c r="BA12" s="30" t="str">
        <f>IF(COUNTIF('Програма-кодове'!$C11:$AD11,$BA$2)=0,"-",IF(COUNTIF('Програма-кодове'!$C11:$AD11,$BA$2)=1,INDEX('Програма-кодове'!$C$1:$AD$1,1,MATCH($BA$2,'Програма-кодове'!$C11:$AD11,0)),"Дублаж"))</f>
        <v>8б</v>
      </c>
      <c r="BB12" s="30" t="str">
        <f>IF(COUNTIF('Програма-кодове'!$C11:$AD11,$BB$2)=0,"-",IF(COUNTIF('Програма-кодове'!$C11:$AD11,$BB$2)=1,INDEX('Програма-кодове'!$C$1:$AD$1,1,MATCH($BB$2,'Програма-кодове'!$C11:$AD11,0)),"Дублаж"))</f>
        <v>-</v>
      </c>
      <c r="BC12" s="30" t="str">
        <f>IF(COUNTIF('Програма-кодове'!$C11:$AD11,$BC$2)=0,"-",IF(COUNTIF('Програма-кодове'!$C11:$AD11,$BC$2)=1,INDEX('Програма-кодове'!$C$1:$AD$1,1,MATCH($BC$2,'Програма-кодове'!$C11:$AD11,0)),"Дублаж"))</f>
        <v>-</v>
      </c>
      <c r="BD12" s="30" t="str">
        <f>IF(COUNTIF('Програма-кодове'!$C11:$AD11,$BD$2)=0,"-",IF(COUNTIF('Програма-кодове'!$C11:$AD11,$BD$2)=1,INDEX('Програма-кодове'!$C$1:$AD$1,1,MATCH($BD$2,'Програма-кодове'!$C11:$AD11,0)),"Дублаж"))</f>
        <v>10б</v>
      </c>
      <c r="BE12" s="30" t="str">
        <f>IF(COUNTIF('Програма-кодове'!$C11:$AD11,$BE$2)=0,"-",IF(COUNTIF('Програма-кодове'!$C11:$AD11,$BE$2)=1,INDEX('Програма-кодове'!$C$1:$AD$1,1,MATCH($BE$2,'Програма-кодове'!$C11:$AD11,0)),"Дублаж"))</f>
        <v>11б</v>
      </c>
      <c r="BF12" s="30" t="str">
        <f>IF(COUNTIF('Програма-кодове'!$C11:$AD11,$BF$2)=0,"-",IF(COUNTIF('Програма-кодове'!$C11:$AD11,$BF$2)=1,INDEX('Програма-кодове'!$C$1:$AD$1,1,MATCH($BF$2,'Програма-кодове'!$C11:$AD11,0)),"Дублаж"))</f>
        <v>-</v>
      </c>
      <c r="BG12" s="30" t="str">
        <f>IF(COUNTIF('Програма-кодове'!$C11:$AD11,$BG$2)=0,"-",IF(COUNTIF('Програма-кодове'!$C11:$AD11,$BG$2)=1,INDEX('Програма-кодове'!$C$1:$AD$1,1,MATCH($BG$2,'Програма-кодове'!$C11:$AD11,0)),"Дублаж"))</f>
        <v>-</v>
      </c>
      <c r="BH12" s="30" t="str">
        <f>IF(COUNTIF('Програма-кодове'!$C11:$AD11,$BH$2)=0,"-",IF(COUNTIF('Програма-кодове'!$C11:$AD11,$BH$2)=1,INDEX('Програма-кодове'!$C$1:$AD$1,1,MATCH($BH$2,'Програма-кодове'!$C11:$AD11,0)),"Дублаж"))</f>
        <v>12в</v>
      </c>
      <c r="BI12" s="94" t="str">
        <f>IF(COUNTIF('Програма-кодове'!$C11:$AD11,$BI$2)=0,"-",IF(COUNTIF('Програма-кодове'!$C11:$AD11,$BI$2)=1,INDEX('Програма-кодове'!$C$1:$AD$1,1,MATCH($BI$2,'Програма-кодове'!$C11:$AD11,0)),IF('Програма-кодове'!Z11='Програма-кодове'!AA11,"12а,б","Дублаж")))</f>
        <v>-</v>
      </c>
      <c r="BJ12" s="94" t="str">
        <f>IF(COUNTIF('Програма-кодове'!$C11:$AD11,$BJ$2)=0,"-",IF(COUNTIF('Програма-кодове'!$C11:$AD11,$BJ$2)=1,INDEX('Програма-кодове'!$C$1:$AD$1,1,MATCH($BJ$2,'Програма-кодове'!$C11:$AD11,0)),"Дублаж"))</f>
        <v>-</v>
      </c>
      <c r="BK12" s="94" t="str">
        <f>IF(COUNTIF('Програма-кодове'!$C11:$AD11,$BK$2)=0,"-",IF(COUNTIF('Програма-кодове'!$C11:$AD11,$BK$2)=1,INDEX('Програма-кодове'!$C$1:$AD$1,1,MATCH($BK$2,'Програма-кодове'!$C11:$AD11,0)),IF('Програма-кодове'!K11='Програма-кодове'!O11,"9а,д",IF('Програма-кодове'!L11='Програма-кодове'!M11,"9б,в","Дублаж"))))</f>
        <v>-</v>
      </c>
      <c r="BL12" s="30" t="str">
        <f>IF(COUNTIF('Програма-кодове'!$C11:$AD11,$BL$2)=0,"-",IF(COUNTIF('Програма-кодове'!$C11:$AD11,$BL$2)=1,INDEX('Програма-кодове'!$C$1:$AD$1,1,MATCH($BL$2,'Програма-кодове'!$C11:$AD11,0)),"Дублаж"))</f>
        <v>-</v>
      </c>
      <c r="BM12" s="30" t="str">
        <f>IF(COUNTIF('Програма-кодове'!$C11:$AD11,$BM$2)=0,"-",IF(COUNTIF('Програма-кодове'!$C11:$AD11,$BM$2)=1,INDEX('Програма-кодове'!$C$1:$AD$1,1,MATCH($BM$2,'Програма-кодове'!$C11:$AD11,0)),"Дублаж"))</f>
        <v>-</v>
      </c>
      <c r="BN12" s="77" t="str">
        <f>IF(COUNTIF('Програма-кодове'!$C11:$AD11,$BN$2)=0,"-",IF(COUNTIF('Програма-кодове'!$C11:$AD11,$BN$2)=1,INDEX('Програма-кодове'!$C$1:$AD$1,1,MATCH($BN$2,'Програма-кодове'!$C11:$AD11,0)),IF(AND('Програма-кодове'!K11='Програма-кодове'!O11,'Програма-кодове'!K11&lt;&gt;""),"9а, д", IF(AND('Програма-кодове'!U11='Програма-кодове'!W11,'Програма-кодове'!U11&lt;&gt;""),"11а,в", "Дублаж"))))</f>
        <v>-</v>
      </c>
      <c r="BO12" s="77" t="str">
        <f>IF(COUNTIF('Програма-кодове'!$C11:$AD11,$BO$2)=0,"-",IF(COUNTIF('Програма-кодове'!$C11:$AD11,$BO$2)=1,INDEX('Програма-кодове'!$C$1:$AD$1,1,MATCH($BO$2,'Програма-кодове'!$C11:$AD11,0)),IF(AND('Програма-кодове'!U11='Програма-кодове'!W11,'Програма-кодове'!U11&lt;&gt;"" ),"11a,в","Дублаж")))</f>
        <v>-</v>
      </c>
      <c r="BP12" s="30" t="str">
        <f>IF(COUNTIF('Програма-кодове'!$C11:$AD11,$BP$2)=0,"-",IF(COUNTIF('Програма-кодове'!$C11:$AD11,$BP$2)=1,"9б,в,г","Дублаж"))</f>
        <v>-</v>
      </c>
      <c r="BQ12" s="30" t="str">
        <f>IF(COUNTIF('Програма-кодове'!$C11:$AD11,$BQ$2)=0,"-",IF(COUNTIF('Програма-кодове'!$C11:$AD11,$BQ$2)=1,INDEX('Програма-кодове'!$C$1:$AD$1,1,MATCH($BQ$2,'Програма-кодове'!$C11:$AD11,0)),"Дублаж"))</f>
        <v>-</v>
      </c>
      <c r="BR12" s="30" t="str">
        <f>IF(COUNTIF('Програма-кодове'!$C11:$AD11,$BR$2)=0,"-",IF(COUNTIF('Програма-кодове'!$C11:$AD11,$BR$2)=1,INDEX('Програма-кодове'!$C$1:$AD$1,1,MATCH($BR$2,'Програма-кодове'!$C11:$AD11,0)),IF('Програма-кодове'!W11='Програма-кодове'!X11,"11б,в","Дублаж")))</f>
        <v>-</v>
      </c>
      <c r="BS12" s="30" t="str">
        <f>IF(COUNTIF('Програма-кодове'!$C11:$AD11,$BS$2)=0,"-",IF(COUNTIF('Програма-кодове'!$C11:$AD11,$BS$2)=1,INDEX('Програма-кодове'!$C$1:$AD$1,1,MATCH($BS$2,'Програма-кодове'!$C11:$AD11,0)),"Дублаж"))</f>
        <v>-</v>
      </c>
      <c r="BT12" s="193" t="str">
        <f t="shared" si="17"/>
        <v>-</v>
      </c>
      <c r="BU12" s="30" t="str">
        <f>IF(COUNTIF('Програма-кодове'!$C11:$AD11,$BU$2)=0,"-",IF(COUNTIF('Програма-кодове'!$C11:$AD11,$BU$2)=1,INDEX('Програма-кодове'!$C$1:$AD$1,1,MATCH($BU$2,'Програма-кодове'!$C11:$AD11,0)),"Дублаж"))</f>
        <v>-</v>
      </c>
      <c r="BV12" s="30" t="str">
        <f>IF(COUNTIF('Програма-кодове'!$C11:$AD11,$BV$2)=0,"-",IF(COUNTIF('Програма-кодове'!$C11:$AD11,$BV$2)=1,INDEX('Програма-кодове'!$C$1:$AD$1,1,MATCH($BV$2,'Програма-кодове'!$C11:$AD11,0)),"Дублаж"))</f>
        <v>10г</v>
      </c>
      <c r="BW12" s="30" t="str">
        <f>IF(COUNTIF('Програма-кодове'!$C11:$AD11,$BW$2)=0,"-",IF(COUNTIF('Програма-кодове'!$C11:$AD11,$BW$2)=1,INDEX('Програма-кодове'!$C$1:$AD$1,1,MATCH($BW$2,'Програма-кодове'!$C11:$AD11,0)),"Дублаж"))</f>
        <v>-</v>
      </c>
      <c r="BX12" s="30" t="str">
        <f>IF(COUNTIF('Програма-кодове'!$C11:$AD11,$BX$2)=0,"-",IF(COUNTIF('Програма-кодове'!$C11:$AD11,$BX$2)=1,INDEX('Програма-кодове'!$C$1:$AD$1,1,MATCH($BX$2,'Програма-кодове'!$C11:$AD11,0)),"Дублаж"))</f>
        <v>-</v>
      </c>
      <c r="BY12" s="30" t="str">
        <f>IF(COUNTIF('Програма-кодове'!$C11:$AD11,$BY$2)=0,"-",IF(COUNTIF('Програма-кодове'!$C11:$AD11,$BY$2)=1,INDEX('Програма-кодове'!$C$1:$AD$1,1,MATCH($BY$2,'Програма-кодове'!$C11:$AD11,0)),"Дублаж"))</f>
        <v>11а</v>
      </c>
      <c r="BZ12" s="30" t="str">
        <f>IF(COUNTIF('Програма-кодове'!$C11:$AD11,$BZ$2)=0,"-",IF(COUNTIF('Програма-кодове'!$C11:$AD11,$BZ$2)=1,INDEX('Програма-кодове'!$C$1:$AD$1,1,MATCH($BZ$2,'Програма-кодове'!$C11:$AD11,0)),"Дублаж"))</f>
        <v>-</v>
      </c>
      <c r="CA12" s="30" t="str">
        <f>IF(COUNTIF('Програма-кодове'!$C11:$AD11,$CA$2)=0,"-",IF(COUNTIF('Програма-кодове'!$C11:$AD11,$CA$2)=1,INDEX('Програма-кодове'!$C$1:$AD$1,1,MATCH($CA$2,'Програма-кодове'!$C11:$AD11,0)),"Дублаж"))</f>
        <v>9д</v>
      </c>
      <c r="CB12" s="30" t="str">
        <f>IF(COUNTIF('Програма-кодове'!$C11:$AD11,$CB$2)=0,"-",IF(COUNTIF('Програма-кодове'!$C11:$AD11,$CB$2)=1,INDEX('Програма-кодове'!$C$1:$AD$1,1,MATCH($CB$2,'Програма-кодове'!$C11:$AD11,0)),"Дублаж"))</f>
        <v>-</v>
      </c>
      <c r="CC12" s="30" t="str">
        <f>IF(COUNTIF('Програма-кодове'!$C11:$AD11,$CC$2)=0,"-",IF(COUNTIF('Програма-кодове'!$C11:$AD11,$CC$2)=1,INDEX('Програма-кодове'!$C$1:$AD$1,1,MATCH($CC$2,'Програма-кодове'!$C11:$AD11,0)),"Дублаж"))</f>
        <v>12д</v>
      </c>
      <c r="CD12" s="30" t="str">
        <f>IF(COUNTIF('Програма-кодове'!$C11:$AD11,$CD$2)=0,"-",IF(COUNTIF('Програма-кодове'!$C11:$AD11,$CD$2)=1,INDEX('Програма-кодове'!$C$1:$AD$1,1,MATCH($CD$2,'Програма-кодове'!$C11:$AD11,0)),"Дублаж"))</f>
        <v>-</v>
      </c>
      <c r="CE12" s="30" t="str">
        <f>IF(COUNTIF('Програма-кодове'!$C11:$AD11,$CE$2)=0,"-",IF(COUNTIF('Програма-кодове'!$C11:$AD11,$CE$2)=1,INDEX('Програма-кодове'!$C$1:$AD$1,1,MATCH($CE$2,'Програма-кодове'!$C11:$AD11,0)),"Дублаж"))</f>
        <v>-</v>
      </c>
    </row>
    <row r="13" spans="1:83" ht="13.5" customHeight="1">
      <c r="A13" s="369"/>
      <c r="B13" s="351">
        <v>4</v>
      </c>
      <c r="C13" s="20" t="str">
        <f>IF(COUNTIF('Програма-кодове'!$C12:$AD12,$C$2)=0,"-",IF(COUNTIF('Програма-кодове'!$C12:$AD12,$C$2)=1,INDEX('Програма-кодове'!$C$1:$AD$1,1,MATCH($C$2,'Програма-кодове'!$C12:$AD12,0)),"Дублаж"))</f>
        <v>-</v>
      </c>
      <c r="D13" s="319" t="str">
        <f>IF(COUNTIF('Програма-кодове'!$C12:$AD12,$D$2)=0,"-",IF(COUNTIF('Програма-кодове'!$C12:$AD12,$D$2)=1,INDEX('Програма-кодове'!$C$1:$AD$1,1,MATCH($D$2,'Програма-кодове'!$C12:$AD12,0)),"Дублаж"))</f>
        <v>8в</v>
      </c>
      <c r="E13" s="319" t="str">
        <f>IF(COUNTIF('Програма-кодове'!$C12:$AD12,$E$2)=0,"-",IF(COUNTIF('Програма-кодове'!$C12:$AD12,$E$2)=1,INDEX('Програма-кодове'!$C$1:$AD$1,1,MATCH($E$2,'Програма-кодове'!$C12:$AD12,0)),"Дублаж"))</f>
        <v>-</v>
      </c>
      <c r="F13" s="20" t="str">
        <f>IF(COUNTIF('Програма-кодове'!$C12:$AD12,$F$2)=0,"-",IF(COUNTIF('Програма-кодове'!$C12:$AD12,$F$2)=1,INDEX('Програма-кодове'!$C$1:$AD$1,1,MATCH($F$2,'Програма-кодове'!$C12:$AD12,0)),"Дублаж"))</f>
        <v>10а</v>
      </c>
      <c r="G13" s="20" t="str">
        <f>IF(COUNTIF('Програма-кодове'!$C12:$AD12,$G$2)=0,"-",IF(COUNTIF('Програма-кодове'!$C12:$AD12,$G$2)=1,INDEX('Програма-кодове'!$C$1:$AD$1,1,MATCH($G$2,'Програма-кодове'!$C12:$AD12,0)),"Дублаж"))</f>
        <v>12б</v>
      </c>
      <c r="H13" s="20" t="str">
        <f>IF(COUNTIF('Програма-кодове'!$C12:$AD12,$H$2)=0,"-",IF(COUNTIF('Програма-кодове'!$C12:$AD12,$H$2)=1,INDEX('Програма-кодове'!$C$1:$AD$1,1,MATCH($H$2,'Програма-кодове'!$C12:$AD12,0)),"Дублаж"))</f>
        <v>9г</v>
      </c>
      <c r="I13" s="20" t="str">
        <f>IF(COUNTIF('Програма-кодове'!$C12:$AD12,$I$2)=0,"-",IF(COUNTIF('Програма-кодове'!$C12:$AD12,$I$2)=1,INDEX('Програма-кодове'!$C$1:$AD$1,1,MATCH($I$2,'Програма-кодове'!$C12:$AD12,0)),"Дублаж"))</f>
        <v>11б</v>
      </c>
      <c r="J13" s="20" t="str">
        <f>IF(COUNTIF('Програма-кодове'!$C12:$AD12,$J$2)=0,"-",IF(COUNTIF('Програма-кодове'!$C12:$AD12,$J$2)=1,INDEX('Програма-кодове'!$C$1:$AD$1,1,MATCH($J$2,'Програма-кодове'!$C12:$AD12,0)),"Дублаж"))</f>
        <v>8г</v>
      </c>
      <c r="K13" s="20" t="str">
        <f>IF(COUNTIF('Програма-кодове'!$C12:$AD12,$K$2)=0,"-",IF(COUNTIF('Програма-кодове'!$C12:$AD12,$K$2)=1,INDEX('Програма-кодове'!$C$1:$AD$1,1,MATCH($K$2,'Програма-кодове'!$C12:$AD12,0)),"Дублаж"))</f>
        <v>12в</v>
      </c>
      <c r="L13" s="346" t="str">
        <f>IF(COUNTIF('Програма-кодове'!$C12:$AD12,$L$2)=0,"-",IF(COUNTIF('Програма-кодове'!$C12:$AD12,$L$2)=1,INDEX('Програма-кодове'!$C$1:$AD$1,1,MATCH($L$2,'Програма-кодове'!$C12:$AD12,0)),"Дублаж"))</f>
        <v>-</v>
      </c>
      <c r="M13" s="20" t="str">
        <f>IF(COUNTIF('Програма-кодове'!$C12:$AD12,$M$2)=0,"-",IF(COUNTIF('Програма-кодове'!$C12:$AD12,$M$2)=1,INDEX('Програма-кодове'!$C$1:$AD$1,1,MATCH($M$2,'Програма-кодове'!$C12:$AD12,0)),"Дублаж"))</f>
        <v>8б</v>
      </c>
      <c r="N13" s="316" t="str">
        <f>IF(COUNTIF('Програма-кодове'!$C12:$AD12,$N$2)=0,"-",IF(COUNTIF('Програма-кодове'!$C12:$AD12,$N$2)=1,INDEX('Програма-кодове'!$C$1:$AD$1,1,MATCH($N$2,'Програма-кодове'!$C12:$AD12,0)),"Дублаж"))</f>
        <v>-</v>
      </c>
      <c r="O13" s="20" t="str">
        <f>IF(COUNTIF('Програма-кодове'!$C12:$AD12,$O$2)=0,"-",IF(COUNTIF('Програма-кодове'!$C12:$AD12,$O$2)=1,INDEX('Програма-кодове'!$C$1:$AD$1,1,MATCH($O$2,'Програма-кодове'!$C12:$AD12,0)),"Дублаж"))</f>
        <v>8д</v>
      </c>
      <c r="P13" s="20" t="str">
        <f>IF(COUNTIF('Програма-кодове'!$C12:$AD12,$P$2)=0,"-",IF(COUNTIF('Програма-кодове'!$C12:$AD12,$P$2)=1,INDEX('Програма-кодове'!$C$1:$AD$1,1,MATCH($P$2,'Програма-кодове'!$C12:$AD12,0)),"Дублаж"))</f>
        <v>8a</v>
      </c>
      <c r="Q13" s="316" t="str">
        <f>IF(COUNTIF('Програма-кодове'!$C12:$AD12,$Q$2)=0,"-",IF(COUNTIF('Програма-кодове'!$C12:$AD12,$Q$2)=1,INDEX('Програма-кодове'!$C$1:$AD$1,1,MATCH($Q$2,'Програма-кодове'!$C12:$AD12,0)),"Дублаж"))</f>
        <v>9а</v>
      </c>
      <c r="R13" s="193" t="str">
        <f t="shared" si="0"/>
        <v>10г</v>
      </c>
      <c r="S13" s="193" t="str">
        <f t="shared" si="3"/>
        <v>-</v>
      </c>
      <c r="T13" s="193" t="str">
        <f t="shared" si="4"/>
        <v>-</v>
      </c>
      <c r="U13" s="20" t="str">
        <f>IF(COUNTIF('Програма-кодове'!$C12:$AD12,$U$2)=0,"-",IF(COUNTIF('Програма-кодове'!$C12:$AD12,$U$2)=1,INDEX('Програма-кодове'!$C$1:$AD$1,1,MATCH($U$2,'Програма-кодове'!$C12:$AD12,0)),"Дублаж"))</f>
        <v>12а</v>
      </c>
      <c r="V13" s="20" t="str">
        <f>IF(COUNTIF('Програма-кодове'!$C12:$AD12,$V$2)=0,"-",IF(COUNTIF('Програма-кодове'!$C12:$AD12,$V$2)=1,INDEX('Програма-кодове'!$C$1:$AD$1,1,MATCH($V$2,'Програма-кодове'!$C12:$AD12,0)),"Дублаж"))</f>
        <v>-</v>
      </c>
      <c r="W13" s="20" t="str">
        <f>IF(COUNTIF('Програма-кодове'!$C12:$AD12,$W$2)=0,"-",IF(COUNTIF('Програма-кодове'!$C12:$AD12,$W$2)=1,INDEX('Програма-кодове'!$C$1:$AD$1,1,MATCH($W$2,'Програма-кодове'!$C12:$AD12,0)),"Дублаж"))</f>
        <v>-</v>
      </c>
      <c r="X13" s="20" t="str">
        <f>IF(COUNTIF('Програма-кодове'!$C12:$AD12,$X$2)=0,"-",IF(COUNTIF('Програма-кодове'!$C12:$AD12,$X$2)=1,INDEX('Програма-кодове'!$C$1:$AD$1,1,MATCH($X$2,'Програма-кодове'!$C12:$AD12,0)),"Дублаж"))</f>
        <v>12д</v>
      </c>
      <c r="Y13" s="20" t="str">
        <f>IF(COUNTIF('Програма-кодове'!$C12:$AD12,$Y$2)=0,"-",IF(COUNTIF('Програма-кодове'!$C12:$AD12,$Y$2)=1,INDEX('Програма-кодове'!$C$1:$AD$1,1,MATCH($Y$2,'Програма-кодове'!$C12:$AD12,0)),"Дублаж"))</f>
        <v>11г</v>
      </c>
      <c r="Z13" s="20" t="str">
        <f>IF(COUNTIF('Програма-кодове'!$C12:$AD12,$Z$2)=0,"-",IF(COUNTIF('Програма-кодове'!$C12:$AD12,$Z$2)=1,INDEX('Програма-кодове'!$C$1:$AD$1,1,MATCH($Z$2,'Програма-кодове'!$C12:$AD12,0)),"Дублаж"))</f>
        <v>-</v>
      </c>
      <c r="AA13" s="193" t="str">
        <f t="shared" si="5"/>
        <v>12г</v>
      </c>
      <c r="AB13" s="193" t="str">
        <f t="shared" si="6"/>
        <v>-</v>
      </c>
      <c r="AC13" s="193" t="str">
        <f t="shared" si="7"/>
        <v>10в</v>
      </c>
      <c r="AD13" s="193" t="str">
        <f t="shared" si="8"/>
        <v>10в</v>
      </c>
      <c r="AE13" s="193" t="str">
        <f t="shared" si="9"/>
        <v>12г</v>
      </c>
      <c r="AF13" s="193" t="str">
        <f t="shared" si="10"/>
        <v>11в</v>
      </c>
      <c r="AG13" s="193" t="str">
        <f>IF(BA13&lt;&gt;"-",IF(AND(BC13="-",BG13="-",BF13="-",BM13="-",BI13="-"),BA13,"Дублаж"),IF(BC13&lt;&gt;"-",IF(AND(BG13="-",BF13="-",BM13="-",BI13="-"),BC13,"Дублаж"),IF(BG13&lt;&gt;"-",IF(AND(BF13="-",BM13="-",BI13="-"),BG13,"Дублаж"),IF(BF13&lt;&gt;"-",IF(AND(BM13="-",BI13="-"),BF13,"Дублаж"),IF(BM13&lt;&gt;"-",IF(BI13="-",BM13,BI13),BI13)))))</f>
        <v>-</v>
      </c>
      <c r="AH13" s="193" t="str">
        <f t="shared" si="12"/>
        <v>11в</v>
      </c>
      <c r="AI13" s="20" t="str">
        <f t="shared" si="13"/>
        <v>-</v>
      </c>
      <c r="AJ13" s="193" t="str">
        <f t="shared" si="14"/>
        <v>9д</v>
      </c>
      <c r="AK13" s="20" t="str">
        <f>IF(COUNTIF('Програма-кодове'!$C12:$AD12,$AK$2)=0,"-",IF(COUNTIF('Програма-кодове'!$C12:$AD12,$AK$2)=1,INDEX('Програма-кодове'!$C$1:$AD$1,1,MATCH($AK$2,'Програма-кодове'!$C12:$AD12,0)),"Дублаж"))</f>
        <v>-</v>
      </c>
      <c r="AL13" s="20">
        <f>IF(COUNTIF('Програма-кодове'!$C12:$AD12,$AL$2)=0,"-",IF(COUNTIF('Програма-кодове'!$C12:$AD12,$AL$2)=1,INDEX('Програма-кодове'!$C$1:$AD$1,1,MATCH($AL$2,'Програма-кодове'!$C12:$AD12,0)),"Дублаж"))</f>
        <v>7</v>
      </c>
      <c r="AM13" s="20" t="str">
        <f>IF(COUNTIF('Програма-кодове'!$C12:$AD12,$AM$2)=0,"-",IF(COUNTIF('Програма-кодове'!$C12:$AD12,$AM$2)=1,INDEX('Програма-кодове'!$C$1:$AD$1,1,MATCH($AM$2,'Програма-кодове'!$C12:$AD12,0)),"Дублаж"))</f>
        <v>-</v>
      </c>
      <c r="AN13" s="346">
        <f>IF(COUNTIF('Програма-кодове'!$C12:$AD12,$AN$2)=0,"-",IF(COUNTIF('Програма-кодове'!$C12:$AD12,$AN$2)=1,INDEX('Програма-кодове'!$C$1:$AD$1,1,MATCH($AN$2,'Програма-кодове'!$C12:$AD12,0)),"Дублаж"))</f>
        <v>6</v>
      </c>
      <c r="AO13" s="346" t="str">
        <f>IF(COUNTIF('Програма-кодове'!$C12:$AD12,$AO$2)=0,"-",IF(COUNTIF('Програма-кодове'!$C12:$AD12,$AO$2)=1,INDEX('Програма-кодове'!$C$1:$AD$1,1,MATCH($AO$2,'Програма-кодове'!$C12:$AD12,0)),"Дублаж"))</f>
        <v>9в</v>
      </c>
      <c r="AP13" s="346" t="str">
        <f>IF(COUNTIF('Програма-кодове'!$C12:$AD12,$AP$2)=0,"-",IF(COUNTIF('Програма-кодове'!$C12:$AD12,$AP$2)=1,INDEX('Програма-кодове'!$C$1:$AD$1,1,MATCH($AP$2,'Програма-кодове'!$C12:$AD12,0)),"Дублаж"))</f>
        <v>-</v>
      </c>
      <c r="AQ13" s="346" t="str">
        <f t="shared" si="15"/>
        <v>11а</v>
      </c>
      <c r="AR13" s="346" t="str">
        <f>IF(COUNTIF('Програма-кодове'!$C12:$AD12,$AR$2)=0,"-",IF(COUNTIF('Програма-кодове'!$C12:$AD12,$AR$2)=1,INDEX('Програма-кодове'!$C$1:$AD$1,1,MATCH($AR$2,'Програма-кодове'!$C12:$AD12,0)),"Дублаж"))</f>
        <v>-</v>
      </c>
      <c r="AS13" s="346" t="str">
        <f>IF(COUNTIF('Програма-кодове'!$C12:$AD12,$AS$2)=0,"-",IF(COUNTIF('Програма-кодове'!$C12:$AD12,$AS$2)=1,INDEX('Програма-кодове'!$C$1:$AD$1,1,MATCH($AS$2,'Програма-кодове'!$C12:$AD12,0)),"Дублаж"))</f>
        <v>10д</v>
      </c>
      <c r="AT13" s="346" t="str">
        <f>IF(COUNTIF('Програма-кодове'!$C12:$AD12,$AT$2)=0,"-",IF(COUNTIF('Програма-кодове'!$C12:$AD12,$AT$2)=1,INDEX('Програма-кодове'!$C$1:$AD$1,1,MATCH($AT$2,'Програма-кодове'!$C12:$AD12,0)),"Дублаж"))</f>
        <v>9б</v>
      </c>
      <c r="AU13" s="196">
        <f t="shared" si="1"/>
        <v>5</v>
      </c>
      <c r="AV13" s="194" t="str">
        <f t="shared" si="2"/>
        <v>-</v>
      </c>
      <c r="AW13" s="196" t="str">
        <f>IF(COUNTIF('Програма-кодове'!$C12:$AD12,$AW$2)=0,"-",IF(COUNTIF('Програма-кодове'!$C12:$AD12,$AW$2)=1,INDEX('Програма-кодове'!$C$1:$AD$1,1,MATCH($AW$2,'Програма-кодове'!$C12:$AD12,0)),"Дублаж"))</f>
        <v>11д</v>
      </c>
      <c r="AX13" s="196" t="str">
        <f>IF(COUNTIF('Програма-кодове'!$C12:$AD12,$AX$2)=0,"-",IF(COUNTIF('Програма-кодове'!$C12:$AD12,$AX$2)=1,INDEX('Програма-кодове'!$C$1:$AD$1,1,MATCH($AX$2,'Програма-кодове'!$C12:$AD12,0)),"Дублаж"))</f>
        <v>10б</v>
      </c>
      <c r="AY13" s="196" t="str">
        <f>IF(COUNTIF('Програма-кодове'!$C12:$AD12,$AY$2)=0,"-",IF(COUNTIF('Програма-кодове'!$C12:$AD12,$AY$2)=1,INDEX('Програма-кодове'!$C$1:$AD$1,1,MATCH($AY$2,'Програма-кодове'!$C12:$AD12,0)),"Дублаж"))</f>
        <v>-</v>
      </c>
      <c r="AZ13" s="193" t="str">
        <f t="shared" si="16"/>
        <v>-</v>
      </c>
      <c r="BA13" s="30" t="str">
        <f>IF(COUNTIF('Програма-кодове'!$C12:$AD12,$BA$2)=0,"-",IF(COUNTIF('Програма-кодове'!$C12:$AD12,$BA$2)=1,INDEX('Програма-кодове'!$C$1:$AD$1,1,MATCH($BA$2,'Програма-кодове'!$C12:$AD12,0)),"Дублаж"))</f>
        <v>-</v>
      </c>
      <c r="BB13" s="30" t="str">
        <f>IF(COUNTIF('Програма-кодове'!$C12:$AD12,$BB$2)=0,"-",IF(COUNTIF('Програма-кодове'!$C12:$AD12,$BB$2)=1,INDEX('Програма-кодове'!$C$1:$AD$1,1,MATCH($BB$2,'Програма-кодове'!$C12:$AD12,0)),"Дублаж"))</f>
        <v>-</v>
      </c>
      <c r="BC13" s="30" t="str">
        <f>IF(COUNTIF('Програма-кодове'!$C12:$AD12,$BC$2)=0,"-",IF(COUNTIF('Програма-кодове'!$C12:$AD12,$BC$2)=1,INDEX('Програма-кодове'!$C$1:$AD$1,1,MATCH($BC$2,'Програма-кодове'!$C12:$AD12,0)),"Дублаж"))</f>
        <v>-</v>
      </c>
      <c r="BD13" s="30" t="str">
        <f>IF(COUNTIF('Програма-кодове'!$C12:$AD12,$BD$2)=0,"-",IF(COUNTIF('Програма-кодове'!$C12:$AD12,$BD$2)=1,INDEX('Програма-кодове'!$C$1:$AD$1,1,MATCH($BD$2,'Програма-кодове'!$C12:$AD12,0)),"Дублаж"))</f>
        <v>10в</v>
      </c>
      <c r="BE13" s="30" t="str">
        <f>IF(COUNTIF('Програма-кодове'!$C12:$AD12,$BE$2)=0,"-",IF(COUNTIF('Програма-кодове'!$C12:$AD12,$BE$2)=1,INDEX('Програма-кодове'!$C$1:$AD$1,1,MATCH($BE$2,'Програма-кодове'!$C12:$AD12,0)),"Дублаж"))</f>
        <v>11в</v>
      </c>
      <c r="BF13" s="30" t="str">
        <f>IF(COUNTIF('Програма-кодове'!$C12:$AD12,$BF$2)=0,"-",IF(COUNTIF('Програма-кодове'!$C12:$AD12,$BF$2)=1,INDEX('Програма-кодове'!$C$1:$AD$1,1,MATCH($BF$2,'Програма-кодове'!$C12:$AD12,0)),"Дублаж"))</f>
        <v>-</v>
      </c>
      <c r="BG13" s="30" t="str">
        <f>IF(COUNTIF('Програма-кодове'!$C12:$AD12,$BG$2)=0,"-",IF(COUNTIF('Програма-кодове'!$C12:$AD12,$BG$2)=1,INDEX('Програма-кодове'!$C$1:$AD$1,1,MATCH($BG$2,'Програма-кодове'!$C12:$AD12,0)),"Дублаж"))</f>
        <v>-</v>
      </c>
      <c r="BH13" s="30" t="str">
        <f>IF(COUNTIF('Програма-кодове'!$C12:$AD12,$BH$2)=0,"-",IF(COUNTIF('Програма-кодове'!$C12:$AD12,$BH$2)=1,INDEX('Програма-кодове'!$C$1:$AD$1,1,MATCH($BH$2,'Програма-кодове'!$C12:$AD12,0)),"Дублаж"))</f>
        <v>12г</v>
      </c>
      <c r="BI13" s="94" t="str">
        <f>IF(COUNTIF('Програма-кодове'!$C12:$AD12,$BI$2)=0,"-",IF(COUNTIF('Програма-кодове'!$C12:$AD12,$BI$2)=1,INDEX('Програма-кодове'!$C$1:$AD$1,1,MATCH($BI$2,'Програма-кодове'!$C12:$AD12,0)),IF('Програма-кодове'!Z12='Програма-кодове'!AA12,"12а,б","Дублаж")))</f>
        <v>-</v>
      </c>
      <c r="BJ13" s="94" t="str">
        <f>IF(COUNTIF('Програма-кодове'!$C12:$AD12,$BJ$2)=0,"-",IF(COUNTIF('Програма-кодове'!$C12:$AD12,$BJ$2)=1,INDEX('Програма-кодове'!$C$1:$AD$1,1,MATCH($BJ$2,'Програма-кодове'!$C12:$AD12,0)),"Дублаж"))</f>
        <v>-</v>
      </c>
      <c r="BK13" s="94" t="str">
        <f>IF(COUNTIF('Програма-кодове'!$C12:$AD12,$BK$2)=0,"-",IF(COUNTIF('Програма-кодове'!$C12:$AD12,$BK$2)=1,INDEX('Програма-кодове'!$C$1:$AD$1,1,MATCH($BK$2,'Програма-кодове'!$C12:$AD12,0)),IF('Програма-кодове'!K12='Програма-кодове'!O12,"9а,д",IF('Програма-кодове'!L12='Програма-кодове'!M12,"9б,в","Дублаж"))))</f>
        <v>-</v>
      </c>
      <c r="BL13" s="30" t="str">
        <f>IF(COUNTIF('Програма-кодове'!$C12:$AD12,$BL$2)=0,"-",IF(COUNTIF('Програма-кодове'!$C12:$AD12,$BL$2)=1,INDEX('Програма-кодове'!$C$1:$AD$1,1,MATCH($BL$2,'Програма-кодове'!$C12:$AD12,0)),"Дублаж"))</f>
        <v>-</v>
      </c>
      <c r="BM13" s="30" t="str">
        <f>IF(COUNTIF('Програма-кодове'!$C12:$AD12,$BM$2)=0,"-",IF(COUNTIF('Програма-кодове'!$C12:$AD12,$BM$2)=1,INDEX('Програма-кодове'!$C$1:$AD$1,1,MATCH($BM$2,'Програма-кодове'!$C12:$AD12,0)),"Дублаж"))</f>
        <v>-</v>
      </c>
      <c r="BN13" s="77" t="str">
        <f>IF(COUNTIF('Програма-кодове'!$C12:$AD12,$BN$2)=0,"-",IF(COUNTIF('Програма-кодове'!$C12:$AD12,$BN$2)=1,INDEX('Програма-кодове'!$C$1:$AD$1,1,MATCH($BN$2,'Програма-кодове'!$C12:$AD12,0)),IF(AND('Програма-кодове'!K12='Програма-кодове'!O12,'Програма-кодове'!K12&lt;&gt;""),"9а, д", IF(AND('Програма-кодове'!U12='Програма-кодове'!W12,'Програма-кодове'!U12&lt;&gt;""),"11а,в", "Дублаж"))))</f>
        <v>-</v>
      </c>
      <c r="BO13" s="77" t="str">
        <f>IF(COUNTIF('Програма-кодове'!$C12:$AD12,$BO$2)=0,"-",IF(COUNTIF('Програма-кодове'!$C12:$AD12,$BO$2)=1,INDEX('Програма-кодове'!$C$1:$AD$1,1,MATCH($BO$2,'Програма-кодове'!$C12:$AD12,0)),IF(AND('Програма-кодове'!U12='Програма-кодове'!W12,'Програма-кодове'!U12&lt;&gt;"" ),"11a,в","Дублаж")))</f>
        <v>-</v>
      </c>
      <c r="BP13" s="30" t="str">
        <f>IF(COUNTIF('Програма-кодове'!$C12:$AD12,$BP$2)=0,"-",IF(COUNTIF('Програма-кодове'!$C12:$AD12,$BP$2)=1,"9б,в,г","Дублаж"))</f>
        <v>-</v>
      </c>
      <c r="BQ13" s="30" t="str">
        <f>IF(COUNTIF('Програма-кодове'!$C12:$AD12,$BQ$2)=0,"-",IF(COUNTIF('Програма-кодове'!$C12:$AD12,$BQ$2)=1,INDEX('Програма-кодове'!$C$1:$AD$1,1,MATCH($BQ$2,'Програма-кодове'!$C12:$AD12,0)),"Дублаж"))</f>
        <v>-</v>
      </c>
      <c r="BR13" s="30" t="str">
        <f>IF(COUNTIF('Програма-кодове'!$C12:$AD12,$BR$2)=0,"-",IF(COUNTIF('Програма-кодове'!$C12:$AD12,$BR$2)=1,INDEX('Програма-кодове'!$C$1:$AD$1,1,MATCH($BR$2,'Програма-кодове'!$C12:$AD12,0)),IF('Програма-кодове'!W12='Програма-кодове'!X12,"11б,в","Дублаж")))</f>
        <v>-</v>
      </c>
      <c r="BS13" s="30" t="str">
        <f>IF(COUNTIF('Програма-кодове'!$C12:$AD12,$BS$2)=0,"-",IF(COUNTIF('Програма-кодове'!$C12:$AD12,$BS$2)=1,INDEX('Програма-кодове'!$C$1:$AD$1,1,MATCH($BS$2,'Програма-кодове'!$C12:$AD12,0)),"Дублаж"))</f>
        <v>-</v>
      </c>
      <c r="BT13" s="193" t="str">
        <f t="shared" si="17"/>
        <v>-</v>
      </c>
      <c r="BU13" s="30" t="str">
        <f>IF(COUNTIF('Програма-кодове'!$C12:$AD12,$BU$2)=0,"-",IF(COUNTIF('Програма-кодове'!$C12:$AD12,$BU$2)=1,INDEX('Програма-кодове'!$C$1:$AD$1,1,MATCH($BU$2,'Програма-кодове'!$C12:$AD12,0)),"Дублаж"))</f>
        <v>10г</v>
      </c>
      <c r="BV13" s="30" t="str">
        <f>IF(COUNTIF('Програма-кодове'!$C12:$AD12,$BV$2)=0,"-",IF(COUNTIF('Програма-кодове'!$C12:$AD12,$BV$2)=1,INDEX('Програма-кодове'!$C$1:$AD$1,1,MATCH($BV$2,'Програма-кодове'!$C12:$AD12,0)),"Дублаж"))</f>
        <v>-</v>
      </c>
      <c r="BW13" s="30">
        <f>IF(COUNTIF('Програма-кодове'!$C12:$AD12,$BW$2)=0,"-",IF(COUNTIF('Програма-кодове'!$C12:$AD12,$BW$2)=1,INDEX('Програма-кодове'!$C$1:$AD$1,1,MATCH($BW$2,'Програма-кодове'!$C12:$AD12,0)),"Дублаж"))</f>
        <v>5</v>
      </c>
      <c r="BX13" s="30" t="str">
        <f>IF(COUNTIF('Програма-кодове'!$C12:$AD12,$BX$2)=0,"-",IF(COUNTIF('Програма-кодове'!$C12:$AD12,$BX$2)=1,INDEX('Програма-кодове'!$C$1:$AD$1,1,MATCH($BX$2,'Програма-кодове'!$C12:$AD12,0)),"Дублаж"))</f>
        <v>-</v>
      </c>
      <c r="BY13" s="30" t="str">
        <f>IF(COUNTIF('Програма-кодове'!$C12:$AD12,$BY$2)=0,"-",IF(COUNTIF('Програма-кодове'!$C12:$AD12,$BY$2)=1,INDEX('Програма-кодове'!$C$1:$AD$1,1,MATCH($BY$2,'Програма-кодове'!$C12:$AD12,0)),"Дублаж"))</f>
        <v>-</v>
      </c>
      <c r="BZ13" s="30" t="str">
        <f>IF(COUNTIF('Програма-кодове'!$C12:$AD12,$BZ$2)=0,"-",IF(COUNTIF('Програма-кодове'!$C12:$AD12,$BZ$2)=1,INDEX('Програма-кодове'!$C$1:$AD$1,1,MATCH($BZ$2,'Програма-кодове'!$C12:$AD12,0)),"Дублаж"))</f>
        <v>-</v>
      </c>
      <c r="CA13" s="30" t="str">
        <f>IF(COUNTIF('Програма-кодове'!$C12:$AD12,$CA$2)=0,"-",IF(COUNTIF('Програма-кодове'!$C12:$AD12,$CA$2)=1,INDEX('Програма-кодове'!$C$1:$AD$1,1,MATCH($CA$2,'Програма-кодове'!$C12:$AD12,0)),"Дублаж"))</f>
        <v>-</v>
      </c>
      <c r="CB13" s="30" t="str">
        <f>IF(COUNTIF('Програма-кодове'!$C12:$AD12,$CB$2)=0,"-",IF(COUNTIF('Програма-кодове'!$C12:$AD12,$CB$2)=1,INDEX('Програма-кодове'!$C$1:$AD$1,1,MATCH($CB$2,'Програма-кодове'!$C12:$AD12,0)),"Дублаж"))</f>
        <v>11а</v>
      </c>
      <c r="CC13" s="30" t="str">
        <f>IF(COUNTIF('Програма-кодове'!$C12:$AD12,$CC$2)=0,"-",IF(COUNTIF('Програма-кодове'!$C12:$AD12,$CC$2)=1,INDEX('Програма-кодове'!$C$1:$AD$1,1,MATCH($CC$2,'Програма-кодове'!$C12:$AD12,0)),"Дублаж"))</f>
        <v>9д</v>
      </c>
      <c r="CD13" s="30" t="str">
        <f>IF(COUNTIF('Програма-кодове'!$C12:$AD12,$CD$2)=0,"-",IF(COUNTIF('Програма-кодове'!$C12:$AD12,$CD$2)=1,INDEX('Програма-кодове'!$C$1:$AD$1,1,MATCH($CD$2,'Програма-кодове'!$C12:$AD12,0)),"Дублаж"))</f>
        <v>-</v>
      </c>
      <c r="CE13" s="30" t="str">
        <f>IF(COUNTIF('Програма-кодове'!$C12:$AD12,$CE$2)=0,"-",IF(COUNTIF('Програма-кодове'!$C12:$AD12,$CE$2)=1,INDEX('Програма-кодове'!$C$1:$AD$1,1,MATCH($CE$2,'Програма-кодове'!$C12:$AD12,0)),"Дублаж"))</f>
        <v>-</v>
      </c>
    </row>
    <row r="14" spans="1:83" ht="13.5" customHeight="1">
      <c r="A14" s="369"/>
      <c r="B14" s="351">
        <v>5</v>
      </c>
      <c r="C14" s="20" t="str">
        <f>IF(COUNTIF('Програма-кодове'!$C13:$AD13,$C$2)=0,"-",IF(COUNTIF('Програма-кодове'!$C13:$AD13,$C$2)=1,INDEX('Програма-кодове'!$C$1:$AD$1,1,MATCH($C$2,'Програма-кодове'!$C13:$AD13,0)),"Дублаж"))</f>
        <v>-</v>
      </c>
      <c r="D14" s="319" t="str">
        <f>IF(COUNTIF('Програма-кодове'!$C13:$AD13,$D$2)=0,"-",IF(COUNTIF('Програма-кодове'!$C13:$AD13,$D$2)=1,INDEX('Програма-кодове'!$C$1:$AD$1,1,MATCH($D$2,'Програма-кодове'!$C13:$AD13,0)),"Дублаж"))</f>
        <v>11а</v>
      </c>
      <c r="E14" s="20">
        <f>IF(COUNTIF('Програма-кодове'!$C13:$AD13,$E$2)=0,"-",IF(COUNTIF('Програма-кодове'!$C13:$AD13,$E$2)=1,INDEX('Програма-кодове'!$C$1:$AD$1,1,MATCH($E$2,'Програма-кодове'!$C13:$AD13,0)),"Дублаж"))</f>
        <v>7</v>
      </c>
      <c r="F14" s="20" t="str">
        <f>IF(COUNTIF('Програма-кодове'!$C13:$AD13,$F$2)=0,"-",IF(COUNTIF('Програма-кодове'!$C13:$AD13,$F$2)=1,INDEX('Програма-кодове'!$C$1:$AD$1,1,MATCH($F$2,'Програма-кодове'!$C13:$AD13,0)),"Дублаж"))</f>
        <v>10а</v>
      </c>
      <c r="G14" s="319" t="str">
        <f>IF(COUNTIF('Програма-кодове'!$C13:$AD13,$G$2)=0,"-",IF(COUNTIF('Програма-кодове'!$C13:$AD13,$G$2)=1,INDEX('Програма-кодове'!$C$1:$AD$1,1,MATCH($G$2,'Програма-кодове'!$C13:$AD13,0)),"Дублаж"))</f>
        <v>-</v>
      </c>
      <c r="H14" s="20" t="str">
        <f>IF(COUNTIF('Програма-кодове'!$C13:$AD13,$H$2)=0,"-",IF(COUNTIF('Програма-кодове'!$C13:$AD13,$H$2)=1,INDEX('Програма-кодове'!$C$1:$AD$1,1,MATCH($H$2,'Програма-кодове'!$C13:$AD13,0)),"Дублаж"))</f>
        <v>-</v>
      </c>
      <c r="I14" s="20" t="str">
        <f>IF(COUNTIF('Програма-кодове'!$C13:$AD13,$I$2)=0,"-",IF(COUNTIF('Програма-кодове'!$C13:$AD13,$I$2)=1,INDEX('Програма-кодове'!$C$1:$AD$1,1,MATCH($I$2,'Програма-кодове'!$C13:$AD13,0)),"Дублаж"))</f>
        <v>11б</v>
      </c>
      <c r="J14" s="20" t="str">
        <f>IF(COUNTIF('Програма-кодове'!$C13:$AD13,$J$2)=0,"-",IF(COUNTIF('Програма-кодове'!$C13:$AD13,$J$2)=1,INDEX('Програма-кодове'!$C$1:$AD$1,1,MATCH($J$2,'Програма-кодове'!$C13:$AD13,0)),"Дублаж"))</f>
        <v>-</v>
      </c>
      <c r="K14" s="20" t="str">
        <f>IF(COUNTIF('Програма-кодове'!$C13:$AD13,$K$2)=0,"-",IF(COUNTIF('Програма-кодове'!$C13:$AD13,$K$2)=1,INDEX('Програма-кодове'!$C$1:$AD$1,1,MATCH($K$2,'Програма-кодове'!$C13:$AD13,0)),"Дублаж"))</f>
        <v>12в</v>
      </c>
      <c r="L14" s="346" t="str">
        <f>IF(COUNTIF('Програма-кодове'!$C13:$AD13,$L$2)=0,"-",IF(COUNTIF('Програма-кодове'!$C13:$AD13,$L$2)=1,INDEX('Програма-кодове'!$C$1:$AD$1,1,MATCH($L$2,'Програма-кодове'!$C13:$AD13,0)),"Дублаж"))</f>
        <v>-</v>
      </c>
      <c r="M14" s="20" t="str">
        <f>IF(COUNTIF('Програма-кодове'!$C13:$AD13,$M$2)=0,"-",IF(COUNTIF('Програма-кодове'!$C13:$AD13,$M$2)=1,INDEX('Програма-кодове'!$C$1:$AD$1,1,MATCH($M$2,'Програма-кодове'!$C13:$AD13,0)),"Дублаж"))</f>
        <v>8б</v>
      </c>
      <c r="N14" s="20" t="str">
        <f>IF(COUNTIF('Програма-кодове'!$C13:$AD13,$N$2)=0,"-",IF(COUNTIF('Програма-кодове'!$C13:$AD13,$N$2)=1,INDEX('Програма-кодове'!$C$1:$AD$1,1,MATCH($N$2,'Програма-кодове'!$C13:$AD13,0)),"Дублаж"))</f>
        <v>8в</v>
      </c>
      <c r="O14" s="316" t="str">
        <f>IF(COUNTIF('Програма-кодове'!$C13:$AD13,$O$2)=0,"-",IF(COUNTIF('Програма-кодове'!$C13:$AD13,$O$2)=1,INDEX('Програма-кодове'!$C$1:$AD$1,1,MATCH($O$2,'Програма-кодове'!$C13:$AD13,0)),"Дублаж"))</f>
        <v>-</v>
      </c>
      <c r="P14" s="20" t="str">
        <f>IF(COUNTIF('Програма-кодове'!$C13:$AD13,$P$2)=0,"-",IF(COUNTIF('Програма-кодове'!$C13:$AD13,$P$2)=1,INDEX('Програма-кодове'!$C$1:$AD$1,1,MATCH($P$2,'Програма-кодове'!$C13:$AD13,0)),"Дублаж"))</f>
        <v>8a</v>
      </c>
      <c r="Q14" s="316" t="str">
        <f>IF(COUNTIF('Програма-кодове'!$C13:$AD13,$Q$2)=0,"-",IF(COUNTIF('Програма-кодове'!$C13:$AD13,$Q$2)=1,INDEX('Програма-кодове'!$C$1:$AD$1,1,MATCH($Q$2,'Програма-кодове'!$C13:$AD13,0)),"Дублаж"))</f>
        <v>9б</v>
      </c>
      <c r="R14" s="193" t="str">
        <f t="shared" si="0"/>
        <v>10г</v>
      </c>
      <c r="S14" s="193" t="str">
        <f t="shared" si="3"/>
        <v>-</v>
      </c>
      <c r="T14" s="193" t="str">
        <f t="shared" si="4"/>
        <v>-</v>
      </c>
      <c r="U14" s="20" t="str">
        <f>IF(COUNTIF('Програма-кодове'!$C13:$AD13,$U$2)=0,"-",IF(COUNTIF('Програма-кодове'!$C13:$AD13,$U$2)=1,INDEX('Програма-кодове'!$C$1:$AD$1,1,MATCH($U$2,'Програма-кодове'!$C13:$AD13,0)),"Дублаж"))</f>
        <v>12а</v>
      </c>
      <c r="V14" s="20" t="str">
        <f>IF(COUNTIF('Програма-кодове'!$C13:$AD13,$V$2)=0,"-",IF(COUNTIF('Програма-кодове'!$C13:$AD13,$V$2)=1,INDEX('Програма-кодове'!$C$1:$AD$1,1,MATCH($V$2,'Програма-кодове'!$C13:$AD13,0)),"Дублаж"))</f>
        <v>-</v>
      </c>
      <c r="W14" s="317" t="str">
        <f>IF(COUNTIF('Програма-кодове'!$C13:$AD13,$W$2)=0,"-",IF(COUNTIF('Програма-кодове'!$C13:$AD13,$W$2)=1,INDEX('Програма-кодове'!$C$1:$AD$1,1,MATCH($W$2,'Програма-кодове'!$C13:$AD13,0)),"Дублаж"))</f>
        <v>-</v>
      </c>
      <c r="X14" s="20" t="str">
        <f>IF(COUNTIF('Програма-кодове'!$C13:$AD13,$X$2)=0,"-",IF(COUNTIF('Програма-кодове'!$C13:$AD13,$X$2)=1,INDEX('Програма-кодове'!$C$1:$AD$1,1,MATCH($X$2,'Програма-кодове'!$C13:$AD13,0)),"Дублаж"))</f>
        <v>-</v>
      </c>
      <c r="Y14" s="20" t="str">
        <f>IF(COUNTIF('Програма-кодове'!$C13:$AD13,$Y$2)=0,"-",IF(COUNTIF('Програма-кодове'!$C13:$AD13,$Y$2)=1,INDEX('Програма-кодове'!$C$1:$AD$1,1,MATCH($Y$2,'Програма-кодове'!$C13:$AD13,0)),"Дублаж"))</f>
        <v>11д</v>
      </c>
      <c r="Z14" s="20" t="str">
        <f>IF(COUNTIF('Програма-кодове'!$C13:$AD13,$Z$2)=0,"-",IF(COUNTIF('Програма-кодове'!$C13:$AD13,$Z$2)=1,INDEX('Програма-кодове'!$C$1:$AD$1,1,MATCH($Z$2,'Програма-кодове'!$C13:$AD13,0)),"Дублаж"))</f>
        <v>10б</v>
      </c>
      <c r="AA14" s="193" t="str">
        <f>IF(BH14&lt;&gt;"-",IF(AND(BL14="-",BI14="-"),BH14,"Дублаж"),IF(BL14&lt;&gt;"-",IF(BI14="-",BL14,"Дублаж"),BI14))</f>
        <v>-</v>
      </c>
      <c r="AB14" s="193" t="str">
        <f t="shared" si="6"/>
        <v>-</v>
      </c>
      <c r="AC14" s="193" t="str">
        <f t="shared" si="7"/>
        <v>-</v>
      </c>
      <c r="AD14" s="193" t="str">
        <f t="shared" si="8"/>
        <v>9в</v>
      </c>
      <c r="AE14" s="193" t="str">
        <f t="shared" si="9"/>
        <v>9в</v>
      </c>
      <c r="AF14" s="193" t="str">
        <f t="shared" si="10"/>
        <v>8д</v>
      </c>
      <c r="AG14" s="193" t="str">
        <f t="shared" ref="AG14:AG15" si="20">IF(BA14&lt;&gt;"-",IF(AND(BC14="-",BG14="-",BF14="-",BM14="-",BI14="-"),BA14,"Дублаж"),IF(BC14&lt;&gt;"-",IF(AND(BG14="-",BF14="-",BM14="-",BI14="-"),BC14,"Дублаж"),IF(BG14&lt;&gt;"-",IF(AND(BF14="-",BM14="-",BI14="-"),BG14,"Дублаж"),IF(BF14&lt;&gt;"-",IF(AND(BM14="-",BI14="-"),BF14,"Дублаж"),IF(BM14&lt;&gt;"-",IF(BI14="-",BM14,BI14),BI14)))))</f>
        <v>8д</v>
      </c>
      <c r="AH14" s="193" t="str">
        <f t="shared" si="12"/>
        <v>-</v>
      </c>
      <c r="AI14" s="20">
        <f t="shared" si="13"/>
        <v>5</v>
      </c>
      <c r="AJ14" s="193" t="str">
        <f t="shared" si="14"/>
        <v>9д</v>
      </c>
      <c r="AK14" s="20" t="str">
        <f>IF(COUNTIF('Програма-кодове'!$C13:$AD13,$AK$2)=0,"-",IF(COUNTIF('Програма-кодове'!$C13:$AD13,$AK$2)=1,INDEX('Програма-кодове'!$C$1:$AD$1,1,MATCH($AK$2,'Програма-кодове'!$C13:$AD13,0)),"Дублаж"))</f>
        <v>12г</v>
      </c>
      <c r="AL14" s="20" t="str">
        <f>IF(COUNTIF('Програма-кодове'!$C13:$AD13,$AL$2)=0,"-",IF(COUNTIF('Програма-кодове'!$C13:$AD13,$AL$2)=1,INDEX('Програма-кодове'!$C$1:$AD$1,1,MATCH($AL$2,'Програма-кодове'!$C13:$AD13,0)),"Дублаж"))</f>
        <v>-</v>
      </c>
      <c r="AM14" s="20" t="str">
        <f>IF(COUNTIF('Програма-кодове'!$C13:$AD13,$AM$2)=0,"-",IF(COUNTIF('Програма-кодове'!$C13:$AD13,$AM$2)=1,INDEX('Програма-кодове'!$C$1:$AD$1,1,MATCH($AM$2,'Програма-кодове'!$C13:$AD13,0)),"Дублаж"))</f>
        <v>10в</v>
      </c>
      <c r="AN14" s="346" t="str">
        <f>IF(COUNTIF('Програма-кодове'!$C13:$AD13,$AN$2)=0,"-",IF(COUNTIF('Програма-кодове'!$C13:$AD13,$AN$2)=1,INDEX('Програма-кодове'!$C$1:$AD$1,1,MATCH($AN$2,'Програма-кодове'!$C13:$AD13,0)),"Дублаж"))</f>
        <v>11г</v>
      </c>
      <c r="AO14" s="346" t="str">
        <f>IF(COUNTIF('Програма-кодове'!$C13:$AD13,$AO$2)=0,"-",IF(COUNTIF('Програма-кодове'!$C13:$AD13,$AO$2)=1,INDEX('Програма-кодове'!$C$1:$AD$1,1,MATCH($AO$2,'Програма-кодове'!$C13:$AD13,0)),"Дублаж"))</f>
        <v>9г</v>
      </c>
      <c r="AP14" s="346" t="str">
        <f>IF(COUNTIF('Програма-кодове'!$C13:$AD13,$AP$2)=0,"-",IF(COUNTIF('Програма-кодове'!$C13:$AD13,$AP$2)=1,INDEX('Програма-кодове'!$C$1:$AD$1,1,MATCH($AP$2,'Програма-кодове'!$C13:$AD13,0)),"Дублаж"))</f>
        <v>-</v>
      </c>
      <c r="AQ14" s="346" t="str">
        <f t="shared" si="15"/>
        <v>-</v>
      </c>
      <c r="AR14" s="346" t="str">
        <f>IF(COUNTIF('Програма-кодове'!$C13:$AD13,$AR$2)=0,"-",IF(COUNTIF('Програма-кодове'!$C13:$AD13,$AR$2)=1,INDEX('Програма-кодове'!$C$1:$AD$1,1,MATCH($AR$2,'Програма-кодове'!$C13:$AD13,0)),"Дублаж"))</f>
        <v>10д</v>
      </c>
      <c r="AS14" s="346" t="str">
        <f>IF(COUNTIF('Програма-кодове'!$C13:$AD13,$AS$2)=0,"-",IF(COUNTIF('Програма-кодове'!$C13:$AD13,$AS$2)=1,INDEX('Програма-кодове'!$C$1:$AD$1,1,MATCH($AS$2,'Програма-кодове'!$C13:$AD13,0)),"Дублаж"))</f>
        <v>11в</v>
      </c>
      <c r="AT14" s="346" t="str">
        <f>IF(COUNTIF('Програма-кодове'!$C13:$AD13,$AT$2)=0,"-",IF(COUNTIF('Програма-кодове'!$C13:$AD13,$AT$2)=1,INDEX('Програма-кодове'!$C$1:$AD$1,1,MATCH($AT$2,'Програма-кодове'!$C13:$AD13,0)),"Дублаж"))</f>
        <v>9а</v>
      </c>
      <c r="AU14" s="196">
        <f t="shared" si="1"/>
        <v>6</v>
      </c>
      <c r="AV14" s="194" t="str">
        <f t="shared" si="2"/>
        <v>-</v>
      </c>
      <c r="AW14" s="196" t="str">
        <f>IF(COUNTIF('Програма-кодове'!$C13:$AD13,$AW$2)=0,"-",IF(COUNTIF('Програма-кодове'!$C13:$AD13,$AW$2)=1,INDEX('Програма-кодове'!$C$1:$AD$1,1,MATCH($AW$2,'Програма-кодове'!$C13:$AD13,0)),"Дублаж"))</f>
        <v>-</v>
      </c>
      <c r="AX14" s="196" t="str">
        <f>IF(COUNTIF('Програма-кодове'!$C13:$AD13,$AX$2)=0,"-",IF(COUNTIF('Програма-кодове'!$C13:$AD13,$AX$2)=1,INDEX('Програма-кодове'!$C$1:$AD$1,1,MATCH($AX$2,'Програма-кодове'!$C13:$AD13,0)),"Дублаж"))</f>
        <v>8г</v>
      </c>
      <c r="AY14" s="196" t="str">
        <f>IF(COUNTIF('Програма-кодове'!$C13:$AD13,$AY$2)=0,"-",IF(COUNTIF('Програма-кодове'!$C13:$AD13,$AY$2)=1,INDEX('Програма-кодове'!$C$1:$AD$1,1,MATCH($AY$2,'Програма-кодове'!$C13:$AD13,0)),"Дублаж"))</f>
        <v>12д</v>
      </c>
      <c r="AZ14" s="317" t="str">
        <f t="shared" si="16"/>
        <v>12б</v>
      </c>
      <c r="BA14" s="30" t="str">
        <f>IF(COUNTIF('Програма-кодове'!$C13:$AD13,$BA$2)=0,"-",IF(COUNTIF('Програма-кодове'!$C13:$AD13,$BA$2)=1,INDEX('Програма-кодове'!$C$1:$AD$1,1,MATCH($BA$2,'Програма-кодове'!$C13:$AD13,0)),"Дублаж"))</f>
        <v>-</v>
      </c>
      <c r="BB14" s="30" t="str">
        <f>IF(COUNTIF('Програма-кодове'!$C13:$AD13,$BB$2)=0,"-",IF(COUNTIF('Програма-кодове'!$C13:$AD13,$BB$2)=1,INDEX('Програма-кодове'!$C$1:$AD$1,1,MATCH($BB$2,'Програма-кодове'!$C13:$AD13,0)),"Дублаж"))</f>
        <v>9в</v>
      </c>
      <c r="BC14" s="30" t="str">
        <f>IF(COUNTIF('Програма-кодове'!$C13:$AD13,$BC$2)=0,"-",IF(COUNTIF('Програма-кодове'!$C13:$AD13,$BC$2)=1,INDEX('Програма-кодове'!$C$1:$AD$1,1,MATCH($BC$2,'Програма-кодове'!$C13:$AD13,0)),"Дублаж"))</f>
        <v>-</v>
      </c>
      <c r="BD14" s="30" t="str">
        <f>IF(COUNTIF('Програма-кодове'!$C13:$AD13,$BD$2)=0,"-",IF(COUNTIF('Програма-кодове'!$C13:$AD13,$BD$2)=1,INDEX('Програма-кодове'!$C$1:$AD$1,1,MATCH($BD$2,'Програма-кодове'!$C13:$AD13,0)),"Дублаж"))</f>
        <v>-</v>
      </c>
      <c r="BE14" s="30" t="str">
        <f>IF(COUNTIF('Програма-кодове'!$C13:$AD13,$BE$2)=0,"-",IF(COUNTIF('Програма-кодове'!$C13:$AD13,$BE$2)=1,INDEX('Програма-кодове'!$C$1:$AD$1,1,MATCH($BE$2,'Програма-кодове'!$C13:$AD13,0)),"Дублаж"))</f>
        <v>-</v>
      </c>
      <c r="BF14" s="30" t="str">
        <f>IF(COUNTIF('Програма-кодове'!$C13:$AD13,$BF$2)=0,"-",IF(COUNTIF('Програма-кодове'!$C13:$AD13,$BF$2)=1,INDEX('Програма-кодове'!$C$1:$AD$1,1,MATCH($BF$2,'Програма-кодове'!$C13:$AD13,0)),"Дублаж"))</f>
        <v>8д</v>
      </c>
      <c r="BG14" s="30" t="str">
        <f>IF(COUNTIF('Програма-кодове'!$C13:$AD13,$BG$2)=0,"-",IF(COUNTIF('Програма-кодове'!$C13:$AD13,$BG$2)=1,INDEX('Програма-кодове'!$C$1:$AD$1,1,MATCH($BG$2,'Програма-кодове'!$C13:$AD13,0)),"Дублаж"))</f>
        <v>-</v>
      </c>
      <c r="BH14" s="30" t="str">
        <f>IF(COUNTIF('Програма-кодове'!$C13:$AD13,$BH$2)=0,"-",IF(COUNTIF('Програма-кодове'!$C13:$AD13,$BH$2)=1,INDEX('Програма-кодове'!$C$1:$AD$1,1,MATCH($BH$2,'Програма-кодове'!$C13:$AD13,0)),"Дублаж"))</f>
        <v>-</v>
      </c>
      <c r="BI14" s="94" t="str">
        <f>IF(COUNTIF('Програма-кодове'!$C13:$AD13,$BI$2)=0,"-",IF(COUNTIF('Програма-кодове'!$C13:$AD13,$BI$2)=1,INDEX('Програма-кодове'!$C$1:$AD$1,1,MATCH($BI$2,'Програма-кодове'!$C13:$AD13,0)),IF('Програма-кодове'!Z13='Програма-кодове'!AA13,"12а,б","Дублаж")))</f>
        <v>-</v>
      </c>
      <c r="BJ14" s="94" t="str">
        <f>IF(COUNTIF('Програма-кодове'!$C13:$AD13,$BJ$2)=0,"-",IF(COUNTIF('Програма-кодове'!$C13:$AD13,$BJ$2)=1,INDEX('Програма-кодове'!$C$1:$AD$1,1,MATCH($BJ$2,'Програма-кодове'!$C13:$AD13,0)),"Дублаж"))</f>
        <v>-</v>
      </c>
      <c r="BK14" s="94" t="str">
        <f>IF(COUNTIF('Програма-кодове'!$C13:$AD13,$BK$2)=0,"-",IF(COUNTIF('Програма-кодове'!$C13:$AD13,$BK$2)=1,INDEX('Програма-кодове'!$C$1:$AD$1,1,MATCH($BK$2,'Програма-кодове'!$C13:$AD13,0)),IF('Програма-кодове'!K13='Програма-кодове'!O13,"9а,д",IF('Програма-кодове'!L13='Програма-кодове'!M13,"9б,в","Дублаж"))))</f>
        <v>-</v>
      </c>
      <c r="BL14" s="30" t="str">
        <f>IF(COUNTIF('Програма-кодове'!$C13:$AD13,$BL$2)=0,"-",IF(COUNTIF('Програма-кодове'!$C13:$AD13,$BL$2)=1,INDEX('Програма-кодове'!$C$1:$AD$1,1,MATCH($BL$2,'Програма-кодове'!$C13:$AD13,0)),"Дублаж"))</f>
        <v>-</v>
      </c>
      <c r="BM14" s="30" t="str">
        <f>IF(COUNTIF('Програма-кодове'!$C13:$AD13,$BM$2)=0,"-",IF(COUNTIF('Програма-кодове'!$C13:$AD13,$BM$2)=1,INDEX('Програма-кодове'!$C$1:$AD$1,1,MATCH($BM$2,'Програма-кодове'!$C13:$AD13,0)),"Дублаж"))</f>
        <v>-</v>
      </c>
      <c r="BN14" s="77" t="str">
        <f>IF(COUNTIF('Програма-кодове'!$C13:$AD13,$BN$2)=0,"-",IF(COUNTIF('Програма-кодове'!$C13:$AD13,$BN$2)=1,INDEX('Програма-кодове'!$C$1:$AD$1,1,MATCH($BN$2,'Програма-кодове'!$C13:$AD13,0)),IF(AND('Програма-кодове'!K13='Програма-кодове'!O13,'Програма-кодове'!K13&lt;&gt;""),"9а, д", IF(AND('Програма-кодове'!U13='Програма-кодове'!W13,'Програма-кодове'!U13&lt;&gt;""),"11а,в", "Дублаж"))))</f>
        <v>-</v>
      </c>
      <c r="BO14" s="77" t="str">
        <f>IF(COUNTIF('Програма-кодове'!$C13:$AD13,$BO$2)=0,"-",IF(COUNTIF('Програма-кодове'!$C13:$AD13,$BO$2)=1,INDEX('Програма-кодове'!$C$1:$AD$1,1,MATCH($BO$2,'Програма-кодове'!$C13:$AD13,0)),IF(AND('Програма-кодове'!U13='Програма-кодове'!W13,'Програма-кодове'!U13&lt;&gt;"" ),"11a,в","Дублаж")))</f>
        <v>-</v>
      </c>
      <c r="BP14" s="30" t="str">
        <f>IF(COUNTIF('Програма-кодове'!$C13:$AD13,$BP$2)=0,"-",IF(COUNTIF('Програма-кодове'!$C13:$AD13,$BP$2)=1,"9б,в,г","Дублаж"))</f>
        <v>-</v>
      </c>
      <c r="BQ14" s="30" t="str">
        <f>IF(COUNTIF('Програма-кодове'!$C13:$AD13,$BQ$2)=0,"-",IF(COUNTIF('Програма-кодове'!$C13:$AD13,$BQ$2)=1,INDEX('Програма-кодове'!$C$1:$AD$1,1,MATCH($BQ$2,'Програма-кодове'!$C13:$AD13,0)),"Дублаж"))</f>
        <v>-</v>
      </c>
      <c r="BR14" s="30" t="str">
        <f>IF(COUNTIF('Програма-кодове'!$C13:$AD13,$BR$2)=0,"-",IF(COUNTIF('Програма-кодове'!$C13:$AD13,$BR$2)=1,INDEX('Програма-кодове'!$C$1:$AD$1,1,MATCH($BR$2,'Програма-кодове'!$C13:$AD13,0)),IF('Програма-кодове'!W13='Програма-кодове'!X13,"11б,в","Дублаж")))</f>
        <v>-</v>
      </c>
      <c r="BS14" s="30" t="str">
        <f>IF(COUNTIF('Програма-кодове'!$C13:$AD13,$BS$2)=0,"-",IF(COUNTIF('Програма-кодове'!$C13:$AD13,$BS$2)=1,INDEX('Програма-кодове'!$C$1:$AD$1,1,MATCH($BS$2,'Програма-кодове'!$C13:$AD13,0)),"Дублаж"))</f>
        <v>12б</v>
      </c>
      <c r="BT14" s="193" t="str">
        <f t="shared" si="17"/>
        <v>-</v>
      </c>
      <c r="BU14" s="30" t="str">
        <f>IF(COUNTIF('Програма-кодове'!$C13:$AD13,$BU$2)=0,"-",IF(COUNTIF('Програма-кодове'!$C13:$AD13,$BU$2)=1,INDEX('Програма-кодове'!$C$1:$AD$1,1,MATCH($BU$2,'Програма-кодове'!$C13:$AD13,0)),"Дублаж"))</f>
        <v>10г</v>
      </c>
      <c r="BV14" s="30" t="str">
        <f>IF(COUNTIF('Програма-кодове'!$C13:$AD13,$BV$2)=0,"-",IF(COUNTIF('Програма-кодове'!$C13:$AD13,$BV$2)=1,INDEX('Програма-кодове'!$C$1:$AD$1,1,MATCH($BV$2,'Програма-кодове'!$C13:$AD13,0)),"Дублаж"))</f>
        <v>-</v>
      </c>
      <c r="BW14" s="30">
        <f>IF(COUNTIF('Програма-кодове'!$C13:$AD13,$BW$2)=0,"-",IF(COUNTIF('Програма-кодове'!$C13:$AD13,$BW$2)=1,INDEX('Програма-кодове'!$C$1:$AD$1,1,MATCH($BW$2,'Програма-кодове'!$C13:$AD13,0)),"Дублаж"))</f>
        <v>6</v>
      </c>
      <c r="BX14" s="30" t="str">
        <f>IF(COUNTIF('Програма-кодове'!$C13:$AD13,$BX$2)=0,"-",IF(COUNTIF('Програма-кодове'!$C13:$AD13,$BX$2)=1,INDEX('Програма-кодове'!$C$1:$AD$1,1,MATCH($BX$2,'Програма-кодове'!$C13:$AD13,0)),"Дублаж"))</f>
        <v>-</v>
      </c>
      <c r="BY14" s="30">
        <f>IF(COUNTIF('Програма-кодове'!$C13:$AD13,$BY$2)=0,"-",IF(COUNTIF('Програма-кодове'!$C13:$AD13,$BY$2)=1,INDEX('Програма-кодове'!$C$1:$AD$1,1,MATCH($BY$2,'Програма-кодове'!$C13:$AD13,0)),"Дублаж"))</f>
        <v>5</v>
      </c>
      <c r="BZ14" s="30" t="str">
        <f>IF(COUNTIF('Програма-кодове'!$C13:$AD13,$BZ$2)=0,"-",IF(COUNTIF('Програма-кодове'!$C13:$AD13,$BZ$2)=1,INDEX('Програма-кодове'!$C$1:$AD$1,1,MATCH($BZ$2,'Програма-кодове'!$C13:$AD13,0)),"Дублаж"))</f>
        <v>-</v>
      </c>
      <c r="CA14" s="30" t="str">
        <f>IF(COUNTIF('Програма-кодове'!$C13:$AD13,$CA$2)=0,"-",IF(COUNTIF('Програма-кодове'!$C13:$AD13,$CA$2)=1,INDEX('Програма-кодове'!$C$1:$AD$1,1,MATCH($CA$2,'Програма-кодове'!$C13:$AD13,0)),"Дублаж"))</f>
        <v>-</v>
      </c>
      <c r="CB14" s="30" t="str">
        <f>IF(COUNTIF('Програма-кодове'!$C13:$AD13,$CB$2)=0,"-",IF(COUNTIF('Програма-кодове'!$C13:$AD13,$CB$2)=1,INDEX('Програма-кодове'!$C$1:$AD$1,1,MATCH($CB$2,'Програма-кодове'!$C13:$AD13,0)),"Дублаж"))</f>
        <v>-</v>
      </c>
      <c r="CC14" s="30" t="str">
        <f>IF(COUNTIF('Програма-кодове'!$C13:$AD13,$CC$2)=0,"-",IF(COUNTIF('Програма-кодове'!$C13:$AD13,$CC$2)=1,INDEX('Програма-кодове'!$C$1:$AD$1,1,MATCH($CC$2,'Програма-кодове'!$C13:$AD13,0)),"Дублаж"))</f>
        <v>-</v>
      </c>
      <c r="CD14" s="30" t="str">
        <f>IF(COUNTIF('Програма-кодове'!$C13:$AD13,$CD$2)=0,"-",IF(COUNTIF('Програма-кодове'!$C13:$AD13,$CD$2)=1,INDEX('Програма-кодове'!$C$1:$AD$1,1,MATCH($CD$2,'Програма-кодове'!$C13:$AD13,0)),"Дублаж"))</f>
        <v>9д</v>
      </c>
      <c r="CE14" s="30" t="str">
        <f>IF(COUNTIF('Програма-кодове'!$C13:$AD13,$CE$2)=0,"-",IF(COUNTIF('Програма-кодове'!$C13:$AD13,$CE$2)=1,INDEX('Програма-кодове'!$C$1:$AD$1,1,MATCH($CE$2,'Програма-кодове'!$C13:$AD13,0)),"Дублаж"))</f>
        <v>-</v>
      </c>
    </row>
    <row r="15" spans="1:83" ht="12" customHeight="1">
      <c r="A15" s="369"/>
      <c r="B15" s="351">
        <v>6</v>
      </c>
      <c r="C15" s="20" t="str">
        <f>IF(COUNTIF('Програма-кодове'!$C14:$AD14,$C$2)=0,"-",IF(COUNTIF('Програма-кодове'!$C14:$AD14,$C$2)=1,INDEX('Програма-кодове'!$C$1:$AD$1,1,MATCH($C$2,'Програма-кодове'!$C14:$AD14,0)),"Дублаж"))</f>
        <v>-</v>
      </c>
      <c r="D15" s="319" t="str">
        <f>IF(COUNTIF('Програма-кодове'!$C14:$AD14,$D$2)=0,"-",IF(COUNTIF('Програма-кодове'!$C14:$AD14,$D$2)=1,INDEX('Програма-кодове'!$C$1:$AD$1,1,MATCH($D$2,'Програма-кодове'!$C14:$AD14,0)),"Дублаж"))</f>
        <v>11б</v>
      </c>
      <c r="E15" s="20">
        <f>IF(COUNTIF('Програма-кодове'!$C14:$AD14,$E$2)=0,"-",IF(COUNTIF('Програма-кодове'!$C14:$AD14,$E$2)=1,INDEX('Програма-кодове'!$C$1:$AD$1,1,MATCH($E$2,'Програма-кодове'!$C14:$AD14,0)),"Дублаж"))</f>
        <v>6</v>
      </c>
      <c r="F15" s="319" t="str">
        <f>IF(COUNTIF('Програма-кодове'!$C14:$AD14,$F$2)=0,"-",IF(COUNTIF('Програма-кодове'!$C14:$AD14,$F$2)=1,INDEX('Програма-кодове'!$C$1:$AD$1,1,MATCH($F$2,'Програма-кодове'!$C14:$AD14,0)),"Дублаж"))</f>
        <v>-</v>
      </c>
      <c r="G15" s="20" t="str">
        <f>IF(COUNTIF('Програма-кодове'!$C14:$AD14,$G$2)=0,"-",IF(COUNTIF('Програма-кодове'!$C14:$AD14,$G$2)=1,INDEX('Програма-кодове'!$C$1:$AD$1,1,MATCH($G$2,'Програма-кодове'!$C14:$AD14,0)),"Дублаж"))</f>
        <v>8д</v>
      </c>
      <c r="H15" s="20" t="str">
        <f>IF(COUNTIF('Програма-кодове'!$C14:$AD14,$H$2)=0,"-",IF(COUNTIF('Програма-кодове'!$C14:$AD14,$H$2)=1,INDEX('Програма-кодове'!$C$1:$AD$1,1,MATCH($H$2,'Програма-кодове'!$C14:$AD14,0)),"Дублаж"))</f>
        <v>9в</v>
      </c>
      <c r="I15" s="20" t="str">
        <f>IF(COUNTIF('Програма-кодове'!$C14:$AD14,$I$2)=0,"-",IF(COUNTIF('Програма-кодове'!$C14:$AD14,$I$2)=1,INDEX('Програма-кодове'!$C$1:$AD$1,1,MATCH($I$2,'Програма-кодове'!$C14:$AD14,0)),"Дублаж"))</f>
        <v>11г</v>
      </c>
      <c r="J15" s="20" t="str">
        <f>IF(COUNTIF('Програма-кодове'!$C14:$AD14,$J$2)=0,"-",IF(COUNTIF('Програма-кодове'!$C14:$AD14,$J$2)=1,INDEX('Програма-кодове'!$C$1:$AD$1,1,MATCH($J$2,'Програма-кодове'!$C14:$AD14,0)),"Дублаж"))</f>
        <v>-</v>
      </c>
      <c r="K15" s="20" t="str">
        <f>IF(COUNTIF('Програма-кодове'!$C14:$AD14,$K$2)=0,"-",IF(COUNTIF('Програма-кодове'!$C14:$AD14,$K$2)=1,INDEX('Програма-кодове'!$C$1:$AD$1,1,MATCH($K$2,'Програма-кодове'!$C14:$AD14,0)),"Дублаж"))</f>
        <v>12г</v>
      </c>
      <c r="L15" s="20" t="str">
        <f>IF(COUNTIF('Програма-кодове'!$C14:$AD14,$L$2)=0,"-",IF(COUNTIF('Програма-кодове'!$C14:$AD14,$L$2)=1,INDEX('Програма-кодове'!$C$1:$AD$1,1,MATCH($L$2,'Програма-кодове'!$C14:$AD14,0)),"Дублаж"))</f>
        <v>10в</v>
      </c>
      <c r="M15" s="20" t="str">
        <f>IF(COUNTIF('Програма-кодове'!$C14:$AD14,$M$2)=0,"-",IF(COUNTIF('Програма-кодове'!$C14:$AD14,$M$2)=1,INDEX('Програма-кодове'!$C$1:$AD$1,1,MATCH($M$2,'Програма-кодове'!$C14:$AD14,0)),"Дублаж"))</f>
        <v>8б</v>
      </c>
      <c r="N15" s="20" t="str">
        <f>IF(COUNTIF('Програма-кодове'!$C14:$AD14,$N$2)=0,"-",IF(COUNTIF('Програма-кодове'!$C14:$AD14,$N$2)=1,INDEX('Програма-кодове'!$C$1:$AD$1,1,MATCH($N$2,'Програма-кодове'!$C14:$AD14,0)),"Дублаж"))</f>
        <v>8в</v>
      </c>
      <c r="O15" s="316" t="str">
        <f>IF(COUNTIF('Програма-кодове'!$C14:$AD14,$O$2)=0,"-",IF(COUNTIF('Програма-кодове'!$C14:$AD14,$O$2)=1,INDEX('Програма-кодове'!$C$1:$AD$1,1,MATCH($O$2,'Програма-кодове'!$C14:$AD14,0)),"Дублаж"))</f>
        <v>-</v>
      </c>
      <c r="P15" s="20" t="str">
        <f>IF(COUNTIF('Програма-кодове'!$C14:$AD14,$P$2)=0,"-",IF(COUNTIF('Програма-кодове'!$C14:$AD14,$P$2)=1,INDEX('Програма-кодове'!$C$1:$AD$1,1,MATCH($P$2,'Програма-кодове'!$C14:$AD14,0)),"Дублаж"))</f>
        <v>-</v>
      </c>
      <c r="Q15" s="316" t="str">
        <f>IF(COUNTIF('Програма-кодове'!$C14:$AD14,$Q$2)=0,"-",IF(COUNTIF('Програма-кодове'!$C14:$AD14,$Q$2)=1,INDEX('Програма-кодове'!$C$1:$AD$1,1,MATCH($Q$2,'Програма-кодове'!$C14:$AD14,0)),"Дублаж"))</f>
        <v>9д</v>
      </c>
      <c r="R15" s="193" t="str">
        <f t="shared" si="0"/>
        <v>10д</v>
      </c>
      <c r="S15" s="193" t="str">
        <f t="shared" si="3"/>
        <v>-</v>
      </c>
      <c r="T15" s="193" t="str">
        <f t="shared" si="4"/>
        <v>10д</v>
      </c>
      <c r="U15" s="20" t="str">
        <f>IF(COUNTIF('Програма-кодове'!$C14:$AD14,$U$2)=0,"-",IF(COUNTIF('Програма-кодове'!$C14:$AD14,$U$2)=1,INDEX('Програма-кодове'!$C$1:$AD$1,1,MATCH($U$2,'Програма-кодове'!$C14:$AD14,0)),"Дублаж"))</f>
        <v>11а</v>
      </c>
      <c r="V15" s="20" t="str">
        <f>IF(COUNTIF('Програма-кодове'!$C14:$AD14,$V$2)=0,"-",IF(COUNTIF('Програма-кодове'!$C14:$AD14,$V$2)=1,INDEX('Програма-кодове'!$C$1:$AD$1,1,MATCH($V$2,'Програма-кодове'!$C14:$AD14,0)),"Дублаж"))</f>
        <v>-</v>
      </c>
      <c r="W15" s="317" t="str">
        <f>IF(COUNTIF('Програма-кодове'!$C14:$AD14,$W$2)=0,"-",IF(COUNTIF('Програма-кодове'!$C14:$AD14,$W$2)=1,INDEX('Програма-кодове'!$C$1:$AD$1,1,MATCH($W$2,'Програма-кодове'!$C14:$AD14,0)),"Дублаж"))</f>
        <v>-</v>
      </c>
      <c r="X15" s="20" t="str">
        <f>IF(COUNTIF('Програма-кодове'!$C14:$AD14,$X$2)=0,"-",IF(COUNTIF('Програма-кодове'!$C14:$AD14,$X$2)=1,INDEX('Програма-кодове'!$C$1:$AD$1,1,MATCH($X$2,'Програма-кодове'!$C14:$AD14,0)),"Дублаж"))</f>
        <v>12б</v>
      </c>
      <c r="Y15" s="20" t="str">
        <f>IF(COUNTIF('Програма-кодове'!$C14:$AD14,$Y$2)=0,"-",IF(COUNTIF('Програма-кодове'!$C14:$AD14,$Y$2)=1,INDEX('Програма-кодове'!$C$1:$AD$1,1,MATCH($Y$2,'Програма-кодове'!$C14:$AD14,0)),"Дублаж"))</f>
        <v>11в</v>
      </c>
      <c r="Z15" s="20" t="str">
        <f>IF(COUNTIF('Програма-кодове'!$C14:$AD14,$Z$2)=0,"-",IF(COUNTIF('Програма-кодове'!$C14:$AD14,$Z$2)=1,INDEX('Програма-кодове'!$C$1:$AD$1,1,MATCH($Z$2,'Програма-кодове'!$C14:$AD14,0)),"Дублаж"))</f>
        <v>10г</v>
      </c>
      <c r="AA15" s="193" t="str">
        <f t="shared" si="5"/>
        <v>-</v>
      </c>
      <c r="AB15" s="193" t="str">
        <f t="shared" si="6"/>
        <v>-</v>
      </c>
      <c r="AC15" s="193" t="str">
        <f t="shared" si="7"/>
        <v>-</v>
      </c>
      <c r="AD15" s="193" t="str">
        <f t="shared" si="8"/>
        <v>9г</v>
      </c>
      <c r="AE15" s="193" t="str">
        <f t="shared" si="9"/>
        <v>9г</v>
      </c>
      <c r="AF15" s="193" t="str">
        <f t="shared" si="10"/>
        <v>8г</v>
      </c>
      <c r="AG15" s="193" t="str">
        <f t="shared" si="20"/>
        <v>8г</v>
      </c>
      <c r="AH15" s="193" t="str">
        <f t="shared" si="12"/>
        <v>-</v>
      </c>
      <c r="AI15" s="20" t="str">
        <f t="shared" si="13"/>
        <v>-</v>
      </c>
      <c r="AJ15" s="193" t="str">
        <f t="shared" si="14"/>
        <v>12в</v>
      </c>
      <c r="AK15" s="20" t="str">
        <f>IF(COUNTIF('Програма-кодове'!$C14:$AD14,$AK$2)=0,"-",IF(COUNTIF('Програма-кодове'!$C14:$AD14,$AK$2)=1,INDEX('Програма-кодове'!$C$1:$AD$1,1,MATCH($AK$2,'Програма-кодове'!$C14:$AD14,0)),"Дублаж"))</f>
        <v>12д</v>
      </c>
      <c r="AL15" s="94" t="str">
        <f>IF(COUNTIF('Програма-кодове'!$C14:$AD14,$AL$2)=0,"-",IF(COUNTIF('Програма-кодове'!$C14:$AD14,$AL$2)=1,INDEX('Програма-кодове'!$C$1:$AD$1,1,MATCH($AL$2,'Програма-кодове'!$C14:$AD14,0)),"Дублаж"))</f>
        <v>-</v>
      </c>
      <c r="AM15" s="20" t="str">
        <f>IF(COUNTIF('Програма-кодове'!$C14:$AD14,$AM$2)=0,"-",IF(COUNTIF('Програма-кодове'!$C14:$AD14,$AM$2)=1,INDEX('Програма-кодове'!$C$1:$AD$1,1,MATCH($AM$2,'Програма-кодове'!$C14:$AD14,0)),"Дублаж"))</f>
        <v>8a</v>
      </c>
      <c r="AN15" s="193" t="str">
        <f>IF(COUNTIF('Програма-кодове'!$C14:$AD14,$AN$2)=0,"-",IF(COUNTIF('Програма-кодове'!$C14:$AD14,$AN$2)=1,INDEX('Програма-кодове'!$C$1:$AD$1,1,MATCH($AN$2,'Програма-кодове'!$C14:$AD14,0)),"Дублаж"))</f>
        <v>11д</v>
      </c>
      <c r="AO15" s="193" t="str">
        <f>IF(COUNTIF('Програма-кодове'!$C14:$AD14,$AO$2)=0,"-",IF(COUNTIF('Програма-кодове'!$C14:$AD14,$AO$2)=1,INDEX('Програма-кодове'!$C$1:$AD$1,1,MATCH($AO$2,'Програма-кодове'!$C14:$AD14,0)),"Дублаж"))</f>
        <v>9б</v>
      </c>
      <c r="AP15" s="193" t="str">
        <f>IF(COUNTIF('Програма-кодове'!$C14:$AD14,$AP$2)=0,"-",IF(COUNTIF('Програма-кодове'!$C14:$AD14,$AP$2)=1,INDEX('Програма-кодове'!$C$1:$AD$1,1,MATCH($AP$2,'Програма-кодове'!$C14:$AD14,0)),"Дублаж"))</f>
        <v>-</v>
      </c>
      <c r="AQ15" s="193" t="str">
        <f t="shared" si="15"/>
        <v>-</v>
      </c>
      <c r="AR15" s="193" t="str">
        <f>IF(COUNTIF('Програма-кодове'!$C14:$AD14,$AR$2)=0,"-",IF(COUNTIF('Програма-кодове'!$C14:$AD14,$AR$2)=1,INDEX('Програма-кодове'!$C$1:$AD$1,1,MATCH($AR$2,'Програма-кодове'!$C14:$AD14,0)),"Дублаж"))</f>
        <v>10б</v>
      </c>
      <c r="AS15" s="193" t="str">
        <f>IF(COUNTIF('Програма-кодове'!$C14:$AD14,$AS$2)=0,"-",IF(COUNTIF('Програма-кодове'!$C14:$AD14,$AS$2)=1,INDEX('Програма-кодове'!$C$1:$AD$1,1,MATCH($AS$2,'Програма-кодове'!$C14:$AD14,0)),"Дублаж"))</f>
        <v>-</v>
      </c>
      <c r="AT15" s="193" t="str">
        <f>IF(COUNTIF('Програма-кодове'!$C14:$AD14,$AT$2)=0,"-",IF(COUNTIF('Програма-кодове'!$C14:$AD14,$AT$2)=1,INDEX('Програма-кодове'!$C$1:$AD$1,1,MATCH($AT$2,'Програма-кодове'!$C14:$AD14,0)),"Дублаж"))</f>
        <v>-</v>
      </c>
      <c r="AU15" s="196">
        <f t="shared" si="1"/>
        <v>7</v>
      </c>
      <c r="AV15" s="94">
        <f t="shared" si="2"/>
        <v>5</v>
      </c>
      <c r="AW15" s="196" t="str">
        <f>IF(COUNTIF('Програма-кодове'!$C14:$AD14,$AW$2)=0,"-",IF(COUNTIF('Програма-кодове'!$C14:$AD14,$AW$2)=1,INDEX('Програма-кодове'!$C$1:$AD$1,1,MATCH($AW$2,'Програма-кодове'!$C14:$AD14,0)),"Дублаж"))</f>
        <v>-</v>
      </c>
      <c r="AX15" s="196" t="str">
        <f>IF(COUNTIF('Програма-кодове'!$C14:$AD14,$AX$2)=0,"-",IF(COUNTIF('Програма-кодове'!$C14:$AD14,$AX$2)=1,INDEX('Програма-кодове'!$C$1:$AD$1,1,MATCH($AX$2,'Програма-кодове'!$C14:$AD14,0)),"Дублаж"))</f>
        <v>10а</v>
      </c>
      <c r="AY15" s="196" t="str">
        <f>IF(COUNTIF('Програма-кодове'!$C14:$AD14,$AY$2)=0,"-",IF(COUNTIF('Програма-кодове'!$C14:$AD14,$AY$2)=1,INDEX('Програма-кодове'!$C$1:$AD$1,1,MATCH($AY$2,'Програма-кодове'!$C14:$AD14,0)),"Дублаж"))</f>
        <v>12а</v>
      </c>
      <c r="AZ15" s="317" t="str">
        <f t="shared" si="16"/>
        <v>9а</v>
      </c>
      <c r="BA15" s="30" t="str">
        <f>IF(COUNTIF('Програма-кодове'!$C14:$AD14,$BA$2)=0,"-",IF(COUNTIF('Програма-кодове'!$C14:$AD14,$BA$2)=1,INDEX('Програма-кодове'!$C$1:$AD$1,1,MATCH($BA$2,'Програма-кодове'!$C14:$AD14,0)),"Дублаж"))</f>
        <v>-</v>
      </c>
      <c r="BB15" s="30" t="str">
        <f>IF(COUNTIF('Програма-кодове'!$C14:$AD14,$BB$2)=0,"-",IF(COUNTIF('Програма-кодове'!$C14:$AD14,$BB$2)=1,INDEX('Програма-кодове'!$C$1:$AD$1,1,MATCH($BB$2,'Програма-кодове'!$C14:$AD14,0)),"Дублаж"))</f>
        <v>9г</v>
      </c>
      <c r="BC15" s="30" t="str">
        <f>IF(COUNTIF('Програма-кодове'!$C14:$AD14,$BC$2)=0,"-",IF(COUNTIF('Програма-кодове'!$C14:$AD14,$BC$2)=1,INDEX('Програма-кодове'!$C$1:$AD$1,1,MATCH($BC$2,'Програма-кодове'!$C14:$AD14,0)),"Дублаж"))</f>
        <v>-</v>
      </c>
      <c r="BD15" s="30" t="str">
        <f>IF(COUNTIF('Програма-кодове'!$C14:$AD14,$BD$2)=0,"-",IF(COUNTIF('Програма-кодове'!$C14:$AD14,$BD$2)=1,INDEX('Програма-кодове'!$C$1:$AD$1,1,MATCH($BD$2,'Програма-кодове'!$C14:$AD14,0)),"Дублаж"))</f>
        <v>-</v>
      </c>
      <c r="BE15" s="30" t="str">
        <f>IF(COUNTIF('Програма-кодове'!$C14:$AD14,$BE$2)=0,"-",IF(COUNTIF('Програма-кодове'!$C14:$AD14,$BE$2)=1,INDEX('Програма-кодове'!$C$1:$AD$1,1,MATCH($BE$2,'Програма-кодове'!$C14:$AD14,0)),"Дублаж"))</f>
        <v>-</v>
      </c>
      <c r="BF15" s="30" t="str">
        <f>IF(COUNTIF('Програма-кодове'!$C14:$AD14,$BF$2)=0,"-",IF(COUNTIF('Програма-кодове'!$C14:$AD14,$BF$2)=1,INDEX('Програма-кодове'!$C$1:$AD$1,1,MATCH($BF$2,'Програма-кодове'!$C14:$AD14,0)),"Дублаж"))</f>
        <v>8г</v>
      </c>
      <c r="BG15" s="30" t="str">
        <f>IF(COUNTIF('Програма-кодове'!$C14:$AD14,$BG$2)=0,"-",IF(COUNTIF('Програма-кодове'!$C14:$AD14,$BG$2)=1,INDEX('Програма-кодове'!$C$1:$AD$1,1,MATCH($BG$2,'Програма-кодове'!$C14:$AD14,0)),"Дублаж"))</f>
        <v>-</v>
      </c>
      <c r="BH15" s="30" t="str">
        <f>IF(COUNTIF('Програма-кодове'!$C14:$AD14,$BH$2)=0,"-",IF(COUNTIF('Програма-кодове'!$C14:$AD14,$BH$2)=1,INDEX('Програма-кодове'!$C$1:$AD$1,1,MATCH($BH$2,'Програма-кодове'!$C14:$AD14,0)),"Дублаж"))</f>
        <v>-</v>
      </c>
      <c r="BI15" s="94" t="str">
        <f>IF(COUNTIF('Програма-кодове'!$C14:$AD14,$BI$2)=0,"-",IF(COUNTIF('Програма-кодове'!$C14:$AD14,$BI$2)=1,INDEX('Програма-кодове'!$C$1:$AD$1,1,MATCH($BI$2,'Програма-кодове'!$C14:$AD14,0)),IF('Програма-кодове'!Z14='Програма-кодове'!AA14,"12а,б","Дублаж")))</f>
        <v>-</v>
      </c>
      <c r="BJ15" s="94" t="str">
        <f>IF(COUNTIF('Програма-кодове'!$C14:$AD14,$BJ$2)=0,"-",IF(COUNTIF('Програма-кодове'!$C14:$AD14,$BJ$2)=1,INDEX('Програма-кодове'!$C$1:$AD$1,1,MATCH($BJ$2,'Програма-кодове'!$C14:$AD14,0)),"Дублаж"))</f>
        <v>-</v>
      </c>
      <c r="BK15" s="94" t="str">
        <f>IF(COUNTIF('Програма-кодове'!$C14:$AD14,$BK$2)=0,"-",IF(COUNTIF('Програма-кодове'!$C14:$AD14,$BK$2)=1,INDEX('Програма-кодове'!$C$1:$AD$1,1,MATCH($BK$2,'Програма-кодове'!$C14:$AD14,0)),IF('Програма-кодове'!K14='Програма-кодове'!O14,"9а,д",IF('Програма-кодове'!L14='Програма-кодове'!M14,"9б,в","Дублаж"))))</f>
        <v>-</v>
      </c>
      <c r="BL15" s="30" t="str">
        <f>IF(COUNTIF('Програма-кодове'!$C14:$AD14,$BL$2)=0,"-",IF(COUNTIF('Програма-кодове'!$C14:$AD14,$BL$2)=1,INDEX('Програма-кодове'!$C$1:$AD$1,1,MATCH($BL$2,'Програма-кодове'!$C14:$AD14,0)),"Дублаж"))</f>
        <v>-</v>
      </c>
      <c r="BM15" s="30" t="str">
        <f>IF(COUNTIF('Програма-кодове'!$C14:$AD14,$BM$2)=0,"-",IF(COUNTIF('Програма-кодове'!$C14:$AD14,$BM$2)=1,INDEX('Програма-кодове'!$C$1:$AD$1,1,MATCH($BM$2,'Програма-кодове'!$C14:$AD14,0)),"Дублаж"))</f>
        <v>-</v>
      </c>
      <c r="BN15" s="77" t="str">
        <f>IF(COUNTIF('Програма-кодове'!$C14:$AD14,$BN$2)=0,"-",IF(COUNTIF('Програма-кодове'!$C14:$AD14,$BN$2)=1,INDEX('Програма-кодове'!$C$1:$AD$1,1,MATCH($BN$2,'Програма-кодове'!$C14:$AD14,0)),IF(AND('Програма-кодове'!K14='Програма-кодове'!O14,'Програма-кодове'!K14&lt;&gt;""),"9а, д", IF(AND('Програма-кодове'!U14='Програма-кодове'!W14,'Програма-кодове'!U14&lt;&gt;""),"11а,в", "Дублаж"))))</f>
        <v>10д</v>
      </c>
      <c r="BO15" s="77" t="str">
        <f>IF(COUNTIF('Програма-кодове'!$C14:$AD14,$BO$2)=0,"-",IF(COUNTIF('Програма-кодове'!$C14:$AD14,$BO$2)=1,INDEX('Програма-кодове'!$C$1:$AD$1,1,MATCH($BO$2,'Програма-кодове'!$C14:$AD14,0)),IF(AND('Програма-кодове'!U14='Програма-кодове'!W14,'Програма-кодове'!U14&lt;&gt;"" ),"11a,в","Дублаж")))</f>
        <v>-</v>
      </c>
      <c r="BP15" s="30" t="str">
        <f>IF(COUNTIF('Програма-кодове'!$C14:$AD14,$BP$2)=0,"-",IF(COUNTIF('Програма-кодове'!$C14:$AD14,$BP$2)=1,"9б,в,г","Дублаж"))</f>
        <v>-</v>
      </c>
      <c r="BQ15" s="30" t="str">
        <f>IF(COUNTIF('Програма-кодове'!$C14:$AD14,$BQ$2)=0,"-",IF(COUNTIF('Програма-кодове'!$C14:$AD14,$BQ$2)=1,INDEX('Програма-кодове'!$C$1:$AD$1,1,MATCH($BQ$2,'Програма-кодове'!$C14:$AD14,0)),"Дублаж"))</f>
        <v>-</v>
      </c>
      <c r="BR15" s="30" t="str">
        <f>IF(COUNTIF('Програма-кодове'!$C14:$AD14,$BR$2)=0,"-",IF(COUNTIF('Програма-кодове'!$C14:$AD14,$BR$2)=1,INDEX('Програма-кодове'!$C$1:$AD$1,1,MATCH($BR$2,'Програма-кодове'!$C14:$AD14,0)),IF('Програма-кодове'!W14='Програма-кодове'!X14,"11б,в","Дублаж")))</f>
        <v>-</v>
      </c>
      <c r="BS15" s="30" t="str">
        <f>IF(COUNTIF('Програма-кодове'!$C14:$AD14,$BS$2)=0,"-",IF(COUNTIF('Програма-кодове'!$C14:$AD14,$BS$2)=1,INDEX('Програма-кодове'!$C$1:$AD$1,1,MATCH($BS$2,'Програма-кодове'!$C14:$AD14,0)),"Дублаж"))</f>
        <v>9а</v>
      </c>
      <c r="BT15" s="193" t="str">
        <f t="shared" si="17"/>
        <v>-</v>
      </c>
      <c r="BU15" s="30" t="str">
        <f>IF(COUNTIF('Програма-кодове'!$C14:$AD14,$BU$2)=0,"-",IF(COUNTIF('Програма-кодове'!$C14:$AD14,$BU$2)=1,INDEX('Програма-кодове'!$C$1:$AD$1,1,MATCH($BU$2,'Програма-кодове'!$C14:$AD14,0)),"Дублаж"))</f>
        <v>-</v>
      </c>
      <c r="BV15" s="30" t="str">
        <f>IF(COUNTIF('Програма-кодове'!$C14:$AD14,$BV$2)=0,"-",IF(COUNTIF('Програма-кодове'!$C14:$AD14,$BV$2)=1,INDEX('Програма-кодове'!$C$1:$AD$1,1,MATCH($BV$2,'Програма-кодове'!$C14:$AD14,0)),"Дублаж"))</f>
        <v>-</v>
      </c>
      <c r="BW15" s="30">
        <f>IF(COUNTIF('Програма-кодове'!$C14:$AD14,$BW$2)=0,"-",IF(COUNTIF('Програма-кодове'!$C14:$AD14,$BW$2)=1,INDEX('Програма-кодове'!$C$1:$AD$1,1,MATCH($BW$2,'Програма-кодове'!$C14:$AD14,0)),"Дублаж"))</f>
        <v>7</v>
      </c>
      <c r="BX15" s="30">
        <f>IF(COUNTIF('Програма-кодове'!$C14:$AD14,$BX$2)=0,"-",IF(COUNTIF('Програма-кодове'!$C14:$AD14,$BX$2)=1,INDEX('Програма-кодове'!$C$1:$AD$1,1,MATCH($BX$2,'Програма-кодове'!$C14:$AD14,0)),"Дублаж"))</f>
        <v>5</v>
      </c>
      <c r="BY15" s="30" t="str">
        <f>IF(COUNTIF('Програма-кодове'!$C14:$AD14,$BY$2)=0,"-",IF(COUNTIF('Програма-кодове'!$C14:$AD14,$BY$2)=1,INDEX('Програма-кодове'!$C$1:$AD$1,1,MATCH($BY$2,'Програма-кодове'!$C14:$AD14,0)),"Дублаж"))</f>
        <v>-</v>
      </c>
      <c r="BZ15" s="30" t="str">
        <f>IF(COUNTIF('Програма-кодове'!$C14:$AD14,$BZ$2)=0,"-",IF(COUNTIF('Програма-кодове'!$C14:$AD14,$BZ$2)=1,INDEX('Програма-кодове'!$C$1:$AD$1,1,MATCH($BZ$2,'Програма-кодове'!$C14:$AD14,0)),"Дублаж"))</f>
        <v>-</v>
      </c>
      <c r="CA15" s="30" t="str">
        <f>IF(COUNTIF('Програма-кодове'!$C14:$AD14,$CA$2)=0,"-",IF(COUNTIF('Програма-кодове'!$C14:$AD14,$CA$2)=1,INDEX('Програма-кодове'!$C$1:$AD$1,1,MATCH($CA$2,'Програма-кодове'!$C14:$AD14,0)),"Дублаж"))</f>
        <v>-</v>
      </c>
      <c r="CB15" s="30" t="str">
        <f>IF(COUNTIF('Програма-кодове'!$C14:$AD14,$CB$2)=0,"-",IF(COUNTIF('Програма-кодове'!$C14:$AD14,$CB$2)=1,INDEX('Програма-кодове'!$C$1:$AD$1,1,MATCH($CB$2,'Програма-кодове'!$C14:$AD14,0)),"Дублаж"))</f>
        <v>-</v>
      </c>
      <c r="CC15" s="30" t="str">
        <f>IF(COUNTIF('Програма-кодове'!$C14:$AD14,$CC$2)=0,"-",IF(COUNTIF('Програма-кодове'!$C14:$AD14,$CC$2)=1,INDEX('Програма-кодове'!$C$1:$AD$1,1,MATCH($CC$2,'Програма-кодове'!$C14:$AD14,0)),"Дублаж"))</f>
        <v>12в</v>
      </c>
      <c r="CD15" s="30" t="str">
        <f>IF(COUNTIF('Програма-кодове'!$C14:$AD14,$CD$2)=0,"-",IF(COUNTIF('Програма-кодове'!$C14:$AD14,$CD$2)=1,INDEX('Програма-кодове'!$C$1:$AD$1,1,MATCH($CD$2,'Програма-кодове'!$C14:$AD14,0)),"Дублаж"))</f>
        <v>-</v>
      </c>
      <c r="CE15" s="30" t="str">
        <f>IF(COUNTIF('Програма-кодове'!$C14:$AD14,$CE$2)=0,"-",IF(COUNTIF('Програма-кодове'!$C14:$AD14,$CE$2)=1,INDEX('Програма-кодове'!$C$1:$AD$1,1,MATCH($CE$2,'Програма-кодове'!$C14:$AD14,0)),"Дублаж"))</f>
        <v>-</v>
      </c>
    </row>
    <row r="16" spans="1:83" ht="13.5" customHeight="1" thickBot="1">
      <c r="A16" s="370"/>
      <c r="B16" s="352">
        <v>7</v>
      </c>
      <c r="C16" s="325" t="str">
        <f>IF(COUNTIF('Програма-кодове'!$C15:$AD15,$C$2)=0,"-",IF(COUNTIF('Програма-кодове'!$C15:$AD15,$C$2)=1,INDEX('Програма-кодове'!$C$1:$AD$1,1,MATCH($C$2,'Програма-кодове'!$C15:$AD15,0)),"Дублаж"))</f>
        <v>-</v>
      </c>
      <c r="D16" s="320" t="str">
        <f>IF(COUNTIF('Програма-кодове'!$C15:$AD15,$D$2)=0,"-",IF(COUNTIF('Програма-кодове'!$C15:$AD15,$D$2)=1,INDEX('Програма-кодове'!$C$1:$AD$1,1,MATCH($D$2,'Програма-кодове'!$C15:$AD15,0)),"Дублаж"))</f>
        <v>11д</v>
      </c>
      <c r="E16" s="325" t="str">
        <f>IF(COUNTIF('Програма-кодове'!$C15:$AD15,$E$2)=0,"-",IF(COUNTIF('Програма-кодове'!$C15:$AD15,$E$2)=1,INDEX('Програма-кодове'!$C$1:$AD$1,1,MATCH($E$2,'Програма-кодове'!$C15:$AD15,0)),"Дублаж"))</f>
        <v>8г</v>
      </c>
      <c r="F16" s="320" t="str">
        <f>IF(COUNTIF('Програма-кодове'!$C15:$AD15,$F$2)=0,"-",IF(COUNTIF('Програма-кодове'!$C15:$AD15,$F$2)=1,INDEX('Програма-кодове'!$C$1:$AD$1,1,MATCH($F$2,'Програма-кодове'!$C15:$AD15,0)),"Дублаж"))</f>
        <v>-</v>
      </c>
      <c r="G16" s="325" t="str">
        <f>IF(COUNTIF('Програма-кодове'!$C15:$AD15,$G$2)=0,"-",IF(COUNTIF('Програма-кодове'!$C15:$AD15,$G$2)=1,INDEX('Програма-кодове'!$C$1:$AD$1,1,MATCH($G$2,'Програма-кодове'!$C15:$AD15,0)),"Дублаж"))</f>
        <v>8д</v>
      </c>
      <c r="H16" s="325" t="str">
        <f>IF(COUNTIF('Програма-кодове'!$C15:$AD15,$H$2)=0,"-",IF(COUNTIF('Програма-кодове'!$C15:$AD15,$H$2)=1,INDEX('Програма-кодове'!$C$1:$AD$1,1,MATCH($H$2,'Програма-кодове'!$C15:$AD15,0)),"Дублаж"))</f>
        <v>9в</v>
      </c>
      <c r="I16" s="325" t="str">
        <f>IF(COUNTIF('Програма-кодове'!$C15:$AD15,$I$2)=0,"-",IF(COUNTIF('Програма-кодове'!$C15:$AD15,$I$2)=1,INDEX('Програма-кодове'!$C$1:$AD$1,1,MATCH($I$2,'Програма-кодове'!$C15:$AD15,0)),"Дублаж"))</f>
        <v>11г</v>
      </c>
      <c r="J16" s="325" t="str">
        <f>IF(COUNTIF('Програма-кодове'!$C15:$AD15,$J$2)=0,"-",IF(COUNTIF('Програма-кодове'!$C15:$AD15,$J$2)=1,INDEX('Програма-кодове'!$C$1:$AD$1,1,MATCH($J$2,'Програма-кодове'!$C15:$AD15,0)),"Дублаж"))</f>
        <v>-</v>
      </c>
      <c r="K16" s="325" t="str">
        <f>IF(COUNTIF('Програма-кодове'!$C15:$AD15,$K$2)=0,"-",IF(COUNTIF('Програма-кодове'!$C15:$AD15,$K$2)=1,INDEX('Програма-кодове'!$C$1:$AD$1,1,MATCH($K$2,'Програма-кодове'!$C15:$AD15,0)),"Дублаж"))</f>
        <v>12г</v>
      </c>
      <c r="L16" s="325" t="str">
        <f>IF(COUNTIF('Програма-кодове'!$C15:$AD15,$L$2)=0,"-",IF(COUNTIF('Програма-кодове'!$C15:$AD15,$L$2)=1,INDEX('Програма-кодове'!$C$1:$AD$1,1,MATCH($L$2,'Програма-кодове'!$C15:$AD15,0)),"Дублаж"))</f>
        <v>10в</v>
      </c>
      <c r="M16" s="325" t="str">
        <f>IF(COUNTIF('Програма-кодове'!$C15:$AD15,$M$2)=0,"-",IF(COUNTIF('Програма-кодове'!$C15:$AD15,$M$2)=1,INDEX('Програма-кодове'!$C$1:$AD$1,1,MATCH($M$2,'Програма-кодове'!$C15:$AD15,0)),"Дублаж"))</f>
        <v>8б</v>
      </c>
      <c r="N16" s="325" t="str">
        <f>IF(COUNTIF('Програма-кодове'!$C15:$AD15,$N$2)=0,"-",IF(COUNTIF('Програма-кодове'!$C15:$AD15,$N$2)=1,INDEX('Програма-кодове'!$C$1:$AD$1,1,MATCH($N$2,'Програма-кодове'!$C15:$AD15,0)),"Дублаж"))</f>
        <v>-</v>
      </c>
      <c r="O16" s="325" t="str">
        <f>IF(COUNTIF('Програма-кодове'!$C15:$AD15,$O$2)=0,"-",IF(COUNTIF('Програма-кодове'!$C15:$AD15,$O$2)=1,INDEX('Програма-кодове'!$C$1:$AD$1,1,MATCH($O$2,'Програма-кодове'!$C15:$AD15,0)),"Дублаж"))</f>
        <v>-</v>
      </c>
      <c r="P16" s="325" t="str">
        <f>IF(COUNTIF('Програма-кодове'!$C15:$AD15,$P$2)=0,"-",IF(COUNTIF('Програма-кодове'!$C15:$AD15,$P$2)=1,INDEX('Програма-кодове'!$C$1:$AD$1,1,MATCH($P$2,'Програма-кодове'!$C15:$AD15,0)),"Дублаж"))</f>
        <v>-</v>
      </c>
      <c r="Q16" s="325" t="str">
        <f>IF(COUNTIF('Програма-кодове'!$C15:$AD15,$Q$2)=0,"-",IF(COUNTIF('Програма-кодове'!$C15:$AD15,$Q$2)=1,INDEX('Програма-кодове'!$C$1:$AD$1,1,MATCH($Q$2,'Програма-кодове'!$C15:$AD15,0)),"Дублаж"))</f>
        <v>-</v>
      </c>
      <c r="R16" s="322" t="str">
        <f t="shared" si="0"/>
        <v>10д</v>
      </c>
      <c r="S16" s="322" t="str">
        <f t="shared" si="3"/>
        <v>-</v>
      </c>
      <c r="T16" s="322" t="str">
        <f t="shared" si="4"/>
        <v>10д</v>
      </c>
      <c r="U16" s="325" t="str">
        <f>IF(COUNTIF('Програма-кодове'!$C15:$AD15,$U$2)=0,"-",IF(COUNTIF('Програма-кодове'!$C15:$AD15,$U$2)=1,INDEX('Програма-кодове'!$C$1:$AD$1,1,MATCH($U$2,'Програма-кодове'!$C15:$AD15,0)),"Дублаж"))</f>
        <v>11а</v>
      </c>
      <c r="V16" s="325" t="str">
        <f>IF(COUNTIF('Програма-кодове'!$C15:$AD15,$V$2)=0,"-",IF(COUNTIF('Програма-кодове'!$C15:$AD15,$V$2)=1,INDEX('Програма-кодове'!$C$1:$AD$1,1,MATCH($V$2,'Програма-кодове'!$C15:$AD15,0)),"Дублаж"))</f>
        <v>-</v>
      </c>
      <c r="W16" s="323" t="str">
        <f>IF(COUNTIF('Програма-кодове'!$C15:$AD15,$W$2)=0,"-",IF(COUNTIF('Програма-кодове'!$C15:$AD15,$W$2)=1,INDEX('Програма-кодове'!$C$1:$AD$1,1,MATCH($W$2,'Програма-кодове'!$C15:$AD15,0)),"Дублаж"))</f>
        <v>-</v>
      </c>
      <c r="X16" s="325" t="str">
        <f>IF(COUNTIF('Програма-кодове'!$C15:$AD15,$X$2)=0,"-",IF(COUNTIF('Програма-кодове'!$C15:$AD15,$X$2)=1,INDEX('Програма-кодове'!$C$1:$AD$1,1,MATCH($X$2,'Програма-кодове'!$C15:$AD15,0)),"Дублаж"))</f>
        <v>12б</v>
      </c>
      <c r="Y16" s="325" t="str">
        <f>IF(COUNTIF('Програма-кодове'!$C15:$AD15,$Y$2)=0,"-",IF(COUNTIF('Програма-кодове'!$C15:$AD15,$Y$2)=1,INDEX('Програма-кодове'!$C$1:$AD$1,1,MATCH($Y$2,'Програма-кодове'!$C15:$AD15,0)),"Дублаж"))</f>
        <v>11б</v>
      </c>
      <c r="Z16" s="325" t="str">
        <f>IF(COUNTIF('Програма-кодове'!$C15:$AD15,$Z$2)=0,"-",IF(COUNTIF('Програма-кодове'!$C15:$AD15,$Z$2)=1,INDEX('Програма-кодове'!$C$1:$AD$1,1,MATCH($Z$2,'Програма-кодове'!$C15:$AD15,0)),"Дублаж"))</f>
        <v>9д</v>
      </c>
      <c r="AA16" s="322" t="str">
        <f t="shared" si="5"/>
        <v>-</v>
      </c>
      <c r="AB16" s="322" t="str">
        <f t="shared" si="6"/>
        <v>-</v>
      </c>
      <c r="AC16" s="322" t="str">
        <f t="shared" si="7"/>
        <v>-</v>
      </c>
      <c r="AD16" s="322" t="str">
        <f t="shared" si="8"/>
        <v>9а</v>
      </c>
      <c r="AE16" s="322" t="str">
        <f t="shared" si="9"/>
        <v>9а</v>
      </c>
      <c r="AF16" s="322" t="str">
        <f t="shared" si="10"/>
        <v>-</v>
      </c>
      <c r="AG16" s="322" t="str">
        <f>IF(BA16&lt;&gt;"-",IF(AND(BC16="-",BG16="-",BF16="-",BM16="-",BI16="-"),BA16,"Дублаж"),IF(BC16&lt;&gt;"-",IF(AND(BG16="-",BF16="-",BM16="-",BI16="-"),BC16,"Дублаж"),IF(BG16&lt;&gt;"-",IF(AND(BF16="-",BM16="-",BI16="-"),BG16,"Дублаж"),IF(BF16&lt;&gt;"-",IF(AND(BM16="-",BI16="-"),BF16,"Дублаж"),IF(BM16&lt;&gt;"-",IF(BI16="-",BM16,BI16),BI16)))))</f>
        <v>-</v>
      </c>
      <c r="AH16" s="322" t="str">
        <f t="shared" si="12"/>
        <v>-</v>
      </c>
      <c r="AI16" s="325" t="str">
        <f t="shared" si="13"/>
        <v>-</v>
      </c>
      <c r="AJ16" s="193" t="str">
        <f t="shared" si="14"/>
        <v>9г</v>
      </c>
      <c r="AK16" s="325" t="str">
        <f>IF(COUNTIF('Програма-кодове'!$C15:$AD15,$AK$2)=0,"-",IF(COUNTIF('Програма-кодове'!$C15:$AD15,$AK$2)=1,INDEX('Програма-кодове'!$C$1:$AD$1,1,MATCH($AK$2,'Програма-кодове'!$C15:$AD15,0)),"Дублаж"))</f>
        <v>12в</v>
      </c>
      <c r="AL16" s="325" t="str">
        <f>IF(COUNTIF('Програма-кодове'!$C15:$AD15,$AL$2)=0,"-",IF(COUNTIF('Програма-кодове'!$C15:$AD15,$AL$2)=1,INDEX('Програма-кодове'!$C$1:$AD$1,1,MATCH($AL$2,'Програма-кодове'!$C15:$AD15,0)),"Дублаж"))</f>
        <v>-</v>
      </c>
      <c r="AM16" s="325" t="str">
        <f>IF(COUNTIF('Програма-кодове'!$C15:$AD15,$AM$2)=0,"-",IF(COUNTIF('Програма-кодове'!$C15:$AD15,$AM$2)=1,INDEX('Програма-кодове'!$C$1:$AD$1,1,MATCH($AM$2,'Програма-кодове'!$C15:$AD15,0)),"Дублаж"))</f>
        <v>10а</v>
      </c>
      <c r="AN16" s="322" t="str">
        <f>IF(COUNTIF('Програма-кодове'!$C15:$AD15,$AN$2)=0,"-",IF(COUNTIF('Програма-кодове'!$C15:$AD15,$AN$2)=1,INDEX('Програма-кодове'!$C$1:$AD$1,1,MATCH($AN$2,'Програма-кодове'!$C15:$AD15,0)),"Дублаж"))</f>
        <v>11в</v>
      </c>
      <c r="AO16" s="322" t="str">
        <f>IF(COUNTIF('Програма-кодове'!$C15:$AD15,$AO$2)=0,"-",IF(COUNTIF('Програма-кодове'!$C15:$AD15,$AO$2)=1,INDEX('Програма-кодове'!$C$1:$AD$1,1,MATCH($AO$2,'Програма-кодове'!$C15:$AD15,0)),"Дублаж"))</f>
        <v>-</v>
      </c>
      <c r="AP16" s="322" t="str">
        <f>IF(COUNTIF('Програма-кодове'!$C15:$AD15,$AP$2)=0,"-",IF(COUNTIF('Програма-кодове'!$C15:$AD15,$AP$2)=1,INDEX('Програма-кодове'!$C$1:$AD$1,1,MATCH($AP$2,'Програма-кодове'!$C15:$AD15,0)),"Дублаж"))</f>
        <v>-</v>
      </c>
      <c r="AQ16" s="322" t="str">
        <f t="shared" si="15"/>
        <v>-</v>
      </c>
      <c r="AR16" s="322" t="str">
        <f>IF(COUNTIF('Програма-кодове'!$C15:$AD15,$AR$2)=0,"-",IF(COUNTIF('Програма-кодове'!$C15:$AD15,$AR$2)=1,INDEX('Програма-кодове'!$C$1:$AD$1,1,MATCH($AR$2,'Програма-кодове'!$C15:$AD15,0)),"Дублаж"))</f>
        <v>10г</v>
      </c>
      <c r="AS16" s="322" t="str">
        <f>IF(COUNTIF('Програма-кодове'!$C15:$AD15,$AS$2)=0,"-",IF(COUNTIF('Програма-кодове'!$C15:$AD15,$AS$2)=1,INDEX('Програма-кодове'!$C$1:$AD$1,1,MATCH($AS$2,'Програма-кодове'!$C15:$AD15,0)),"Дублаж"))</f>
        <v>10б</v>
      </c>
      <c r="AT16" s="322" t="str">
        <f>IF(COUNTIF('Програма-кодове'!$C15:$AD15,$AT$2)=0,"-",IF(COUNTIF('Програма-кодове'!$C15:$AD15,$AT$2)=1,INDEX('Програма-кодове'!$C$1:$AD$1,1,MATCH($AT$2,'Програма-кодове'!$C15:$AD15,0)),"Дублаж"))</f>
        <v>12д</v>
      </c>
      <c r="AU16" s="195" t="str">
        <f t="shared" si="1"/>
        <v>8a</v>
      </c>
      <c r="AV16" s="195" t="str">
        <f t="shared" si="2"/>
        <v>-</v>
      </c>
      <c r="AW16" s="195" t="str">
        <f>IF(COUNTIF('Програма-кодове'!$C15:$AD15,$AW$2)=0,"-",IF(COUNTIF('Програма-кодове'!$C15:$AD15,$AW$2)=1,INDEX('Програма-кодове'!$C$1:$AD$1,1,MATCH($AW$2,'Програма-кодове'!$C15:$AD15,0)),"Дублаж"))</f>
        <v>-</v>
      </c>
      <c r="AX16" s="195" t="str">
        <f>IF(COUNTIF('Програма-кодове'!$C15:$AD15,$AX$2)=0,"-",IF(COUNTIF('Програма-кодове'!$C15:$AD15,$AX$2)=1,INDEX('Програма-кодове'!$C$1:$AD$1,1,MATCH($AX$2,'Програма-кодове'!$C15:$AD15,0)),"Дублаж"))</f>
        <v>8в</v>
      </c>
      <c r="AY16" s="195" t="str">
        <f>IF(COUNTIF('Програма-кодове'!$C15:$AD15,$AY$2)=0,"-",IF(COUNTIF('Програма-кодове'!$C15:$AD15,$AY$2)=1,INDEX('Програма-кодове'!$C$1:$AD$1,1,MATCH($AY$2,'Програма-кодове'!$C15:$AD15,0)),"Дублаж"))</f>
        <v>9б</v>
      </c>
      <c r="AZ16" s="323" t="str">
        <f t="shared" si="16"/>
        <v>12а</v>
      </c>
      <c r="BA16" s="30" t="str">
        <f>IF(COUNTIF('Програма-кодове'!$C15:$AD15,$BA$2)=0,"-",IF(COUNTIF('Програма-кодове'!$C15:$AD15,$BA$2)=1,INDEX('Програма-кодове'!$C$1:$AD$1,1,MATCH($BA$2,'Програма-кодове'!$C15:$AD15,0)),"Дублаж"))</f>
        <v>-</v>
      </c>
      <c r="BB16" s="30" t="str">
        <f>IF(COUNTIF('Програма-кодове'!$C15:$AD15,$BB$2)=0,"-",IF(COUNTIF('Програма-кодове'!$C15:$AD15,$BB$2)=1,INDEX('Програма-кодове'!$C$1:$AD$1,1,MATCH($BB$2,'Програма-кодове'!$C15:$AD15,0)),"Дублаж"))</f>
        <v>9а</v>
      </c>
      <c r="BC16" s="30" t="str">
        <f>IF(COUNTIF('Програма-кодове'!$C15:$AD15,$BC$2)=0,"-",IF(COUNTIF('Програма-кодове'!$C15:$AD15,$BC$2)=1,INDEX('Програма-кодове'!$C$1:$AD$1,1,MATCH($BC$2,'Програма-кодове'!$C15:$AD15,0)),"Дублаж"))</f>
        <v>-</v>
      </c>
      <c r="BD16" s="30" t="str">
        <f>IF(COUNTIF('Програма-кодове'!$C15:$AD15,$BD$2)=0,"-",IF(COUNTIF('Програма-кодове'!$C15:$AD15,$BD$2)=1,INDEX('Програма-кодове'!$C$1:$AD$1,1,MATCH($BD$2,'Програма-кодове'!$C15:$AD15,0)),"Дублаж"))</f>
        <v>-</v>
      </c>
      <c r="BE16" s="30" t="str">
        <f>IF(COUNTIF('Програма-кодове'!$C15:$AD15,$BE$2)=0,"-",IF(COUNTIF('Програма-кодове'!$C15:$AD15,$BE$2)=1,INDEX('Програма-кодове'!$C$1:$AD$1,1,MATCH($BE$2,'Програма-кодове'!$C15:$AD15,0)),"Дублаж"))</f>
        <v>-</v>
      </c>
      <c r="BF16" s="30" t="str">
        <f>IF(COUNTIF('Програма-кодове'!$C15:$AD15,$BF$2)=0,"-",IF(COUNTIF('Програма-кодове'!$C15:$AD15,$BF$2)=1,INDEX('Програма-кодове'!$C$1:$AD$1,1,MATCH($BF$2,'Програма-кодове'!$C15:$AD15,0)),"Дублаж"))</f>
        <v>-</v>
      </c>
      <c r="BG16" s="30" t="str">
        <f>IF(COUNTIF('Програма-кодове'!$C15:$AD15,$BG$2)=0,"-",IF(COUNTIF('Програма-кодове'!$C15:$AD15,$BG$2)=1,INDEX('Програма-кодове'!$C$1:$AD$1,1,MATCH($BG$2,'Програма-кодове'!$C15:$AD15,0)),"Дублаж"))</f>
        <v>-</v>
      </c>
      <c r="BH16" s="30" t="str">
        <f>IF(COUNTIF('Програма-кодове'!$C15:$AD15,$BH$2)=0,"-",IF(COUNTIF('Програма-кодове'!$C15:$AD15,$BH$2)=1,INDEX('Програма-кодове'!$C$1:$AD$1,1,MATCH($BH$2,'Програма-кодове'!$C15:$AD15,0)),"Дублаж"))</f>
        <v>-</v>
      </c>
      <c r="BI16" s="94" t="str">
        <f>IF(COUNTIF('Програма-кодове'!$C15:$AD15,$BI$2)=0,"-",IF(COUNTIF('Програма-кодове'!$C15:$AD15,$BI$2)=1,INDEX('Програма-кодове'!$C$1:$AD$1,1,MATCH($BI$2,'Програма-кодове'!$C15:$AD15,0)),IF('Програма-кодове'!Z15='Програма-кодове'!AA15,"12а,б","Дублаж")))</f>
        <v>-</v>
      </c>
      <c r="BJ16" s="94" t="str">
        <f>IF(COUNTIF('Програма-кодове'!$C15:$AD15,$BJ$2)=0,"-",IF(COUNTIF('Програма-кодове'!$C15:$AD15,$BJ$2)=1,INDEX('Програма-кодове'!$C$1:$AD$1,1,MATCH($BJ$2,'Програма-кодове'!$C15:$AD15,0)),"Дублаж"))</f>
        <v>-</v>
      </c>
      <c r="BK16" s="94" t="str">
        <f>IF(COUNTIF('Програма-кодове'!$C15:$AD15,$BK$2)=0,"-",IF(COUNTIF('Програма-кодове'!$C15:$AD15,$BK$2)=1,INDEX('Програма-кодове'!$C$1:$AD$1,1,MATCH($BK$2,'Програма-кодове'!$C15:$AD15,0)),IF('Програма-кодове'!K15='Програма-кодове'!O15,"9а,д",IF('Програма-кодове'!L15='Програма-кодове'!M15,"9б,в","Дублаж"))))</f>
        <v>-</v>
      </c>
      <c r="BL16" s="30" t="str">
        <f>IF(COUNTIF('Програма-кодове'!$C15:$AD15,$BL$2)=0,"-",IF(COUNTIF('Програма-кодове'!$C15:$AD15,$BL$2)=1,INDEX('Програма-кодове'!$C$1:$AD$1,1,MATCH($BL$2,'Програма-кодове'!$C15:$AD15,0)),"Дублаж"))</f>
        <v>-</v>
      </c>
      <c r="BM16" s="30" t="str">
        <f>IF(COUNTIF('Програма-кодове'!$C15:$AD15,$BM$2)=0,"-",IF(COUNTIF('Програма-кодове'!$C15:$AD15,$BM$2)=1,INDEX('Програма-кодове'!$C$1:$AD$1,1,MATCH($BM$2,'Програма-кодове'!$C15:$AD15,0)),"Дублаж"))</f>
        <v>-</v>
      </c>
      <c r="BN16" s="77" t="str">
        <f>IF(COUNTIF('Програма-кодове'!$C15:$AD15,$BN$2)=0,"-",IF(COUNTIF('Програма-кодове'!$C15:$AD15,$BN$2)=1,INDEX('Програма-кодове'!$C$1:$AD$1,1,MATCH($BN$2,'Програма-кодове'!$C15:$AD15,0)),IF(AND('Програма-кодове'!K15='Програма-кодове'!O15,'Програма-кодове'!K15&lt;&gt;""),"9а, д", IF(AND('Програма-кодове'!U15='Програма-кодове'!W15,'Програма-кодове'!U15&lt;&gt;""),"11а,в", "Дублаж"))))</f>
        <v>10д</v>
      </c>
      <c r="BO16" s="77" t="str">
        <f>IF(COUNTIF('Програма-кодове'!$C15:$AD15,$BO$2)=0,"-",IF(COUNTIF('Програма-кодове'!$C15:$AD15,$BO$2)=1,INDEX('Програма-кодове'!$C$1:$AD$1,1,MATCH($BO$2,'Програма-кодове'!$C15:$AD15,0)),IF(AND('Програма-кодове'!U15='Програма-кодове'!W15,'Програма-кодове'!U15&lt;&gt;"" ),"11a,в","Дублаж")))</f>
        <v>-</v>
      </c>
      <c r="BP16" s="30" t="str">
        <f>IF(COUNTIF('Програма-кодове'!$C15:$AD15,$BP$2)=0,"-",IF(COUNTIF('Програма-кодове'!$C15:$AD15,$BP$2)=1,"9б,в,г","Дублаж"))</f>
        <v>-</v>
      </c>
      <c r="BQ16" s="30" t="str">
        <f>IF(COUNTIF('Програма-кодове'!$C15:$AD15,$BQ$2)=0,"-",IF(COUNTIF('Програма-кодове'!$C15:$AD15,$BQ$2)=1,INDEX('Програма-кодове'!$C$1:$AD$1,1,MATCH($BQ$2,'Програма-кодове'!$C15:$AD15,0)),"Дублаж"))</f>
        <v>-</v>
      </c>
      <c r="BR16" s="30" t="str">
        <f>IF(COUNTIF('Програма-кодове'!$C15:$AD15,$BR$2)=0,"-",IF(COUNTIF('Програма-кодове'!$C15:$AD15,$BR$2)=1,INDEX('Програма-кодове'!$C$1:$AD$1,1,MATCH($BR$2,'Програма-кодове'!$C15:$AD15,0)),IF('Програма-кодове'!W15='Програма-кодове'!X15,"11б,в","Дублаж")))</f>
        <v>-</v>
      </c>
      <c r="BS16" s="30" t="str">
        <f>IF(COUNTIF('Програма-кодове'!$C15:$AD15,$BS$2)=0,"-",IF(COUNTIF('Програма-кодове'!$C15:$AD15,$BS$2)=1,INDEX('Програма-кодове'!$C$1:$AD$1,1,MATCH($BS$2,'Програма-кодове'!$C15:$AD15,0)),"Дублаж"))</f>
        <v>12а</v>
      </c>
      <c r="BT16" s="193" t="str">
        <f t="shared" si="17"/>
        <v>-</v>
      </c>
      <c r="BU16" s="30" t="str">
        <f>IF(COUNTIF('Програма-кодове'!$C15:$AD15,$BU$2)=0,"-",IF(COUNTIF('Програма-кодове'!$C15:$AD15,$BU$2)=1,INDEX('Програма-кодове'!$C$1:$AD$1,1,MATCH($BU$2,'Програма-кодове'!$C15:$AD15,0)),"Дублаж"))</f>
        <v>-</v>
      </c>
      <c r="BV16" s="30" t="str">
        <f>IF(COUNTIF('Програма-кодове'!$C15:$AD15,$BV$2)=0,"-",IF(COUNTIF('Програма-кодове'!$C15:$AD15,$BV$2)=1,INDEX('Програма-кодове'!$C$1:$AD$1,1,MATCH($BV$2,'Програма-кодове'!$C15:$AD15,0)),"Дублаж"))</f>
        <v>-</v>
      </c>
      <c r="BW16" s="30" t="str">
        <f>IF(COUNTIF('Програма-кодове'!$C15:$AD15,$BW$2)=0,"-",IF(COUNTIF('Програма-кодове'!$C15:$AD15,$BW$2)=1,INDEX('Програма-кодове'!$C$1:$AD$1,1,MATCH($BW$2,'Програма-кодове'!$C15:$AD15,0)),"Дублаж"))</f>
        <v>8a</v>
      </c>
      <c r="BX16" s="30" t="str">
        <f>IF(COUNTIF('Програма-кодове'!$C15:$AD15,$BX$2)=0,"-",IF(COUNTIF('Програма-кодове'!$C15:$AD15,$BX$2)=1,INDEX('Програма-кодове'!$C$1:$AD$1,1,MATCH($BX$2,'Програма-кодове'!$C15:$AD15,0)),"Дублаж"))</f>
        <v>-</v>
      </c>
      <c r="BY16" s="30" t="str">
        <f>IF(COUNTIF('Програма-кодове'!$C15:$AD15,$BY$2)=0,"-",IF(COUNTIF('Програма-кодове'!$C15:$AD15,$BY$2)=1,INDEX('Програма-кодове'!$C$1:$AD$1,1,MATCH($BY$2,'Програма-кодове'!$C15:$AD15,0)),"Дублаж"))</f>
        <v>-</v>
      </c>
      <c r="BZ16" s="30" t="str">
        <f>IF(COUNTIF('Програма-кодове'!$C15:$AD15,$BZ$2)=0,"-",IF(COUNTIF('Програма-кодове'!$C15:$AD15,$BZ$2)=1,INDEX('Програма-кодове'!$C$1:$AD$1,1,MATCH($BZ$2,'Програма-кодове'!$C15:$AD15,0)),"Дублаж"))</f>
        <v>-</v>
      </c>
      <c r="CA16" s="30" t="str">
        <f>IF(COUNTIF('Програма-кодове'!$C15:$AD15,$CA$2)=0,"-",IF(COUNTIF('Програма-кодове'!$C15:$AD15,$CA$2)=1,INDEX('Програма-кодове'!$C$1:$AD$1,1,MATCH($CA$2,'Програма-кодове'!$C15:$AD15,0)),"Дублаж"))</f>
        <v>-</v>
      </c>
      <c r="CB16" s="30" t="str">
        <f>IF(COUNTIF('Програма-кодове'!$C15:$AD15,$CB$2)=0,"-",IF(COUNTIF('Програма-кодове'!$C15:$AD15,$CB$2)=1,INDEX('Програма-кодове'!$C$1:$AD$1,1,MATCH($CB$2,'Програма-кодове'!$C15:$AD15,0)),"Дублаж"))</f>
        <v>-</v>
      </c>
      <c r="CC16" s="30" t="str">
        <f>IF(COUNTIF('Програма-кодове'!$C15:$AD15,$CC$2)=0,"-",IF(COUNTIF('Програма-кодове'!$C15:$AD15,$CC$2)=1,INDEX('Програма-кодове'!$C$1:$AD$1,1,MATCH($CC$2,'Програма-кодове'!$C15:$AD15,0)),"Дублаж"))</f>
        <v>-</v>
      </c>
      <c r="CD16" s="30" t="str">
        <f>IF(COUNTIF('Програма-кодове'!$C15:$AD15,$CD$2)=0,"-",IF(COUNTIF('Програма-кодове'!$C15:$AD15,$CD$2)=1,INDEX('Програма-кодове'!$C$1:$AD$1,1,MATCH($CD$2,'Програма-кодове'!$C15:$AD15,0)),"Дублаж"))</f>
        <v>9г</v>
      </c>
      <c r="CE16" s="30" t="str">
        <f>IF(COUNTIF('Програма-кодове'!$C15:$AD15,$CE$2)=0,"-",IF(COUNTIF('Програма-кодове'!$C15:$AD15,$CE$2)=1,INDEX('Програма-кодове'!$C$1:$AD$1,1,MATCH($CE$2,'Програма-кодове'!$C15:$AD15,0)),"Дублаж"))</f>
        <v>-</v>
      </c>
    </row>
    <row r="17" spans="1:83" ht="13.5" customHeight="1">
      <c r="A17" s="367" t="s">
        <v>26</v>
      </c>
      <c r="B17" s="327">
        <v>1</v>
      </c>
      <c r="C17" s="196" t="str">
        <f>IF(COUNTIF('Програма-кодове'!$C16:$AD16,$C$2)=0,"-",IF(COUNTIF('Програма-кодове'!$C16:$AD16,$C$2)=1,INDEX('Програма-кодове'!$C$1:$AD$1,1,MATCH($C$2,'Програма-кодове'!$C16:$AD16,0)),"Дублаж"))</f>
        <v>-</v>
      </c>
      <c r="D17" s="328" t="str">
        <f>IF(COUNTIF('Програма-кодове'!$C16:$AD16,$D$2)=0,"-",IF(COUNTIF('Програма-кодове'!$C16:$AD16,$D$2)=1,INDEX('Програма-кодове'!$C$1:$AD$1,1,MATCH($D$2,'Програма-кодове'!$C16:$AD16,0)),"Дублаж"))</f>
        <v>8в</v>
      </c>
      <c r="E17" s="194" t="str">
        <f>IF(COUNTIF('Програма-кодове'!$C16:$AD16,$E$2)=0,"-",IF(COUNTIF('Програма-кодове'!$C16:$AD16,$E$2)=1,INDEX('Програма-кодове'!$C$1:$AD$1,1,MATCH($E$2,'Програма-кодове'!$C16:$AD16,0)),"Дублаж"))</f>
        <v>-</v>
      </c>
      <c r="F17" s="328" t="str">
        <f>IF(COUNTIF('Програма-кодове'!$C16:$AD16,$F$2)=0,"-",IF(COUNTIF('Програма-кодове'!$C16:$AD16,$F$2)=1,INDEX('Програма-кодове'!$C$1:$AD$1,1,MATCH($F$2,'Програма-кодове'!$C16:$AD16,0)),"Дублаж"))</f>
        <v>-</v>
      </c>
      <c r="G17" s="196" t="str">
        <f>IF(COUNTIF('Програма-кодове'!$C16:$AD16,$G$2)=0,"-",IF(COUNTIF('Програма-кодове'!$C16:$AD16,$G$2)=1,INDEX('Програма-кодове'!$C$1:$AD$1,1,MATCH($G$2,'Програма-кодове'!$C16:$AD16,0)),"Дублаж"))</f>
        <v>12г</v>
      </c>
      <c r="H17" s="316" t="str">
        <f>IF(COUNTIF('Програма-кодове'!$C16:$AD16,$H$2)=0,"-",IF(COUNTIF('Програма-кодове'!$C16:$AD16,$H$2)=1,INDEX('Програма-кодове'!$C$1:$AD$1,1,MATCH($H$2,'Програма-кодове'!$C16:$AD16,0)),"Дублаж"))</f>
        <v>-</v>
      </c>
      <c r="I17" s="196" t="str">
        <f>IF(COUNTIF('Програма-кодове'!$C16:$AD16,$I$2)=0,"-",IF(COUNTIF('Програма-кодове'!$C16:$AD16,$I$2)=1,INDEX('Програма-кодове'!$C$1:$AD$1,1,MATCH($I$2,'Програма-кодове'!$C16:$AD16,0)),"Дублаж"))</f>
        <v>-</v>
      </c>
      <c r="J17" s="196" t="str">
        <f>IF(COUNTIF('Програма-кодове'!$C16:$AD16,$J$2)=0,"-",IF(COUNTIF('Програма-кодове'!$C16:$AD16,$J$2)=1,INDEX('Програма-кодове'!$C$1:$AD$1,1,MATCH($J$2,'Програма-кодове'!$C16:$AD16,0)),"Дублаж"))</f>
        <v>8г</v>
      </c>
      <c r="K17" s="196" t="str">
        <f>IF(COUNTIF('Програма-кодове'!$C16:$AD16,$K$2)=0,"-",IF(COUNTIF('Програма-кодове'!$C16:$AD16,$K$2)=1,INDEX('Програма-кодове'!$C$1:$AD$1,1,MATCH($K$2,'Програма-кодове'!$C16:$AD16,0)),"Дублаж"))</f>
        <v>12а</v>
      </c>
      <c r="L17" s="196" t="str">
        <f>IF(COUNTIF('Програма-кодове'!$C16:$AD16,$L$2)=0,"-",IF(COUNTIF('Програма-кодове'!$C16:$AD16,$L$2)=1,INDEX('Програма-кодове'!$C$1:$AD$1,1,MATCH($L$2,'Програма-кодове'!$C16:$AD16,0)),"Дублаж"))</f>
        <v>11а</v>
      </c>
      <c r="M17" s="196" t="str">
        <f>IF(COUNTIF('Програма-кодове'!$C16:$AD16,$M$2)=0,"-",IF(COUNTIF('Програма-кодове'!$C16:$AD16,$M$2)=1,INDEX('Програма-кодове'!$C$1:$AD$1,1,MATCH($M$2,'Програма-кодове'!$C16:$AD16,0)),"Дублаж"))</f>
        <v>10б</v>
      </c>
      <c r="N17" s="94" t="str">
        <f>IF(COUNTIF('Програма-кодове'!$C16:$AD16,$N$2)=0,"-",IF(COUNTIF('Програма-кодове'!$C16:$AD16,$N$2)=1,INDEX('Програма-кодове'!$C$1:$AD$1,1,MATCH($N$2,'Програма-кодове'!$C16:$AD16,0)),"Дублаж"))</f>
        <v>-</v>
      </c>
      <c r="O17" s="196" t="str">
        <f>IF(COUNTIF('Програма-кодове'!$C16:$AD16,$O$2)=0,"-",IF(COUNTIF('Програма-кодове'!$C16:$AD16,$O$2)=1,INDEX('Програма-кодове'!$C$1:$AD$1,1,MATCH($O$2,'Програма-кодове'!$C16:$AD16,0)),"Дублаж"))</f>
        <v>8д</v>
      </c>
      <c r="P17" s="194" t="str">
        <f>IF(COUNTIF('Програма-кодове'!$C16:$AD16,$P$2)=0,"-",IF(COUNTIF('Програма-кодове'!$C16:$AD16,$P$2)=1,INDEX('Програма-кодове'!$C$1:$AD$1,1,MATCH($P$2,'Програма-кодове'!$C16:$AD16,0)),"Дублаж"))</f>
        <v>-</v>
      </c>
      <c r="Q17" s="329" t="str">
        <f>IF(COUNTIF('Програма-кодове'!$C16:$AD16,$Q$2)=0,"-",IF(COUNTIF('Програма-кодове'!$C16:$AD16,$Q$2)=1,INDEX('Програма-кодове'!$C$1:$AD$1,1,MATCH($Q$2,'Програма-кодове'!$C16:$AD16,0)),"Дублаж"))</f>
        <v>9д</v>
      </c>
      <c r="R17" s="193" t="str">
        <f t="shared" si="0"/>
        <v>-</v>
      </c>
      <c r="S17" s="193" t="str">
        <f t="shared" si="3"/>
        <v>11г</v>
      </c>
      <c r="T17" s="324" t="str">
        <f t="shared" si="4"/>
        <v>-</v>
      </c>
      <c r="U17" s="196" t="str">
        <f>IF(COUNTIF('Програма-кодове'!$C16:$AD16,$U$2)=0,"-",IF(COUNTIF('Програма-кодове'!$C16:$AD16,$U$2)=1,INDEX('Програма-кодове'!$C$1:$AD$1,1,MATCH($U$2,'Програма-кодове'!$C16:$AD16,0)),"Дублаж"))</f>
        <v>12в</v>
      </c>
      <c r="V17" s="196" t="str">
        <f>IF(COUNTIF('Програма-кодове'!$C16:$AD16,$V$2)=0,"-",IF(COUNTIF('Програма-кодове'!$C16:$AD16,$V$2)=1,INDEX('Програма-кодове'!$C$1:$AD$1,1,MATCH($V$2,'Програма-кодове'!$C16:$AD16,0)),"Дублаж"))</f>
        <v>9г</v>
      </c>
      <c r="W17" s="196" t="str">
        <f>IF(COUNTIF('Програма-кодове'!$C16:$AD16,$W$2)=0,"-",IF(COUNTIF('Програма-кодове'!$C16:$AD16,$W$2)=1,INDEX('Програма-кодове'!$C$1:$AD$1,1,MATCH($W$2,'Програма-кодове'!$C16:$AD16,0)),"Дублаж"))</f>
        <v>8a</v>
      </c>
      <c r="X17" s="196" t="str">
        <f>IF(COUNTIF('Програма-кодове'!$C16:$AD16,$X$2)=0,"-",IF(COUNTIF('Програма-кодове'!$C16:$AD16,$X$2)=1,INDEX('Програма-кодове'!$C$1:$AD$1,1,MATCH($X$2,'Програма-кодове'!$C16:$AD16,0)),"Дублаж"))</f>
        <v>12б</v>
      </c>
      <c r="Y17" s="196" t="str">
        <f>IF(COUNTIF('Програма-кодове'!$C16:$AD16,$Y$2)=0,"-",IF(COUNTIF('Програма-кодове'!$C16:$AD16,$Y$2)=1,INDEX('Програма-кодове'!$C$1:$AD$1,1,MATCH($Y$2,'Програма-кодове'!$C16:$AD16,0)),"Дублаж"))</f>
        <v>8б</v>
      </c>
      <c r="Z17" s="196">
        <f>IF(COUNTIF('Програма-кодове'!$C16:$AD16,$Z$2)=0,"-",IF(COUNTIF('Програма-кодове'!$C16:$AD16,$Z$2)=1,INDEX('Програма-кодове'!$C$1:$AD$1,1,MATCH($Z$2,'Програма-кодове'!$C16:$AD16,0)),"Дублаж"))</f>
        <v>6</v>
      </c>
      <c r="AA17" s="324">
        <f>IF(BH17&lt;&gt;"-",IF(AND(BL17="-",BI17="-"),BH17,"Дублаж"),IF(BL17&lt;&gt;"-",IF(BI17="-",BL17,"Дублаж"),BI17))</f>
        <v>7</v>
      </c>
      <c r="AB17" s="324" t="str">
        <f t="shared" si="6"/>
        <v>-</v>
      </c>
      <c r="AC17" s="324" t="str">
        <f t="shared" si="7"/>
        <v>10в</v>
      </c>
      <c r="AD17" s="324" t="str">
        <f t="shared" si="8"/>
        <v>10в</v>
      </c>
      <c r="AE17" s="324" t="str">
        <f t="shared" si="9"/>
        <v>-</v>
      </c>
      <c r="AF17" s="324" t="str">
        <f t="shared" si="10"/>
        <v>9б</v>
      </c>
      <c r="AG17" s="324" t="str">
        <f t="shared" ref="AG17:AG18" si="21">IF(BA17&lt;&gt;"-",IF(AND(BC17="-",BG17="-",BF17="-",BM17="-",BI17="-"),BA17,"Дублаж"),IF(BC17&lt;&gt;"-",IF(AND(BG17="-",BF17="-",BM17="-",BI17="-"),BC17,"Дублаж"),IF(BG17&lt;&gt;"-",IF(AND(BF17="-",BM17="-",BI17="-"),BG17,"Дублаж"),IF(BF17&lt;&gt;"-",IF(AND(BM17="-",BI17="-"),BF17,"Дублаж"),IF(BM17&lt;&gt;"-",IF(BI17="-",BM17,BI17),BI17)))))</f>
        <v>9б</v>
      </c>
      <c r="AH17" s="324" t="str">
        <f t="shared" si="12"/>
        <v>-</v>
      </c>
      <c r="AI17" s="196" t="str">
        <f t="shared" si="13"/>
        <v>11б</v>
      </c>
      <c r="AJ17" s="193" t="str">
        <f t="shared" si="14"/>
        <v>-</v>
      </c>
      <c r="AK17" s="196" t="str">
        <f>IF(COUNTIF('Програма-кодове'!$C16:$AD16,$AK$2)=0,"-",IF(COUNTIF('Програма-кодове'!$C16:$AD16,$AK$2)=1,INDEX('Програма-кодове'!$C$1:$AD$1,1,MATCH($AK$2,'Програма-кодове'!$C16:$AD16,0)),"Дублаж"))</f>
        <v>-</v>
      </c>
      <c r="AL17" s="196" t="str">
        <f>IF(COUNTIF('Програма-кодове'!$C16:$AD16,$AL$2)=0,"-",IF(COUNTIF('Програма-кодове'!$C16:$AD16,$AL$2)=1,INDEX('Програма-кодове'!$C$1:$AD$1,1,MATCH($AL$2,'Програма-кодове'!$C16:$AD16,0)),"Дублаж"))</f>
        <v>10д</v>
      </c>
      <c r="AM17" s="333" t="str">
        <f>IF(COUNTIF('Програма-кодове'!$C16:$AD16,$AM$2)=0,"-",IF(COUNTIF('Програма-кодове'!$C16:$AD16,$AM$2)=1,INDEX('Програма-кодове'!$C$1:$AD$1,1,MATCH($AM$2,'Програма-кодове'!$C16:$AD16,0)),"Дублаж"))</f>
        <v>-</v>
      </c>
      <c r="AN17" s="324" t="str">
        <f>IF(COUNTIF('Програма-кодове'!$C16:$AD16,$AN$2)=0,"-",IF(COUNTIF('Програма-кодове'!$C16:$AD16,$AN$2)=1,INDEX('Програма-кодове'!$C$1:$AD$1,1,MATCH($AN$2,'Програма-кодове'!$C16:$AD16,0)),"Дублаж"))</f>
        <v>-</v>
      </c>
      <c r="AO17" s="324" t="str">
        <f>IF(COUNTIF('Програма-кодове'!$C16:$AD16,$AO$2)=0,"-",IF(COUNTIF('Програма-кодове'!$C16:$AD16,$AO$2)=1,INDEX('Програма-кодове'!$C$1:$AD$1,1,MATCH($AO$2,'Програма-кодове'!$C16:$AD16,0)),"Дублаж"))</f>
        <v>9а</v>
      </c>
      <c r="AP17" s="324" t="str">
        <f>IF(COUNTIF('Програма-кодове'!$C16:$AD16,$AP$2)=0,"-",IF(COUNTIF('Програма-кодове'!$C16:$AD16,$AP$2)=1,INDEX('Програма-кодове'!$C$1:$AD$1,1,MATCH($AP$2,'Програма-кодове'!$C16:$AD16,0)),"Дублаж"))</f>
        <v>-</v>
      </c>
      <c r="AQ17" s="324" t="str">
        <f>IF(AND(CA17&lt;&gt;"-",CB17&lt;&gt;"-"),"Дублаж",IF(CA17&lt;&gt;"-",CA17,CB17))</f>
        <v>-</v>
      </c>
      <c r="AR17" s="324" t="str">
        <f>IF(COUNTIF('Програма-кодове'!$C16:$AD16,$AR$2)=0,"-",IF(COUNTIF('Програма-кодове'!$C16:$AD16,$AR$2)=1,INDEX('Програма-кодове'!$C$1:$AD$1,1,MATCH($AR$2,'Програма-кодове'!$C16:$AD16,0)),"Дублаж"))</f>
        <v>10а</v>
      </c>
      <c r="AS17" s="324" t="str">
        <f>IF(COUNTIF('Програма-кодове'!$C16:$AD16,$AS$2)=0,"-",IF(COUNTIF('Програма-кодове'!$C16:$AD16,$AS$2)=1,INDEX('Програма-кодове'!$C$1:$AD$1,1,MATCH($AS$2,'Програма-кодове'!$C16:$AD16,0)),"Дублаж"))</f>
        <v>10г</v>
      </c>
      <c r="AT17" s="324" t="str">
        <f>IF(COUNTIF('Програма-кодове'!$C16:$AD16,$AT$2)=0,"-",IF(COUNTIF('Програма-кодове'!$C16:$AD16,$AT$2)=1,INDEX('Програма-кодове'!$C$1:$AD$1,1,MATCH($AT$2,'Програма-кодове'!$C16:$AD16,0)),"Дублаж"))</f>
        <v>11д</v>
      </c>
      <c r="AU17" s="194">
        <f t="shared" ref="AU17:AU22" si="22">IF(AND(BV17&lt;&gt;"-",BW17&lt;&gt;"-"),"Дублаж",IF(BV17&lt;&gt;"-",BV17,BW17))</f>
        <v>5</v>
      </c>
      <c r="AV17" s="94">
        <f t="shared" si="2"/>
        <v>7</v>
      </c>
      <c r="AW17" s="194" t="str">
        <f>IF(COUNTIF('Програма-кодове'!$C16:$AD16,$AW$2)=0,"-",IF(COUNTIF('Програма-кодове'!$C16:$AD16,$AW$2)=1,INDEX('Програма-кодове'!$C$1:$AD$1,1,MATCH($AW$2,'Програма-кодове'!$C16:$AD16,0)),"Дублаж"))</f>
        <v>11в</v>
      </c>
      <c r="AX17" s="194" t="str">
        <f>IF(COUNTIF('Програма-кодове'!$C16:$AD16,$AX$2)=0,"-",IF(COUNTIF('Програма-кодове'!$C16:$AD16,$AX$2)=1,INDEX('Програма-кодове'!$C$1:$AD$1,1,MATCH($AX$2,'Програма-кодове'!$C16:$AD16,0)),"Дублаж"))</f>
        <v>-</v>
      </c>
      <c r="AY17" s="194" t="str">
        <f>IF(COUNTIF('Програма-кодове'!$C16:$AD16,$AY$2)=0,"-",IF(COUNTIF('Програма-кодове'!$C16:$AD16,$AY$2)=1,INDEX('Програма-кодове'!$C$1:$AD$1,1,MATCH($AY$2,'Програма-кодове'!$C16:$AD16,0)),"Дублаж"))</f>
        <v>12д</v>
      </c>
      <c r="AZ17" s="333" t="str">
        <f>IF(AND(BS17&lt;&gt;"-",BT17&lt;&gt;"-"),"Дублаж",IF(BS17&lt;&gt;"-",BS17,BT17))</f>
        <v>9в</v>
      </c>
      <c r="BA17" s="30" t="str">
        <f>IF(COUNTIF('Програма-кодове'!$C16:$AD16,$BA$2)=0,"-",IF(COUNTIF('Програма-кодове'!$C16:$AD16,$BA$2)=1,INDEX('Програма-кодове'!$C$1:$AD$1,1,MATCH($BA$2,'Програма-кодове'!$C16:$AD16,0)),"Дублаж"))</f>
        <v>-</v>
      </c>
      <c r="BB17" s="30" t="str">
        <f>IF(COUNTIF('Програма-кодове'!$C16:$AD16,$BB$2)=0,"-",IF(COUNTIF('Програма-кодове'!$C16:$AD16,$BB$2)=1,INDEX('Програма-кодове'!$C$1:$AD$1,1,MATCH($BB$2,'Програма-кодове'!$C16:$AD16,0)),"Дублаж"))</f>
        <v>-</v>
      </c>
      <c r="BC17" s="30" t="str">
        <f>IF(COUNTIF('Програма-кодове'!$C16:$AD16,$BC$2)=0,"-",IF(COUNTIF('Програма-кодове'!$C16:$AD16,$BC$2)=1,INDEX('Програма-кодове'!$C$1:$AD$1,1,MATCH($BC$2,'Програма-кодове'!$C16:$AD16,0)),"Дублаж"))</f>
        <v>-</v>
      </c>
      <c r="BD17" s="30" t="str">
        <f>IF(COUNTIF('Програма-кодове'!$C16:$AD16,$BD$2)=0,"-",IF(COUNTIF('Програма-кодове'!$C16:$AD16,$BD$2)=1,INDEX('Програма-кодове'!$C$1:$AD$1,1,MATCH($BD$2,'Програма-кодове'!$C16:$AD16,0)),"Дублаж"))</f>
        <v>10в</v>
      </c>
      <c r="BE17" s="30" t="str">
        <f>IF(COUNTIF('Програма-кодове'!$C16:$AD16,$BE$2)=0,"-",IF(COUNTIF('Програма-кодове'!$C16:$AD16,$BE$2)=1,INDEX('Програма-кодове'!$C$1:$AD$1,1,MATCH($BE$2,'Програма-кодове'!$C16:$AD16,0)),"Дублаж"))</f>
        <v>-</v>
      </c>
      <c r="BF17" s="30" t="str">
        <f>IF(COUNTIF('Програма-кодове'!$C16:$AD16,$BF$2)=0,"-",IF(COUNTIF('Програма-кодове'!$C16:$AD16,$BF$2)=1,INDEX('Програма-кодове'!$C$1:$AD$1,1,MATCH($BF$2,'Програма-кодове'!$C16:$AD16,0)),"Дублаж"))</f>
        <v>9б</v>
      </c>
      <c r="BG17" s="30" t="str">
        <f>IF(COUNTIF('Програма-кодове'!$C16:$AD16,$BG$2)=0,"-",IF(COUNTIF('Програма-кодове'!$C16:$AD16,$BG$2)=1,INDEX('Програма-кодове'!$C$1:$AD$1,1,MATCH($BG$2,'Програма-кодове'!$C16:$AD16,0)),"Дублаж"))</f>
        <v>-</v>
      </c>
      <c r="BH17" s="30" t="str">
        <f>IF(COUNTIF('Програма-кодове'!$C16:$AD16,$BH$2)=0,"-",IF(COUNTIF('Програма-кодове'!$C16:$AD16,$BH$2)=1,INDEX('Програма-кодове'!$C$1:$AD$1,1,MATCH($BH$2,'Програма-кодове'!$C16:$AD16,0)),"Дублаж"))</f>
        <v>-</v>
      </c>
      <c r="BI17" s="94" t="str">
        <f>IF(COUNTIF('Програма-кодове'!$C16:$AD16,$BI$2)=0,"-",IF(COUNTIF('Програма-кодове'!$C16:$AD16,$BI$2)=1,INDEX('Програма-кодове'!$C$1:$AD$1,1,MATCH($BI$2,'Програма-кодове'!$C16:$AD16,0)),IF('Програма-кодове'!Z16='Програма-кодове'!AA16,"12а,б","Дублаж")))</f>
        <v>-</v>
      </c>
      <c r="BJ17" s="94" t="str">
        <f>IF(COUNTIF('Програма-кодове'!$C16:$AD16,$BJ$2)=0,"-",IF(COUNTIF('Програма-кодове'!$C16:$AD16,$BJ$2)=1,INDEX('Програма-кодове'!$C$1:$AD$1,1,MATCH($BJ$2,'Програма-кодове'!$C16:$AD16,0)),"Дублаж"))</f>
        <v>-</v>
      </c>
      <c r="BK17" s="94" t="str">
        <f>IF(COUNTIF('Програма-кодове'!$C16:$AD16,$BK$2)=0,"-",IF(COUNTIF('Програма-кодове'!$C16:$AD16,$BK$2)=1,INDEX('Програма-кодове'!$C$1:$AD$1,1,MATCH($BK$2,'Програма-кодове'!$C16:$AD16,0)),IF('Програма-кодове'!K16='Програма-кодове'!O16,"9а,д",IF('Програма-кодове'!L16='Програма-кодове'!M16,"9б,в","Дублаж"))))</f>
        <v>-</v>
      </c>
      <c r="BL17" s="30">
        <f>IF(COUNTIF('Програма-кодове'!$C16:$AD16,$BL$2)=0,"-",IF(COUNTIF('Програма-кодове'!$C16:$AD16,$BL$2)=1,INDEX('Програма-кодове'!$C$1:$AD$1,1,MATCH($BL$2,'Програма-кодове'!$C16:$AD16,0)),"Дублаж"))</f>
        <v>7</v>
      </c>
      <c r="BM17" s="30" t="str">
        <f>IF(COUNTIF('Програма-кодове'!$C16:$AD16,$BM$2)=0,"-",IF(COUNTIF('Програма-кодове'!$C16:$AD16,$BM$2)=1,INDEX('Програма-кодове'!$C$1:$AD$1,1,MATCH($BM$2,'Програма-кодове'!$C16:$AD16,0)),"Дублаж"))</f>
        <v>-</v>
      </c>
      <c r="BN17" s="77" t="str">
        <f>IF(COUNTIF('Програма-кодове'!$C16:$AD16,$BN$2)=0,"-",IF(COUNTIF('Програма-кодове'!$C16:$AD16,$BN$2)=1,INDEX('Програма-кодове'!$C$1:$AD$1,1,MATCH($BN$2,'Програма-кодове'!$C16:$AD16,0)),IF(AND('Програма-кодове'!K16='Програма-кодове'!O16,'Програма-кодове'!K16&lt;&gt;""),"9а, д", IF(AND('Програма-кодове'!U16='Програма-кодове'!W16,'Програма-кодове'!U16&lt;&gt;""),"11а,в", "Дублаж"))))</f>
        <v>-</v>
      </c>
      <c r="BO17" s="77" t="str">
        <f>IF(COUNTIF('Програма-кодове'!$C16:$AD16,$BO$2)=0,"-",IF(COUNTIF('Програма-кодове'!$C16:$AD16,$BO$2)=1,INDEX('Програма-кодове'!$C$1:$AD$1,1,MATCH($BO$2,'Програма-кодове'!$C16:$AD16,0)),IF(AND('Програма-кодове'!U16='Програма-кодове'!W16,'Програма-кодове'!U16&lt;&gt;"" ),"11a,в","Дублаж")))</f>
        <v>-</v>
      </c>
      <c r="BP17" s="30" t="str">
        <f>IF(COUNTIF('Програма-кодове'!$C16:$AD16,$BP$2)=0,"-",IF(COUNTIF('Програма-кодове'!$C16:$AD16,$BP$2)=1,"9б,в,г","Дублаж"))</f>
        <v>-</v>
      </c>
      <c r="BQ17" s="30" t="str">
        <f>IF(COUNTIF('Програма-кодове'!$C16:$AD16,$BQ$2)=0,"-",IF(COUNTIF('Програма-кодове'!$C16:$AD16,$BQ$2)=1,INDEX('Програма-кодове'!$C$1:$AD$1,1,MATCH($BQ$2,'Програма-кодове'!$C16:$AD16,0)),"Дублаж"))</f>
        <v>11г</v>
      </c>
      <c r="BR17" s="30" t="str">
        <f>IF(COUNTIF('Програма-кодове'!$C16:$AD16,$BR$2)=0,"-",IF(COUNTIF('Програма-кодове'!$C16:$AD16,$BR$2)=1,INDEX('Програма-кодове'!$C$1:$AD$1,1,MATCH($BR$2,'Програма-кодове'!$C16:$AD16,0)),IF('Програма-кодове'!W16='Програма-кодове'!X16,"11б,в","Дублаж")))</f>
        <v>-</v>
      </c>
      <c r="BS17" s="30" t="str">
        <f>IF(COUNTIF('Програма-кодове'!$C16:$AD16,$BS$2)=0,"-",IF(COUNTIF('Програма-кодове'!$C16:$AD16,$BS$2)=1,INDEX('Програма-кодове'!$C$1:$AD$1,1,MATCH($BS$2,'Програма-кодове'!$C16:$AD16,0)),"Дублаж"))</f>
        <v>9в</v>
      </c>
      <c r="BT17" s="193" t="str">
        <f t="shared" si="17"/>
        <v>-</v>
      </c>
      <c r="BU17" s="30" t="str">
        <f>IF(COUNTIF('Програма-кодове'!$C16:$AD16,$BU$2)=0,"-",IF(COUNTIF('Програма-кодове'!$C16:$AD16,$BU$2)=1,INDEX('Програма-кодове'!$C$1:$AD$1,1,MATCH($BU$2,'Програма-кодове'!$C16:$AD16,0)),"Дублаж"))</f>
        <v>-</v>
      </c>
      <c r="BV17" s="30" t="str">
        <f>IF(COUNTIF('Програма-кодове'!$C16:$AD16,$BV$2)=0,"-",IF(COUNTIF('Програма-кодове'!$C16:$AD16,$BV$2)=1,INDEX('Програма-кодове'!$C$1:$AD$1,1,MATCH($BV$2,'Програма-кодове'!$C16:$AD16,0)),"Дублаж"))</f>
        <v>-</v>
      </c>
      <c r="BW17" s="30">
        <f>IF(COUNTIF('Програма-кодове'!$C16:$AD16,$BW$2)=0,"-",IF(COUNTIF('Програма-кодове'!$C16:$AD16,$BW$2)=1,INDEX('Програма-кодове'!$C$1:$AD$1,1,MATCH($BW$2,'Програма-кодове'!$C16:$AD16,0)),"Дублаж"))</f>
        <v>5</v>
      </c>
      <c r="BX17" s="30" t="str">
        <f>IF(COUNTIF('Програма-кодове'!$C16:$AD16,$BX$2)=0,"-",IF(COUNTIF('Програма-кодове'!$C16:$AD16,$BX$2)=1,INDEX('Програма-кодове'!$C$1:$AD$1,1,MATCH($BX$2,'Програма-кодове'!$C16:$AD16,0)),"Дублаж"))</f>
        <v>-</v>
      </c>
      <c r="BY17" s="30" t="str">
        <f>IF(COUNTIF('Програма-кодове'!$C16:$AD16,$BY$2)=0,"-",IF(COUNTIF('Програма-кодове'!$C16:$AD16,$BY$2)=1,INDEX('Програма-кодове'!$C$1:$AD$1,1,MATCH($BY$2,'Програма-кодове'!$C16:$AD16,0)),"Дублаж"))</f>
        <v>11б</v>
      </c>
      <c r="BZ17" s="30" t="str">
        <f>IF(COUNTIF('Програма-кодове'!$C16:$AD16,$BZ$2)=0,"-",IF(COUNTIF('Програма-кодове'!$C16:$AD16,$BZ$2)=1,INDEX('Програма-кодове'!$C$1:$AD$1,1,MATCH($BZ$2,'Програма-кодове'!$C16:$AD16,0)),"Дублаж"))</f>
        <v>-</v>
      </c>
      <c r="CA17" s="30" t="str">
        <f>IF(COUNTIF('Програма-кодове'!$C16:$AD16,$CA$2)=0,"-",IF(COUNTIF('Програма-кодове'!$C16:$AD16,$CA$2)=1,INDEX('Програма-кодове'!$C$1:$AD$1,1,MATCH($CA$2,'Програма-кодове'!$C16:$AD16,0)),"Дублаж"))</f>
        <v>-</v>
      </c>
      <c r="CB17" s="30" t="str">
        <f>IF(COUNTIF('Програма-кодове'!$C16:$AD16,$CB$2)=0,"-",IF(COUNTIF('Програма-кодове'!$C16:$AD16,$CB$2)=1,INDEX('Програма-кодове'!$C$1:$AD$1,1,MATCH($CB$2,'Програма-кодове'!$C16:$AD16,0)),"Дублаж"))</f>
        <v>-</v>
      </c>
      <c r="CC17" s="30" t="str">
        <f>IF(COUNTIF('Програма-кодове'!$C16:$AD16,$CC$2)=0,"-",IF(COUNTIF('Програма-кодове'!$C16:$AD16,$CC$2)=1,INDEX('Програма-кодове'!$C$1:$AD$1,1,MATCH($CC$2,'Програма-кодове'!$C16:$AD16,0)),"Дублаж"))</f>
        <v>-</v>
      </c>
      <c r="CD17" s="30" t="str">
        <f>IF(COUNTIF('Програма-кодове'!$C16:$AD16,$CD$2)=0,"-",IF(COUNTIF('Програма-кодове'!$C16:$AD16,$CD$2)=1,INDEX('Програма-кодове'!$C$1:$AD$1,1,MATCH($CD$2,'Програма-кодове'!$C16:$AD16,0)),"Дублаж"))</f>
        <v>-</v>
      </c>
      <c r="CE17" s="30" t="str">
        <f>IF(COUNTIF('Програма-кодове'!$C16:$AD16,$CE$2)=0,"-",IF(COUNTIF('Програма-кодове'!$C16:$AD16,$CE$2)=1,INDEX('Програма-кодове'!$C$1:$AD$1,1,MATCH($CE$2,'Програма-кодове'!$C16:$AD16,0)),"Дублаж"))</f>
        <v>-</v>
      </c>
    </row>
    <row r="18" spans="1:83" ht="13.5" customHeight="1">
      <c r="A18" s="367"/>
      <c r="B18" s="330">
        <v>2</v>
      </c>
      <c r="C18" s="194" t="str">
        <f>IF(COUNTIF('Програма-кодове'!$C17:$AD17,$C$2)=0,"-",IF(COUNTIF('Програма-кодове'!$C17:$AD17,$C$2)=1,INDEX('Програма-кодове'!$C$1:$AD$1,1,MATCH($C$2,'Програма-кодове'!$C17:$AD17,0)),"Дублаж"))</f>
        <v>-</v>
      </c>
      <c r="D18" s="319" t="str">
        <f>IF(COUNTIF('Програма-кодове'!$C17:$AD17,$D$2)=0,"-",IF(COUNTIF('Програма-кодове'!$C17:$AD17,$D$2)=1,INDEX('Програма-кодове'!$C$1:$AD$1,1,MATCH($D$2,'Програма-кодове'!$C17:$AD17,0)),"Дублаж"))</f>
        <v>8в</v>
      </c>
      <c r="E18" s="194" t="str">
        <f>IF(COUNTIF('Програма-кодове'!$C17:$AD17,$E$2)=0,"-",IF(COUNTIF('Програма-кодове'!$C17:$AD17,$E$2)=1,INDEX('Програма-кодове'!$C$1:$AD$1,1,MATCH($E$2,'Програма-кодове'!$C17:$AD17,0)),"Дублаж"))</f>
        <v>8a</v>
      </c>
      <c r="F18" s="328" t="str">
        <f>IF(COUNTIF('Програма-кодове'!$C17:$AD17,$F$2)=0,"-",IF(COUNTIF('Програма-кодове'!$C17:$AD17,$F$2)=1,INDEX('Програма-кодове'!$C$1:$AD$1,1,MATCH($F$2,'Програма-кодове'!$C17:$AD17,0)),"Дублаж"))</f>
        <v>-</v>
      </c>
      <c r="G18" s="194" t="str">
        <f>IF(COUNTIF('Програма-кодове'!$C17:$AD17,$G$2)=0,"-",IF(COUNTIF('Програма-кодове'!$C17:$AD17,$G$2)=1,INDEX('Програма-кодове'!$C$1:$AD$1,1,MATCH($G$2,'Програма-кодове'!$C17:$AD17,0)),"Дублаж"))</f>
        <v>12а</v>
      </c>
      <c r="H18" s="316" t="str">
        <f>IF(COUNTIF('Програма-кодове'!$C17:$AD17,$H$2)=0,"-",IF(COUNTIF('Програма-кодове'!$C17:$AD17,$H$2)=1,INDEX('Програма-кодове'!$C$1:$AD$1,1,MATCH($H$2,'Програма-кодове'!$C17:$AD17,0)),"Дублаж"))</f>
        <v>-</v>
      </c>
      <c r="I18" s="194" t="str">
        <f>IF(COUNTIF('Програма-кодове'!$C17:$AD17,$I$2)=0,"-",IF(COUNTIF('Програма-кодове'!$C17:$AD17,$I$2)=1,INDEX('Програма-кодове'!$C$1:$AD$1,1,MATCH($I$2,'Програма-кодове'!$C17:$AD17,0)),"Дублаж"))</f>
        <v>-</v>
      </c>
      <c r="J18" s="194" t="str">
        <f>IF(COUNTIF('Програма-кодове'!$C17:$AD17,$J$2)=0,"-",IF(COUNTIF('Програма-кодове'!$C17:$AD17,$J$2)=1,INDEX('Програма-кодове'!$C$1:$AD$1,1,MATCH($J$2,'Програма-кодове'!$C17:$AD17,0)),"Дублаж"))</f>
        <v>8г</v>
      </c>
      <c r="K18" s="194" t="str">
        <f>IF(COUNTIF('Програма-кодове'!$C17:$AD17,$K$2)=0,"-",IF(COUNTIF('Програма-кодове'!$C17:$AD17,$K$2)=1,INDEX('Програма-кодове'!$C$1:$AD$1,1,MATCH($K$2,'Програма-кодове'!$C17:$AD17,0)),"Дублаж"))</f>
        <v>12г</v>
      </c>
      <c r="L18" s="194" t="str">
        <f>IF(COUNTIF('Програма-кодове'!$C17:$AD17,$L$2)=0,"-",IF(COUNTIF('Програма-кодове'!$C17:$AD17,$L$2)=1,INDEX('Програма-кодове'!$C$1:$AD$1,1,MATCH($L$2,'Програма-кодове'!$C17:$AD17,0)),"Дублаж"))</f>
        <v>11а</v>
      </c>
      <c r="M18" s="194" t="str">
        <f>IF(COUNTIF('Програма-кодове'!$C17:$AD17,$M$2)=0,"-",IF(COUNTIF('Програма-кодове'!$C17:$AD17,$M$2)=1,INDEX('Програма-кодове'!$C$1:$AD$1,1,MATCH($M$2,'Програма-кодове'!$C17:$AD17,0)),"Дублаж"))</f>
        <v>-</v>
      </c>
      <c r="N18" s="94" t="str">
        <f>IF(COUNTIF('Програма-кодове'!$C17:$AD17,$N$2)=0,"-",IF(COUNTIF('Програма-кодове'!$C17:$AD17,$N$2)=1,INDEX('Програма-кодове'!$C$1:$AD$1,1,MATCH($N$2,'Програма-кодове'!$C17:$AD17,0)),"Дублаж"))</f>
        <v>-</v>
      </c>
      <c r="O18" s="194" t="str">
        <f>IF(COUNTIF('Програма-кодове'!$C17:$AD17,$O$2)=0,"-",IF(COUNTIF('Програма-кодове'!$C17:$AD17,$O$2)=1,INDEX('Програма-кодове'!$C$1:$AD$1,1,MATCH($O$2,'Програма-кодове'!$C17:$AD17,0)),"Дублаж"))</f>
        <v>8д</v>
      </c>
      <c r="P18" s="194" t="str">
        <f>IF(COUNTIF('Програма-кодове'!$C17:$AD17,$P$2)=0,"-",IF(COUNTIF('Програма-кодове'!$C17:$AD17,$P$2)=1,INDEX('Програма-кодове'!$C$1:$AD$1,1,MATCH($P$2,'Програма-кодове'!$C17:$AD17,0)),"Дублаж"))</f>
        <v>-</v>
      </c>
      <c r="Q18" s="316" t="str">
        <f>IF(COUNTIF('Програма-кодове'!$C17:$AD17,$Q$2)=0,"-",IF(COUNTIF('Програма-кодове'!$C17:$AD17,$Q$2)=1,INDEX('Програма-кодове'!$C$1:$AD$1,1,MATCH($Q$2,'Програма-кодове'!$C17:$AD17,0)),"Дублаж"))</f>
        <v>9г</v>
      </c>
      <c r="R18" s="193" t="str">
        <f t="shared" si="0"/>
        <v>-</v>
      </c>
      <c r="S18" s="193" t="str">
        <f t="shared" si="3"/>
        <v>11г</v>
      </c>
      <c r="T18" s="193" t="str">
        <f t="shared" si="4"/>
        <v>-</v>
      </c>
      <c r="U18" s="194" t="str">
        <f>IF(COUNTIF('Програма-кодове'!$C17:$AD17,$U$2)=0,"-",IF(COUNTIF('Програма-кодове'!$C17:$AD17,$U$2)=1,INDEX('Програма-кодове'!$C$1:$AD$1,1,MATCH($U$2,'Програма-кодове'!$C17:$AD17,0)),"Дублаж"))</f>
        <v>12в</v>
      </c>
      <c r="V18" s="194">
        <f>IF(COUNTIF('Програма-кодове'!$C17:$AD17,$V$2)=0,"-",IF(COUNTIF('Програма-кодове'!$C17:$AD17,$V$2)=1,INDEX('Програма-кодове'!$C$1:$AD$1,1,MATCH($V$2,'Програма-кодове'!$C17:$AD17,0)),"Дублаж"))</f>
        <v>5</v>
      </c>
      <c r="W18" s="194">
        <f>IF(COUNTIF('Програма-кодове'!$C17:$AD17,$W$2)=0,"-",IF(COUNTIF('Програма-кодове'!$C17:$AD17,$W$2)=1,INDEX('Програма-кодове'!$C$1:$AD$1,1,MATCH($W$2,'Програма-кодове'!$C17:$AD17,0)),"Дублаж"))</f>
        <v>7</v>
      </c>
      <c r="X18" s="194" t="str">
        <f>IF(COUNTIF('Програма-кодове'!$C17:$AD17,$X$2)=0,"-",IF(COUNTIF('Програма-кодове'!$C17:$AD17,$X$2)=1,INDEX('Програма-кодове'!$C$1:$AD$1,1,MATCH($X$2,'Програма-кодове'!$C17:$AD17,0)),"Дублаж"))</f>
        <v>-</v>
      </c>
      <c r="Y18" s="194" t="str">
        <f>IF(COUNTIF('Програма-кодове'!$C17:$AD17,$Y$2)=0,"-",IF(COUNTIF('Програма-кодове'!$C17:$AD17,$Y$2)=1,INDEX('Програма-кодове'!$C$1:$AD$1,1,MATCH($Y$2,'Програма-кодове'!$C17:$AD17,0)),"Дублаж"))</f>
        <v>11в</v>
      </c>
      <c r="Z18" s="194" t="str">
        <f>IF(COUNTIF('Програма-кодове'!$C17:$AD17,$Z$2)=0,"-",IF(COUNTIF('Програма-кодове'!$C17:$AD17,$Z$2)=1,INDEX('Програма-кодове'!$C$1:$AD$1,1,MATCH($Z$2,'Програма-кодове'!$C17:$AD17,0)),"Дублаж"))</f>
        <v>10в</v>
      </c>
      <c r="AA18" s="193">
        <f t="shared" si="5"/>
        <v>6</v>
      </c>
      <c r="AB18" s="193" t="str">
        <f t="shared" si="6"/>
        <v>-</v>
      </c>
      <c r="AC18" s="193" t="str">
        <f t="shared" si="7"/>
        <v>10г</v>
      </c>
      <c r="AD18" s="193" t="str">
        <f t="shared" si="8"/>
        <v>10г</v>
      </c>
      <c r="AE18" s="193" t="str">
        <f t="shared" si="9"/>
        <v>-</v>
      </c>
      <c r="AF18" s="193" t="str">
        <f t="shared" si="10"/>
        <v>9а</v>
      </c>
      <c r="AG18" s="193" t="str">
        <f t="shared" si="21"/>
        <v>9а</v>
      </c>
      <c r="AH18" s="193" t="str">
        <f t="shared" si="12"/>
        <v>-</v>
      </c>
      <c r="AI18" s="196" t="str">
        <f t="shared" si="13"/>
        <v>10а</v>
      </c>
      <c r="AJ18" s="193" t="str">
        <f t="shared" si="14"/>
        <v>-</v>
      </c>
      <c r="AK18" s="194" t="str">
        <f>IF(COUNTIF('Програма-кодове'!$C17:$AD17,$AK$2)=0,"-",IF(COUNTIF('Програма-кодове'!$C17:$AD17,$AK$2)=1,INDEX('Програма-кодове'!$C$1:$AD$1,1,MATCH($AK$2,'Програма-кодове'!$C17:$AD17,0)),"Дублаж"))</f>
        <v>10б</v>
      </c>
      <c r="AL18" s="194" t="str">
        <f>IF(COUNTIF('Програма-кодове'!$C17:$AD17,$AL$2)=0,"-",IF(COUNTIF('Програма-кодове'!$C17:$AD17,$AL$2)=1,INDEX('Програма-кодове'!$C$1:$AD$1,1,MATCH($AL$2,'Програма-кодове'!$C17:$AD17,0)),"Дублаж"))</f>
        <v>9б</v>
      </c>
      <c r="AM18" s="317" t="str">
        <f>IF(COUNTIF('Програма-кодове'!$C17:$AD17,$AM$2)=0,"-",IF(COUNTIF('Програма-кодове'!$C17:$AD17,$AM$2)=1,INDEX('Програма-кодове'!$C$1:$AD$1,1,MATCH($AM$2,'Програма-кодове'!$C17:$AD17,0)),"Дублаж"))</f>
        <v>-</v>
      </c>
      <c r="AN18" s="193" t="str">
        <f>IF(COUNTIF('Програма-кодове'!$C17:$AD17,$AN$2)=0,"-",IF(COUNTIF('Програма-кодове'!$C17:$AD17,$AN$2)=1,INDEX('Програма-кодове'!$C$1:$AD$1,1,MATCH($AN$2,'Програма-кодове'!$C17:$AD17,0)),"Дублаж"))</f>
        <v>-</v>
      </c>
      <c r="AO18" s="193" t="str">
        <f>IF(COUNTIF('Програма-кодове'!$C17:$AD17,$AO$2)=0,"-",IF(COUNTIF('Програма-кодове'!$C17:$AD17,$AO$2)=1,INDEX('Програма-кодове'!$C$1:$AD$1,1,MATCH($AO$2,'Програма-кодове'!$C17:$AD17,0)),"Дублаж"))</f>
        <v>9в</v>
      </c>
      <c r="AP18" s="193" t="str">
        <f>IF(COUNTIF('Програма-кодове'!$C17:$AD17,$AP$2)=0,"-",IF(COUNTIF('Програма-кодове'!$C17:$AD17,$AP$2)=1,INDEX('Програма-кодове'!$C$1:$AD$1,1,MATCH($AP$2,'Програма-кодове'!$C17:$AD17,0)),"Дублаж"))</f>
        <v>-</v>
      </c>
      <c r="AQ18" s="193" t="str">
        <f>IF(AND(CA18&lt;&gt;"-",CB18&lt;&gt;"-"),"Дублаж",IF(CA18&lt;&gt;"-",CA18,CB18))</f>
        <v>-</v>
      </c>
      <c r="AR18" s="193" t="str">
        <f>IF(COUNTIF('Програма-кодове'!$C17:$AD17,$AR$2)=0,"-",IF(COUNTIF('Програма-кодове'!$C17:$AD17,$AR$2)=1,INDEX('Програма-кодове'!$C$1:$AD$1,1,MATCH($AR$2,'Програма-кодове'!$C17:$AD17,0)),"Дублаж"))</f>
        <v>12д</v>
      </c>
      <c r="AS18" s="193" t="str">
        <f>IF(COUNTIF('Програма-кодове'!$C17:$AD17,$AS$2)=0,"-",IF(COUNTIF('Програма-кодове'!$C17:$AD17,$AS$2)=1,INDEX('Програма-кодове'!$C$1:$AD$1,1,MATCH($AS$2,'Програма-кодове'!$C17:$AD17,0)),"Дублаж"))</f>
        <v>10д</v>
      </c>
      <c r="AT18" s="193" t="str">
        <f>IF(COUNTIF('Програма-кодове'!$C17:$AD17,$AT$2)=0,"-",IF(COUNTIF('Програма-кодове'!$C17:$AD17,$AT$2)=1,INDEX('Програма-кодове'!$C$1:$AD$1,1,MATCH($AT$2,'Програма-кодове'!$C17:$AD17,0)),"Дублаж"))</f>
        <v>11д</v>
      </c>
      <c r="AU18" s="194" t="str">
        <f t="shared" si="22"/>
        <v>8б</v>
      </c>
      <c r="AV18" s="94">
        <f t="shared" si="2"/>
        <v>6</v>
      </c>
      <c r="AW18" s="194" t="str">
        <f>IF(COUNTIF('Програма-кодове'!$C17:$AD17,$AW$2)=0,"-",IF(COUNTIF('Програма-кодове'!$C17:$AD17,$AW$2)=1,INDEX('Програма-кодове'!$C$1:$AD$1,1,MATCH($AW$2,'Програма-кодове'!$C17:$AD17,0)),"Дублаж"))</f>
        <v>11б</v>
      </c>
      <c r="AX18" s="194" t="str">
        <f>IF(COUNTIF('Програма-кодове'!$C17:$AD17,$AX$2)=0,"-",IF(COUNTIF('Програма-кодове'!$C17:$AD17,$AX$2)=1,INDEX('Програма-кодове'!$C$1:$AD$1,1,MATCH($AX$2,'Програма-кодове'!$C17:$AD17,0)),"Дублаж"))</f>
        <v>-</v>
      </c>
      <c r="AY18" s="194" t="str">
        <f>IF(COUNTIF('Програма-кодове'!$C17:$AD17,$AY$2)=0,"-",IF(COUNTIF('Програма-кодове'!$C17:$AD17,$AY$2)=1,INDEX('Програма-кодове'!$C$1:$AD$1,1,MATCH($AY$2,'Програма-кодове'!$C17:$AD17,0)),"Дублаж"))</f>
        <v>12б</v>
      </c>
      <c r="AZ18" s="317" t="str">
        <f t="shared" si="16"/>
        <v>9д</v>
      </c>
      <c r="BA18" s="30" t="str">
        <f>IF(COUNTIF('Програма-кодове'!$C17:$AD17,$BA$2)=0,"-",IF(COUNTIF('Програма-кодове'!$C17:$AD17,$BA$2)=1,INDEX('Програма-кодове'!$C$1:$AD$1,1,MATCH($BA$2,'Програма-кодове'!$C17:$AD17,0)),"Дублаж"))</f>
        <v>-</v>
      </c>
      <c r="BB18" s="30" t="str">
        <f>IF(COUNTIF('Програма-кодове'!$C17:$AD17,$BB$2)=0,"-",IF(COUNTIF('Програма-кодове'!$C17:$AD17,$BB$2)=1,INDEX('Програма-кодове'!$C$1:$AD$1,1,MATCH($BB$2,'Програма-кодове'!$C17:$AD17,0)),"Дублаж"))</f>
        <v>-</v>
      </c>
      <c r="BC18" s="30" t="str">
        <f>IF(COUNTIF('Програма-кодове'!$C17:$AD17,$BC$2)=0,"-",IF(COUNTIF('Програма-кодове'!$C17:$AD17,$BC$2)=1,INDEX('Програма-кодове'!$C$1:$AD$1,1,MATCH($BC$2,'Програма-кодове'!$C17:$AD17,0)),"Дублаж"))</f>
        <v>-</v>
      </c>
      <c r="BD18" s="30" t="str">
        <f>IF(COUNTIF('Програма-кодове'!$C17:$AD17,$BD$2)=0,"-",IF(COUNTIF('Програма-кодове'!$C17:$AD17,$BD$2)=1,INDEX('Програма-кодове'!$C$1:$AD$1,1,MATCH($BD$2,'Програма-кодове'!$C17:$AD17,0)),"Дублаж"))</f>
        <v>10г</v>
      </c>
      <c r="BE18" s="30" t="str">
        <f>IF(COUNTIF('Програма-кодове'!$C17:$AD17,$BE$2)=0,"-",IF(COUNTIF('Програма-кодове'!$C17:$AD17,$BE$2)=1,INDEX('Програма-кодове'!$C$1:$AD$1,1,MATCH($BE$2,'Програма-кодове'!$C17:$AD17,0)),"Дублаж"))</f>
        <v>-</v>
      </c>
      <c r="BF18" s="30" t="str">
        <f>IF(COUNTIF('Програма-кодове'!$C17:$AD17,$BF$2)=0,"-",IF(COUNTIF('Програма-кодове'!$C17:$AD17,$BF$2)=1,INDEX('Програма-кодове'!$C$1:$AD$1,1,MATCH($BF$2,'Програма-кодове'!$C17:$AD17,0)),"Дублаж"))</f>
        <v>9а</v>
      </c>
      <c r="BG18" s="30" t="str">
        <f>IF(COUNTIF('Програма-кодове'!$C17:$AD17,$BG$2)=0,"-",IF(COUNTIF('Програма-кодове'!$C17:$AD17,$BG$2)=1,INDEX('Програма-кодове'!$C$1:$AD$1,1,MATCH($BG$2,'Програма-кодове'!$C17:$AD17,0)),"Дублаж"))</f>
        <v>-</v>
      </c>
      <c r="BH18" s="30" t="str">
        <f>IF(COUNTIF('Програма-кодове'!$C17:$AD17,$BH$2)=0,"-",IF(COUNTIF('Програма-кодове'!$C17:$AD17,$BH$2)=1,INDEX('Програма-кодове'!$C$1:$AD$1,1,MATCH($BH$2,'Програма-кодове'!$C17:$AD17,0)),"Дублаж"))</f>
        <v>-</v>
      </c>
      <c r="BI18" s="94" t="str">
        <f>IF(COUNTIF('Програма-кодове'!$C17:$AD17,$BI$2)=0,"-",IF(COUNTIF('Програма-кодове'!$C17:$AD17,$BI$2)=1,INDEX('Програма-кодове'!$C$1:$AD$1,1,MATCH($BI$2,'Програма-кодове'!$C17:$AD17,0)),IF('Програма-кодове'!Z17='Програма-кодове'!AA17,"12а,б","Дублаж")))</f>
        <v>-</v>
      </c>
      <c r="BJ18" s="94" t="str">
        <f>IF(COUNTIF('Програма-кодове'!$C17:$AD17,$BJ$2)=0,"-",IF(COUNTIF('Програма-кодове'!$C17:$AD17,$BJ$2)=1,INDEX('Програма-кодове'!$C$1:$AD$1,1,MATCH($BJ$2,'Програма-кодове'!$C17:$AD17,0)),"Дублаж"))</f>
        <v>-</v>
      </c>
      <c r="BK18" s="94" t="str">
        <f>IF(COUNTIF('Програма-кодове'!$C17:$AD17,$BK$2)=0,"-",IF(COUNTIF('Програма-кодове'!$C17:$AD17,$BK$2)=1,INDEX('Програма-кодове'!$C$1:$AD$1,1,MATCH($BK$2,'Програма-кодове'!$C17:$AD17,0)),IF('Програма-кодове'!K17='Програма-кодове'!O17,"9а,д",IF('Програма-кодове'!L17='Програма-кодове'!M17,"9б,в","Дублаж"))))</f>
        <v>-</v>
      </c>
      <c r="BL18" s="30">
        <f>IF(COUNTIF('Програма-кодове'!$C17:$AD17,$BL$2)=0,"-",IF(COUNTIF('Програма-кодове'!$C17:$AD17,$BL$2)=1,INDEX('Програма-кодове'!$C$1:$AD$1,1,MATCH($BL$2,'Програма-кодове'!$C17:$AD17,0)),"Дублаж"))</f>
        <v>6</v>
      </c>
      <c r="BM18" s="30" t="str">
        <f>IF(COUNTIF('Програма-кодове'!$C17:$AD17,$BM$2)=0,"-",IF(COUNTIF('Програма-кодове'!$C17:$AD17,$BM$2)=1,INDEX('Програма-кодове'!$C$1:$AD$1,1,MATCH($BM$2,'Програма-кодове'!$C17:$AD17,0)),"Дублаж"))</f>
        <v>-</v>
      </c>
      <c r="BN18" s="77" t="str">
        <f>IF(COUNTIF('Програма-кодове'!$C17:$AD17,$BN$2)=0,"-",IF(COUNTIF('Програма-кодове'!$C17:$AD17,$BN$2)=1,INDEX('Програма-кодове'!$C$1:$AD$1,1,MATCH($BN$2,'Програма-кодове'!$C17:$AD17,0)),IF(AND('Програма-кодове'!K17='Програма-кодове'!O17,'Програма-кодове'!K17&lt;&gt;""),"9а, д", IF(AND('Програма-кодове'!U17='Програма-кодове'!W17,'Програма-кодове'!U17&lt;&gt;""),"11а,в", "Дублаж"))))</f>
        <v>-</v>
      </c>
      <c r="BO18" s="77" t="str">
        <f>IF(COUNTIF('Програма-кодове'!$C17:$AD17,$BO$2)=0,"-",IF(COUNTIF('Програма-кодове'!$C17:$AD17,$BO$2)=1,INDEX('Програма-кодове'!$C$1:$AD$1,1,MATCH($BO$2,'Програма-кодове'!$C17:$AD17,0)),IF(AND('Програма-кодове'!U17='Програма-кодове'!W17,'Програма-кодове'!U17&lt;&gt;"" ),"11a,в","Дублаж")))</f>
        <v>-</v>
      </c>
      <c r="BP18" s="30" t="str">
        <f>IF(COUNTIF('Програма-кодове'!$C17:$AD17,$BP$2)=0,"-",IF(COUNTIF('Програма-кодове'!$C17:$AD17,$BP$2)=1,"9б,в,г","Дублаж"))</f>
        <v>-</v>
      </c>
      <c r="BQ18" s="30" t="str">
        <f>IF(COUNTIF('Програма-кодове'!$C17:$AD17,$BQ$2)=0,"-",IF(COUNTIF('Програма-кодове'!$C17:$AD17,$BQ$2)=1,INDEX('Програма-кодове'!$C$1:$AD$1,1,MATCH($BQ$2,'Програма-кодове'!$C17:$AD17,0)),"Дублаж"))</f>
        <v>11г</v>
      </c>
      <c r="BR18" s="30" t="str">
        <f>IF(COUNTIF('Програма-кодове'!$C17:$AD17,$BR$2)=0,"-",IF(COUNTIF('Програма-кодове'!$C17:$AD17,$BR$2)=1,INDEX('Програма-кодове'!$C$1:$AD$1,1,MATCH($BR$2,'Програма-кодове'!$C17:$AD17,0)),IF('Програма-кодове'!W17='Програма-кодове'!X17,"11б,в","Дублаж")))</f>
        <v>-</v>
      </c>
      <c r="BS18" s="30" t="str">
        <f>IF(COUNTIF('Програма-кодове'!$C17:$AD17,$BS$2)=0,"-",IF(COUNTIF('Програма-кодове'!$C17:$AD17,$BS$2)=1,INDEX('Програма-кодове'!$C$1:$AD$1,1,MATCH($BS$2,'Програма-кодове'!$C17:$AD17,0)),"Дублаж"))</f>
        <v>9д</v>
      </c>
      <c r="BT18" s="193" t="str">
        <f t="shared" si="17"/>
        <v>-</v>
      </c>
      <c r="BU18" s="30" t="str">
        <f>IF(COUNTIF('Програма-кодове'!$C17:$AD17,$BU$2)=0,"-",IF(COUNTIF('Програма-кодове'!$C17:$AD17,$BU$2)=1,INDEX('Програма-кодове'!$C$1:$AD$1,1,MATCH($BU$2,'Програма-кодове'!$C17:$AD17,0)),"Дублаж"))</f>
        <v>-</v>
      </c>
      <c r="BV18" s="30" t="str">
        <f>IF(COUNTIF('Програма-кодове'!$C17:$AD17,$BV$2)=0,"-",IF(COUNTIF('Програма-кодове'!$C17:$AD17,$BV$2)=1,INDEX('Програма-кодове'!$C$1:$AD$1,1,MATCH($BV$2,'Програма-кодове'!$C17:$AD17,0)),"Дублаж"))</f>
        <v>-</v>
      </c>
      <c r="BW18" s="30" t="str">
        <f>IF(COUNTIF('Програма-кодове'!$C17:$AD17,$BW$2)=0,"-",IF(COUNTIF('Програма-кодове'!$C17:$AD17,$BW$2)=1,INDEX('Програма-кодове'!$C$1:$AD$1,1,MATCH($BW$2,'Програма-кодове'!$C17:$AD17,0)),"Дублаж"))</f>
        <v>8б</v>
      </c>
      <c r="BX18" s="30" t="str">
        <f>IF(COUNTIF('Програма-кодове'!$C17:$AD17,$BX$2)=0,"-",IF(COUNTIF('Програма-кодове'!$C17:$AD17,$BX$2)=1,INDEX('Програма-кодове'!$C$1:$AD$1,1,MATCH($BX$2,'Програма-кодове'!$C17:$AD17,0)),"Дублаж"))</f>
        <v>-</v>
      </c>
      <c r="BY18" s="30" t="str">
        <f>IF(COUNTIF('Програма-кодове'!$C17:$AD17,$BY$2)=0,"-",IF(COUNTIF('Програма-кодове'!$C17:$AD17,$BY$2)=1,INDEX('Програма-кодове'!$C$1:$AD$1,1,MATCH($BY$2,'Програма-кодове'!$C17:$AD17,0)),"Дублаж"))</f>
        <v>-</v>
      </c>
      <c r="BZ18" s="30" t="str">
        <f>IF(COUNTIF('Програма-кодове'!$C17:$AD17,$BZ$2)=0,"-",IF(COUNTIF('Програма-кодове'!$C17:$AD17,$BZ$2)=1,INDEX('Програма-кодове'!$C$1:$AD$1,1,MATCH($BZ$2,'Програма-кодове'!$C17:$AD17,0)),"Дублаж"))</f>
        <v>10а</v>
      </c>
      <c r="CA18" s="30" t="str">
        <f>IF(COUNTIF('Програма-кодове'!$C17:$AD17,$CA$2)=0,"-",IF(COUNTIF('Програма-кодове'!$C17:$AD17,$CA$2)=1,INDEX('Програма-кодове'!$C$1:$AD$1,1,MATCH($CA$2,'Програма-кодове'!$C17:$AD17,0)),"Дублаж"))</f>
        <v>-</v>
      </c>
      <c r="CB18" s="30" t="str">
        <f>IF(COUNTIF('Програма-кодове'!$C17:$AD17,$CB$2)=0,"-",IF(COUNTIF('Програма-кодове'!$C17:$AD17,$CB$2)=1,INDEX('Програма-кодове'!$C$1:$AD$1,1,MATCH($CB$2,'Програма-кодове'!$C17:$AD17,0)),"Дублаж"))</f>
        <v>-</v>
      </c>
      <c r="CC18" s="30" t="str">
        <f>IF(COUNTIF('Програма-кодове'!$C17:$AD17,$CC$2)=0,"-",IF(COUNTIF('Програма-кодове'!$C17:$AD17,$CC$2)=1,INDEX('Програма-кодове'!$C$1:$AD$1,1,MATCH($CC$2,'Програма-кодове'!$C17:$AD17,0)),"Дублаж"))</f>
        <v>-</v>
      </c>
      <c r="CD18" s="30" t="str">
        <f>IF(COUNTIF('Програма-кодове'!$C17:$AD17,$CD$2)=0,"-",IF(COUNTIF('Програма-кодове'!$C17:$AD17,$CD$2)=1,INDEX('Програма-кодове'!$C$1:$AD$1,1,MATCH($CD$2,'Програма-кодове'!$C17:$AD17,0)),"Дублаж"))</f>
        <v>-</v>
      </c>
      <c r="CE18" s="30" t="str">
        <f>IF(COUNTIF('Програма-кодове'!$C17:$AD17,$CE$2)=0,"-",IF(COUNTIF('Програма-кодове'!$C17:$AD17,$CE$2)=1,INDEX('Програма-кодове'!$C$1:$AD$1,1,MATCH($CE$2,'Програма-кодове'!$C17:$AD17,0)),"Дублаж"))</f>
        <v>-</v>
      </c>
    </row>
    <row r="19" spans="1:83" ht="13.5" customHeight="1">
      <c r="A19" s="367"/>
      <c r="B19" s="330">
        <v>3</v>
      </c>
      <c r="C19" s="194" t="str">
        <f>IF(COUNTIF('Програма-кодове'!$C18:$AD18,$C$2)=0,"-",IF(COUNTIF('Програма-кодове'!$C18:$AD18,$C$2)=1,INDEX('Програма-кодове'!$C$1:$AD$1,1,MATCH($C$2,'Програма-кодове'!$C18:$AD18,0)),"Дублаж"))</f>
        <v>-</v>
      </c>
      <c r="D19" s="194" t="str">
        <f>IF(COUNTIF('Програма-кодове'!$C18:$AD18,$D$2)=0,"-",IF(COUNTIF('Програма-кодове'!$C18:$AD18,$D$2)=1,INDEX('Програма-кодове'!$C$1:$AD$1,1,MATCH($D$2,'Програма-кодове'!$C18:$AD18,0)),"Дублаж"))</f>
        <v>-</v>
      </c>
      <c r="E19" s="194">
        <f>IF(COUNTIF('Програма-кодове'!$C18:$AD18,$E$2)=0,"-",IF(COUNTIF('Програма-кодове'!$C18:$AD18,$E$2)=1,INDEX('Програма-кодове'!$C$1:$AD$1,1,MATCH($E$2,'Програма-кодове'!$C18:$AD18,0)),"Дублаж"))</f>
        <v>6</v>
      </c>
      <c r="F19" s="194" t="str">
        <f>IF(COUNTIF('Програма-кодове'!$C18:$AD18,$F$2)=0,"-",IF(COUNTIF('Програма-кодове'!$C18:$AD18,$F$2)=1,INDEX('Програма-кодове'!$C$1:$AD$1,1,MATCH($F$2,'Програма-кодове'!$C18:$AD18,0)),"Дублаж"))</f>
        <v>-</v>
      </c>
      <c r="G19" s="194" t="str">
        <f>IF(COUNTIF('Програма-кодове'!$C18:$AD18,$G$2)=0,"-",IF(COUNTIF('Програма-кодове'!$C18:$AD18,$G$2)=1,INDEX('Програма-кодове'!$C$1:$AD$1,1,MATCH($G$2,'Програма-кодове'!$C18:$AD18,0)),"Дублаж"))</f>
        <v>12в</v>
      </c>
      <c r="H19" s="316" t="str">
        <f>IF(COUNTIF('Програма-кодове'!$C18:$AD18,$H$2)=0,"-",IF(COUNTIF('Програма-кодове'!$C18:$AD18,$H$2)=1,INDEX('Програма-кодове'!$C$1:$AD$1,1,MATCH($H$2,'Програма-кодове'!$C18:$AD18,0)),"Дублаж"))</f>
        <v>-</v>
      </c>
      <c r="I19" s="194" t="str">
        <f>IF(COUNTIF('Програма-кодове'!$C18:$AD18,$I$2)=0,"-",IF(COUNTIF('Програма-кодове'!$C18:$AD18,$I$2)=1,INDEX('Програма-кодове'!$C$1:$AD$1,1,MATCH($I$2,'Програма-кодове'!$C18:$AD18,0)),"Дублаж"))</f>
        <v>-</v>
      </c>
      <c r="J19" s="194" t="str">
        <f>IF(COUNTIF('Програма-кодове'!$C18:$AD18,$J$2)=0,"-",IF(COUNTIF('Програма-кодове'!$C18:$AD18,$J$2)=1,INDEX('Програма-кодове'!$C$1:$AD$1,1,MATCH($J$2,'Програма-кодове'!$C18:$AD18,0)),"Дублаж"))</f>
        <v>8г</v>
      </c>
      <c r="K19" s="194" t="str">
        <f>IF(COUNTIF('Програма-кодове'!$C18:$AD18,$K$2)=0,"-",IF(COUNTIF('Програма-кодове'!$C18:$AD18,$K$2)=1,INDEX('Програма-кодове'!$C$1:$AD$1,1,MATCH($K$2,'Програма-кодове'!$C18:$AD18,0)),"Дублаж"))</f>
        <v>-</v>
      </c>
      <c r="L19" s="194" t="str">
        <f>IF(COUNTIF('Програма-кодове'!$C18:$AD18,$L$2)=0,"-",IF(COUNTIF('Програма-кодове'!$C18:$AD18,$L$2)=1,INDEX('Програма-кодове'!$C$1:$AD$1,1,MATCH($L$2,'Програма-кодове'!$C18:$AD18,0)),"Дублаж"))</f>
        <v>10д</v>
      </c>
      <c r="M19" s="194" t="str">
        <f>IF(COUNTIF('Програма-кодове'!$C18:$AD18,$M$2)=0,"-",IF(COUNTIF('Програма-кодове'!$C18:$AD18,$M$2)=1,INDEX('Програма-кодове'!$C$1:$AD$1,1,MATCH($M$2,'Програма-кодове'!$C18:$AD18,0)),"Дублаж"))</f>
        <v>8б</v>
      </c>
      <c r="N19" s="94" t="str">
        <f>IF(COUNTIF('Програма-кодове'!$C18:$AD18,$N$2)=0,"-",IF(COUNTIF('Програма-кодове'!$C18:$AD18,$N$2)=1,INDEX('Програма-кодове'!$C$1:$AD$1,1,MATCH($N$2,'Програма-кодове'!$C18:$AD18,0)),"Дублаж"))</f>
        <v>-</v>
      </c>
      <c r="O19" s="194">
        <f>IF(COUNTIF('Програма-кодове'!$C18:$AD18,$O$2)=0,"-",IF(COUNTIF('Програма-кодове'!$C18:$AD18,$O$2)=1,INDEX('Програма-кодове'!$C$1:$AD$1,1,MATCH($O$2,'Програма-кодове'!$C18:$AD18,0)),"Дублаж"))</f>
        <v>5</v>
      </c>
      <c r="P19" s="194" t="str">
        <f>IF(COUNTIF('Програма-кодове'!$C18:$AD18,$P$2)=0,"-",IF(COUNTIF('Програма-кодове'!$C18:$AD18,$P$2)=1,INDEX('Програма-кодове'!$C$1:$AD$1,1,MATCH($P$2,'Програма-кодове'!$C18:$AD18,0)),"Дублаж"))</f>
        <v>8a</v>
      </c>
      <c r="Q19" s="316" t="str">
        <f>IF(COUNTIF('Програма-кодове'!$C18:$AD18,$Q$2)=0,"-",IF(COUNTIF('Програма-кодове'!$C18:$AD18,$Q$2)=1,INDEX('Програма-кодове'!$C$1:$AD$1,1,MATCH($Q$2,'Програма-кодове'!$C18:$AD18,0)),"Дублаж"))</f>
        <v>9в</v>
      </c>
      <c r="R19" s="193" t="str">
        <f t="shared" si="0"/>
        <v>-</v>
      </c>
      <c r="S19" s="193" t="str">
        <f t="shared" si="3"/>
        <v>12г</v>
      </c>
      <c r="T19" s="193" t="str">
        <f t="shared" si="4"/>
        <v>-</v>
      </c>
      <c r="U19" s="194" t="str">
        <f>IF(COUNTIF('Програма-кодове'!$C18:$AD18,$U$2)=0,"-",IF(COUNTIF('Програма-кодове'!$C18:$AD18,$U$2)=1,INDEX('Програма-кодове'!$C$1:$AD$1,1,MATCH($U$2,'Програма-кодове'!$C18:$AD18,0)),"Дублаж"))</f>
        <v>11а</v>
      </c>
      <c r="V19" s="194" t="str">
        <f>IF(COUNTIF('Програма-кодове'!$C18:$AD18,$V$2)=0,"-",IF(COUNTIF('Програма-кодове'!$C18:$AD18,$V$2)=1,INDEX('Програма-кодове'!$C$1:$AD$1,1,MATCH($V$2,'Програма-кодове'!$C18:$AD18,0)),"Дублаж"))</f>
        <v>8в</v>
      </c>
      <c r="W19" s="194" t="str">
        <f>IF(COUNTIF('Програма-кодове'!$C18:$AD18,$W$2)=0,"-",IF(COUNTIF('Програма-кодове'!$C18:$AD18,$W$2)=1,INDEX('Програма-кодове'!$C$1:$AD$1,1,MATCH($W$2,'Програма-кодове'!$C18:$AD18,0)),"Дублаж"))</f>
        <v>10а</v>
      </c>
      <c r="X19" s="194" t="str">
        <f>IF(COUNTIF('Програма-кодове'!$C18:$AD18,$X$2)=0,"-",IF(COUNTIF('Програма-кодове'!$C18:$AD18,$X$2)=1,INDEX('Програма-кодове'!$C$1:$AD$1,1,MATCH($X$2,'Програма-кодове'!$C18:$AD18,0)),"Дублаж"))</f>
        <v>9б</v>
      </c>
      <c r="Y19" s="194" t="str">
        <f>IF(COUNTIF('Програма-кодове'!$C18:$AD18,$Y$2)=0,"-",IF(COUNTIF('Програма-кодове'!$C18:$AD18,$Y$2)=1,INDEX('Програма-кодове'!$C$1:$AD$1,1,MATCH($Y$2,'Програма-кодове'!$C18:$AD18,0)),"Дублаж"))</f>
        <v>11в</v>
      </c>
      <c r="Z19" s="194" t="str">
        <f>IF(COUNTIF('Програма-кодове'!$C18:$AD18,$Z$2)=0,"-",IF(COUNTIF('Програма-кодове'!$C18:$AD18,$Z$2)=1,INDEX('Програма-кодове'!$C$1:$AD$1,1,MATCH($Z$2,'Програма-кодове'!$C18:$AD18,0)),"Дублаж"))</f>
        <v>10г</v>
      </c>
      <c r="AA19" s="193" t="str">
        <f t="shared" si="5"/>
        <v>12б</v>
      </c>
      <c r="AB19" s="193" t="str">
        <f t="shared" si="6"/>
        <v>-</v>
      </c>
      <c r="AC19" s="193" t="str">
        <f t="shared" si="7"/>
        <v>10б</v>
      </c>
      <c r="AD19" s="193" t="str">
        <f t="shared" si="8"/>
        <v>10б</v>
      </c>
      <c r="AE19" s="193" t="str">
        <f t="shared" si="9"/>
        <v>12б</v>
      </c>
      <c r="AF19" s="193" t="str">
        <f t="shared" si="10"/>
        <v>11б</v>
      </c>
      <c r="AG19" s="193">
        <f>IF(BA19&lt;&gt;"-",IF(AND(BC19="-",BG19="-",BF19="-",BM19="-",BI19="-"),BA19,"Дублаж"),IF(BC19&lt;&gt;"-",IF(AND(BG19="-",BF19="-",BM19="-",BI19="-"),BC19,"Дублаж"),IF(BG19&lt;&gt;"-",IF(AND(BF19="-",BM19="-",BI19="-"),BG19,"Дублаж"),IF(BF19&lt;&gt;"-",IF(AND(BM19="-",BI19="-"),BF19,"Дублаж"),IF(BM19&lt;&gt;"-",IF(BI19="-",BM19,BI19),BI19)))))</f>
        <v>7</v>
      </c>
      <c r="AH19" s="193" t="str">
        <f t="shared" si="12"/>
        <v>11б</v>
      </c>
      <c r="AI19" s="196" t="str">
        <f t="shared" si="13"/>
        <v>11д</v>
      </c>
      <c r="AJ19" s="193" t="str">
        <f t="shared" si="14"/>
        <v>-</v>
      </c>
      <c r="AK19" s="194" t="str">
        <f>IF(COUNTIF('Програма-кодове'!$C18:$AD18,$AK$2)=0,"-",IF(COUNTIF('Програма-кодове'!$C18:$AD18,$AK$2)=1,INDEX('Програма-кодове'!$C$1:$AD$1,1,MATCH($AK$2,'Програма-кодове'!$C18:$AD18,0)),"Дублаж"))</f>
        <v>10в</v>
      </c>
      <c r="AL19" s="194" t="str">
        <f>IF(COUNTIF('Програма-кодове'!$C18:$AD18,$AL$2)=0,"-",IF(COUNTIF('Програма-кодове'!$C18:$AD18,$AL$2)=1,INDEX('Програма-кодове'!$C$1:$AD$1,1,MATCH($AL$2,'Програма-кодове'!$C18:$AD18,0)),"Дублаж"))</f>
        <v>9а</v>
      </c>
      <c r="AM19" s="317" t="str">
        <f>IF(COUNTIF('Програма-кодове'!$C18:$AD18,$AM$2)=0,"-",IF(COUNTIF('Програма-кодове'!$C18:$AD18,$AM$2)=1,INDEX('Програма-кодове'!$C$1:$AD$1,1,MATCH($AM$2,'Програма-кодове'!$C18:$AD18,0)),"Дублаж"))</f>
        <v>-</v>
      </c>
      <c r="AN19" s="193" t="str">
        <f>IF(COUNTIF('Програма-кодове'!$C18:$AD18,$AN$2)=0,"-",IF(COUNTIF('Програма-кодове'!$C18:$AD18,$AN$2)=1,INDEX('Програма-кодове'!$C$1:$AD$1,1,MATCH($AN$2,'Програма-кодове'!$C18:$AD18,0)),"Дублаж"))</f>
        <v>-</v>
      </c>
      <c r="AO19" s="193" t="str">
        <f>IF(COUNTIF('Програма-кодове'!$C18:$AD18,$AO$2)=0,"-",IF(COUNTIF('Програма-кодове'!$C18:$AD18,$AO$2)=1,INDEX('Програма-кодове'!$C$1:$AD$1,1,MATCH($AO$2,'Програма-кодове'!$C18:$AD18,0)),"Дублаж"))</f>
        <v>9д</v>
      </c>
      <c r="AP19" s="193" t="str">
        <f>IF(COUNTIF('Програма-кодове'!$C18:$AD18,$AP$2)=0,"-",IF(COUNTIF('Програма-кодове'!$C18:$AD18,$AP$2)=1,INDEX('Програма-кодове'!$C$1:$AD$1,1,MATCH($AP$2,'Програма-кодове'!$C18:$AD18,0)),"Дублаж"))</f>
        <v>-</v>
      </c>
      <c r="AQ19" s="193" t="str">
        <f>IF(AND(CA19&lt;&gt;"-",CB19&lt;&gt;"-"),"Дублаж",IF(CA19&lt;&gt;"-",CA19,CB19))</f>
        <v>-</v>
      </c>
      <c r="AR19" s="193" t="str">
        <f>IF(COUNTIF('Програма-кодове'!$C18:$AD18,$AR$2)=0,"-",IF(COUNTIF('Програма-кодове'!$C18:$AD18,$AR$2)=1,INDEX('Програма-кодове'!$C$1:$AD$1,1,MATCH($AR$2,'Програма-кодове'!$C18:$AD18,0)),"Дублаж"))</f>
        <v>-</v>
      </c>
      <c r="AS19" s="193" t="str">
        <f>IF(COUNTIF('Програма-кодове'!$C18:$AD18,$AS$2)=0,"-",IF(COUNTIF('Програма-кодове'!$C18:$AD18,$AS$2)=1,INDEX('Програма-кодове'!$C$1:$AD$1,1,MATCH($AS$2,'Програма-кодове'!$C18:$AD18,0)),"Дублаж"))</f>
        <v>-</v>
      </c>
      <c r="AT19" s="193" t="str">
        <f>IF(COUNTIF('Програма-кодове'!$C18:$AD18,$AT$2)=0,"-",IF(COUNTIF('Програма-кодове'!$C18:$AD18,$AT$2)=1,INDEX('Програма-кодове'!$C$1:$AD$1,1,MATCH($AT$2,'Програма-кодове'!$C18:$AD18,0)),"Дублаж"))</f>
        <v>12д</v>
      </c>
      <c r="AU19" s="194" t="str">
        <f t="shared" si="22"/>
        <v>8д</v>
      </c>
      <c r="AV19" s="94">
        <f t="shared" si="2"/>
        <v>7</v>
      </c>
      <c r="AW19" s="194" t="str">
        <f>IF(COUNTIF('Програма-кодове'!$C18:$AD18,$AW$2)=0,"-",IF(COUNTIF('Програма-кодове'!$C18:$AD18,$AW$2)=1,INDEX('Програма-кодове'!$C$1:$AD$1,1,MATCH($AW$2,'Програма-кодове'!$C18:$AD18,0)),"Дублаж"))</f>
        <v>11г</v>
      </c>
      <c r="AX19" s="194" t="str">
        <f>IF(COUNTIF('Програма-кодове'!$C18:$AD18,$AX$2)=0,"-",IF(COUNTIF('Програма-кодове'!$C18:$AD18,$AX$2)=1,INDEX('Програма-кодове'!$C$1:$AD$1,1,MATCH($AX$2,'Програма-кодове'!$C18:$AD18,0)),"Дублаж"))</f>
        <v>-</v>
      </c>
      <c r="AY19" s="194" t="str">
        <f>IF(COUNTIF('Програма-кодове'!$C18:$AD18,$AY$2)=0,"-",IF(COUNTIF('Програма-кодове'!$C18:$AD18,$AY$2)=1,INDEX('Програма-кодове'!$C$1:$AD$1,1,MATCH($AY$2,'Програма-кодове'!$C18:$AD18,0)),"Дублаж"))</f>
        <v>12а</v>
      </c>
      <c r="AZ19" s="317" t="str">
        <f t="shared" si="16"/>
        <v>9г</v>
      </c>
      <c r="BA19" s="30" t="str">
        <f>IF(COUNTIF('Програма-кодове'!$C18:$AD18,$BA$2)=0,"-",IF(COUNTIF('Програма-кодове'!$C18:$AD18,$BA$2)=1,INDEX('Програма-кодове'!$C$1:$AD$1,1,MATCH($BA$2,'Програма-кодове'!$C18:$AD18,0)),"Дублаж"))</f>
        <v>-</v>
      </c>
      <c r="BB19" s="30" t="str">
        <f>IF(COUNTIF('Програма-кодове'!$C18:$AD18,$BB$2)=0,"-",IF(COUNTIF('Програма-кодове'!$C18:$AD18,$BB$2)=1,INDEX('Програма-кодове'!$C$1:$AD$1,1,MATCH($BB$2,'Програма-кодове'!$C18:$AD18,0)),"Дублаж"))</f>
        <v>-</v>
      </c>
      <c r="BC19" s="30" t="str">
        <f>IF(COUNTIF('Програма-кодове'!$C18:$AD18,$BC$2)=0,"-",IF(COUNTIF('Програма-кодове'!$C18:$AD18,$BC$2)=1,INDEX('Програма-кодове'!$C$1:$AD$1,1,MATCH($BC$2,'Програма-кодове'!$C18:$AD18,0)),"Дублаж"))</f>
        <v>-</v>
      </c>
      <c r="BD19" s="30" t="str">
        <f>IF(COUNTIF('Програма-кодове'!$C18:$AD18,$BD$2)=0,"-",IF(COUNTIF('Програма-кодове'!$C18:$AD18,$BD$2)=1,INDEX('Програма-кодове'!$C$1:$AD$1,1,MATCH($BD$2,'Програма-кодове'!$C18:$AD18,0)),"Дублаж"))</f>
        <v>10б</v>
      </c>
      <c r="BE19" s="30" t="str">
        <f>IF(COUNTIF('Програма-кодове'!$C18:$AD18,$BE$2)=0,"-",IF(COUNTIF('Програма-кодове'!$C18:$AD18,$BE$2)=1,INDEX('Програма-кодове'!$C$1:$AD$1,1,MATCH($BE$2,'Програма-кодове'!$C18:$AD18,0)),"Дублаж"))</f>
        <v>11б</v>
      </c>
      <c r="BF19" s="30" t="str">
        <f>IF(COUNTIF('Програма-кодове'!$C18:$AD18,$BF$2)=0,"-",IF(COUNTIF('Програма-кодове'!$C18:$AD18,$BF$2)=1,INDEX('Програма-кодове'!$C$1:$AD$1,1,MATCH($BF$2,'Програма-кодове'!$C18:$AD18,0)),"Дублаж"))</f>
        <v>-</v>
      </c>
      <c r="BG19" s="30" t="str">
        <f>IF(COUNTIF('Програма-кодове'!$C18:$AD18,$BG$2)=0,"-",IF(COUNTIF('Програма-кодове'!$C18:$AD18,$BG$2)=1,INDEX('Програма-кодове'!$C$1:$AD$1,1,MATCH($BG$2,'Програма-кодове'!$C18:$AD18,0)),"Дублаж"))</f>
        <v>-</v>
      </c>
      <c r="BH19" s="30" t="str">
        <f>IF(COUNTIF('Програма-кодове'!$C18:$AD18,$BH$2)=0,"-",IF(COUNTIF('Програма-кодове'!$C18:$AD18,$BH$2)=1,INDEX('Програма-кодове'!$C$1:$AD$1,1,MATCH($BH$2,'Програма-кодове'!$C18:$AD18,0)),"Дублаж"))</f>
        <v>12б</v>
      </c>
      <c r="BI19" s="94" t="str">
        <f>IF(COUNTIF('Програма-кодове'!$C18:$AD18,$BI$2)=0,"-",IF(COUNTIF('Програма-кодове'!$C18:$AD18,$BI$2)=1,INDEX('Програма-кодове'!$C$1:$AD$1,1,MATCH($BI$2,'Програма-кодове'!$C18:$AD18,0)),IF('Програма-кодове'!Z18='Програма-кодове'!AA18,"12а,б","Дублаж")))</f>
        <v>-</v>
      </c>
      <c r="BJ19" s="94" t="str">
        <f>IF(COUNTIF('Програма-кодове'!$C18:$AD18,$BJ$2)=0,"-",IF(COUNTIF('Програма-кодове'!$C18:$AD18,$BJ$2)=1,INDEX('Програма-кодове'!$C$1:$AD$1,1,MATCH($BJ$2,'Програма-кодове'!$C18:$AD18,0)),"Дублаж"))</f>
        <v>-</v>
      </c>
      <c r="BK19" s="94" t="str">
        <f>IF(COUNTIF('Програма-кодове'!$C18:$AD18,$BK$2)=0,"-",IF(COUNTIF('Програма-кодове'!$C18:$AD18,$BK$2)=1,INDEX('Програма-кодове'!$C$1:$AD$1,1,MATCH($BK$2,'Програма-кодове'!$C18:$AD18,0)),IF('Програма-кодове'!K18='Програма-кодове'!O18,"9а,д",IF('Програма-кодове'!L18='Програма-кодове'!M18,"9б,в","Дублаж"))))</f>
        <v>-</v>
      </c>
      <c r="BL19" s="30" t="str">
        <f>IF(COUNTIF('Програма-кодове'!$C18:$AD18,$BL$2)=0,"-",IF(COUNTIF('Програма-кодове'!$C18:$AD18,$BL$2)=1,INDEX('Програма-кодове'!$C$1:$AD$1,1,MATCH($BL$2,'Програма-кодове'!$C18:$AD18,0)),"Дублаж"))</f>
        <v>-</v>
      </c>
      <c r="BM19" s="30">
        <f>IF(COUNTIF('Програма-кодове'!$C18:$AD18,$BM$2)=0,"-",IF(COUNTIF('Програма-кодове'!$C18:$AD18,$BM$2)=1,INDEX('Програма-кодове'!$C$1:$AD$1,1,MATCH($BM$2,'Програма-кодове'!$C18:$AD18,0)),"Дублаж"))</f>
        <v>7</v>
      </c>
      <c r="BN19" s="77" t="str">
        <f>IF(COUNTIF('Програма-кодове'!$C18:$AD18,$BN$2)=0,"-",IF(COUNTIF('Програма-кодове'!$C18:$AD18,$BN$2)=1,INDEX('Програма-кодове'!$C$1:$AD$1,1,MATCH($BN$2,'Програма-кодове'!$C18:$AD18,0)),IF(AND('Програма-кодове'!K18='Програма-кодове'!O18,'Програма-кодове'!K18&lt;&gt;""),"9а, д", IF(AND('Програма-кодове'!U18='Програма-кодове'!W18,'Програма-кодове'!U18&lt;&gt;""),"11а,в", "Дублаж"))))</f>
        <v>-</v>
      </c>
      <c r="BO19" s="77" t="str">
        <f>IF(COUNTIF('Програма-кодове'!$C18:$AD18,$BO$2)=0,"-",IF(COUNTIF('Програма-кодове'!$C18:$AD18,$BO$2)=1,INDEX('Програма-кодове'!$C$1:$AD$1,1,MATCH($BO$2,'Програма-кодове'!$C18:$AD18,0)),IF(AND('Програма-кодове'!U18='Програма-кодове'!W18,'Програма-кодове'!U18&lt;&gt;"" ),"11a,в","Дублаж")))</f>
        <v>-</v>
      </c>
      <c r="BP19" s="30" t="str">
        <f>IF(COUNTIF('Програма-кодове'!$C18:$AD18,$BP$2)=0,"-",IF(COUNTIF('Програма-кодове'!$C18:$AD18,$BP$2)=1,"9б,в,г","Дублаж"))</f>
        <v>-</v>
      </c>
      <c r="BQ19" s="30" t="str">
        <f>IF(COUNTIF('Програма-кодове'!$C18:$AD18,$BQ$2)=0,"-",IF(COUNTIF('Програма-кодове'!$C18:$AD18,$BQ$2)=1,INDEX('Програма-кодове'!$C$1:$AD$1,1,MATCH($BQ$2,'Програма-кодове'!$C18:$AD18,0)),"Дублаж"))</f>
        <v>12г</v>
      </c>
      <c r="BR19" s="30" t="str">
        <f>IF(COUNTIF('Програма-кодове'!$C18:$AD18,$BR$2)=0,"-",IF(COUNTIF('Програма-кодове'!$C18:$AD18,$BR$2)=1,INDEX('Програма-кодове'!$C$1:$AD$1,1,MATCH($BR$2,'Програма-кодове'!$C18:$AD18,0)),IF('Програма-кодове'!W18='Програма-кодове'!X18,"11б,в","Дублаж")))</f>
        <v>-</v>
      </c>
      <c r="BS19" s="30" t="str">
        <f>IF(COUNTIF('Програма-кодове'!$C18:$AD18,$BS$2)=0,"-",IF(COUNTIF('Програма-кодове'!$C18:$AD18,$BS$2)=1,INDEX('Програма-кодове'!$C$1:$AD$1,1,MATCH($BS$2,'Програма-кодове'!$C18:$AD18,0)),"Дублаж"))</f>
        <v>9г</v>
      </c>
      <c r="BT19" s="193" t="str">
        <f t="shared" si="17"/>
        <v>-</v>
      </c>
      <c r="BU19" s="30" t="str">
        <f>IF(COUNTIF('Програма-кодове'!$C18:$AD18,$BU$2)=0,"-",IF(COUNTIF('Програма-кодове'!$C18:$AD18,$BU$2)=1,INDEX('Програма-кодове'!$C$1:$AD$1,1,MATCH($BU$2,'Програма-кодове'!$C18:$AD18,0)),"Дублаж"))</f>
        <v>-</v>
      </c>
      <c r="BV19" s="30" t="str">
        <f>IF(COUNTIF('Програма-кодове'!$C18:$AD18,$BV$2)=0,"-",IF(COUNTIF('Програма-кодове'!$C18:$AD18,$BV$2)=1,INDEX('Програма-кодове'!$C$1:$AD$1,1,MATCH($BV$2,'Програма-кодове'!$C18:$AD18,0)),"Дублаж"))</f>
        <v>-</v>
      </c>
      <c r="BW19" s="30" t="str">
        <f>IF(COUNTIF('Програма-кодове'!$C18:$AD18,$BW$2)=0,"-",IF(COUNTIF('Програма-кодове'!$C18:$AD18,$BW$2)=1,INDEX('Програма-кодове'!$C$1:$AD$1,1,MATCH($BW$2,'Програма-кодове'!$C18:$AD18,0)),"Дублаж"))</f>
        <v>8д</v>
      </c>
      <c r="BX19" s="30" t="str">
        <f>IF(COUNTIF('Програма-кодове'!$C18:$AD18,$BX$2)=0,"-",IF(COUNTIF('Програма-кодове'!$C18:$AD18,$BX$2)=1,INDEX('Програма-кодове'!$C$1:$AD$1,1,MATCH($BX$2,'Програма-кодове'!$C18:$AD18,0)),"Дублаж"))</f>
        <v>-</v>
      </c>
      <c r="BY19" s="30" t="str">
        <f>IF(COUNTIF('Програма-кодове'!$C18:$AD18,$BY$2)=0,"-",IF(COUNTIF('Програма-кодове'!$C18:$AD18,$BY$2)=1,INDEX('Програма-кодове'!$C$1:$AD$1,1,MATCH($BY$2,'Програма-кодове'!$C18:$AD18,0)),"Дублаж"))</f>
        <v>11д</v>
      </c>
      <c r="BZ19" s="30" t="str">
        <f>IF(COUNTIF('Програма-кодове'!$C18:$AD18,$BZ$2)=0,"-",IF(COUNTIF('Програма-кодове'!$C18:$AD18,$BZ$2)=1,INDEX('Програма-кодове'!$C$1:$AD$1,1,MATCH($BZ$2,'Програма-кодове'!$C18:$AD18,0)),"Дублаж"))</f>
        <v>-</v>
      </c>
      <c r="CA19" s="30" t="str">
        <f>IF(COUNTIF('Програма-кодове'!$C18:$AD18,$CA$2)=0,"-",IF(COUNTIF('Програма-кодове'!$C18:$AD18,$CA$2)=1,INDEX('Програма-кодове'!$C$1:$AD$1,1,MATCH($CA$2,'Програма-кодове'!$C18:$AD18,0)),"Дублаж"))</f>
        <v>-</v>
      </c>
      <c r="CB19" s="30" t="str">
        <f>IF(COUNTIF('Програма-кодове'!$C18:$AD18,$CB$2)=0,"-",IF(COUNTIF('Програма-кодове'!$C18:$AD18,$CB$2)=1,INDEX('Програма-кодове'!$C$1:$AD$1,1,MATCH($CB$2,'Програма-кодове'!$C18:$AD18,0)),"Дублаж"))</f>
        <v>-</v>
      </c>
      <c r="CC19" s="30" t="str">
        <f>IF(COUNTIF('Програма-кодове'!$C18:$AD18,$CC$2)=0,"-",IF(COUNTIF('Програма-кодове'!$C18:$AD18,$CC$2)=1,INDEX('Програма-кодове'!$C$1:$AD$1,1,MATCH($CC$2,'Програма-кодове'!$C18:$AD18,0)),"Дублаж"))</f>
        <v>-</v>
      </c>
      <c r="CD19" s="30" t="str">
        <f>IF(COUNTIF('Програма-кодове'!$C18:$AD18,$CD$2)=0,"-",IF(COUNTIF('Програма-кодове'!$C18:$AD18,$CD$2)=1,INDEX('Програма-кодове'!$C$1:$AD$1,1,MATCH($CD$2,'Програма-кодове'!$C18:$AD18,0)),"Дублаж"))</f>
        <v>-</v>
      </c>
      <c r="CE19" s="30" t="str">
        <f>IF(COUNTIF('Програма-кодове'!$C18:$AD18,$CE$2)=0,"-",IF(COUNTIF('Програма-кодове'!$C18:$AD18,$CE$2)=1,INDEX('Програма-кодове'!$C$1:$AD$1,1,MATCH($CE$2,'Програма-кодове'!$C18:$AD18,0)),"Дублаж"))</f>
        <v>-</v>
      </c>
    </row>
    <row r="20" spans="1:83" ht="12" customHeight="1">
      <c r="A20" s="367"/>
      <c r="B20" s="330">
        <v>4</v>
      </c>
      <c r="C20" s="194" t="str">
        <f>IF(COUNTIF('Програма-кодове'!$C19:$AD19,$C$2)=0,"-",IF(COUNTIF('Програма-кодове'!$C19:$AD19,$C$2)=1,INDEX('Програма-кодове'!$C$1:$AD$1,1,MATCH($C$2,'Програма-кодове'!$C19:$AD19,0)),"Дублаж"))</f>
        <v>-</v>
      </c>
      <c r="D20" s="194" t="str">
        <f>IF(COUNTIF('Програма-кодове'!$C19:$AD19,$D$2)=0,"-",IF(COUNTIF('Програма-кодове'!$C19:$AD19,$D$2)=1,INDEX('Програма-кодове'!$C$1:$AD$1,1,MATCH($D$2,'Програма-кодове'!$C19:$AD19,0)),"Дублаж"))</f>
        <v>-</v>
      </c>
      <c r="E20" s="194">
        <f>IF(COUNTIF('Програма-кодове'!$C19:$AD19,$E$2)=0,"-",IF(COUNTIF('Програма-кодове'!$C19:$AD19,$E$2)=1,INDEX('Програма-кодове'!$C$1:$AD$1,1,MATCH($E$2,'Програма-кодове'!$C19:$AD19,0)),"Дублаж"))</f>
        <v>7</v>
      </c>
      <c r="F20" s="194" t="str">
        <f>IF(COUNTIF('Програма-кодове'!$C19:$AD19,$F$2)=0,"-",IF(COUNTIF('Програма-кодове'!$C19:$AD19,$F$2)=1,INDEX('Програма-кодове'!$C$1:$AD$1,1,MATCH($F$2,'Програма-кодове'!$C19:$AD19,0)),"Дублаж"))</f>
        <v>-</v>
      </c>
      <c r="G20" s="346" t="str">
        <f>IF(COUNTIF('Програма-кодове'!$C19:$AD19,$G$2)=0,"-",IF(COUNTIF('Програма-кодове'!$C19:$AD19,$G$2)=1,INDEX('Програма-кодове'!$C$1:$AD$1,1,MATCH($G$2,'Програма-кодове'!$C19:$AD19,0)),"Дублаж"))</f>
        <v>-</v>
      </c>
      <c r="H20" s="316" t="str">
        <f>IF(COUNTIF('Програма-кодове'!$C19:$AD19,$H$2)=0,"-",IF(COUNTIF('Програма-кодове'!$C19:$AD19,$H$2)=1,INDEX('Програма-кодове'!$C$1:$AD$1,1,MATCH($H$2,'Програма-кодове'!$C19:$AD19,0)),"Дублаж"))</f>
        <v>-</v>
      </c>
      <c r="I20" s="194" t="str">
        <f>IF(COUNTIF('Програма-кодове'!$C19:$AD19,$I$2)=0,"-",IF(COUNTIF('Програма-кодове'!$C19:$AD19,$I$2)=1,INDEX('Програма-кодове'!$C$1:$AD$1,1,MATCH($I$2,'Програма-кодове'!$C19:$AD19,0)),"Дублаж"))</f>
        <v>-</v>
      </c>
      <c r="J20" s="194" t="str">
        <f>IF(COUNTIF('Програма-кодове'!$C19:$AD19,$J$2)=0,"-",IF(COUNTIF('Програма-кодове'!$C19:$AD19,$J$2)=1,INDEX('Програма-кодове'!$C$1:$AD$1,1,MATCH($J$2,'Програма-кодове'!$C19:$AD19,0)),"Дублаж"))</f>
        <v>8г</v>
      </c>
      <c r="K20" s="194" t="str">
        <f>IF(COUNTIF('Програма-кодове'!$C19:$AD19,$K$2)=0,"-",IF(COUNTIF('Програма-кодове'!$C19:$AD19,$K$2)=1,INDEX('Програма-кодове'!$C$1:$AD$1,1,MATCH($K$2,'Програма-кодове'!$C19:$AD19,0)),"Дублаж"))</f>
        <v>12б</v>
      </c>
      <c r="L20" s="194" t="str">
        <f>IF(COUNTIF('Програма-кодове'!$C19:$AD19,$L$2)=0,"-",IF(COUNTIF('Програма-кодове'!$C19:$AD19,$L$2)=1,INDEX('Програма-кодове'!$C$1:$AD$1,1,MATCH($L$2,'Програма-кодове'!$C19:$AD19,0)),"Дублаж"))</f>
        <v>10д</v>
      </c>
      <c r="M20" s="203" t="str">
        <f>IF(COUNTIF('Програма-кодове'!$C19:$AD19,$M$2)=0,"-",IF(COUNTIF('Програма-кодове'!$C19:$AD19,$M$2)=1,INDEX('Програма-кодове'!$C$1:$AD$1,1,MATCH($M$2,'Програма-кодове'!$C19:$AD19,0)),"Дублаж"))</f>
        <v>8б</v>
      </c>
      <c r="N20" s="197" t="str">
        <f>IF(COUNTIF('Програма-кодове'!$C19:$AD19,$N$2)=0,"-",IF(COUNTIF('Програма-кодове'!$C19:$AD19,$N$2)=1,INDEX('Програма-кодове'!$C$1:$AD$1,1,MATCH($N$2,'Програма-кодове'!$C19:$AD19,0)),"Дублаж"))</f>
        <v>8в</v>
      </c>
      <c r="O20" s="194" t="str">
        <f>IF(COUNTIF('Програма-кодове'!$C19:$AD19,$O$2)=0,"-",IF(COUNTIF('Програма-кодове'!$C19:$AD19,$O$2)=1,INDEX('Програма-кодове'!$C$1:$AD$1,1,MATCH($O$2,'Програма-кодове'!$C19:$AD19,0)),"Дублаж"))</f>
        <v>-</v>
      </c>
      <c r="P20" s="194" t="str">
        <f>IF(COUNTIF('Програма-кодове'!$C19:$AD19,$P$2)=0,"-",IF(COUNTIF('Програма-кодове'!$C19:$AD19,$P$2)=1,INDEX('Програма-кодове'!$C$1:$AD$1,1,MATCH($P$2,'Програма-кодове'!$C19:$AD19,0)),"Дублаж"))</f>
        <v>8a</v>
      </c>
      <c r="Q20" s="316" t="str">
        <f>IF(COUNTIF('Програма-кодове'!$C19:$AD19,$Q$2)=0,"-",IF(COUNTIF('Програма-кодове'!$C19:$AD19,$Q$2)=1,INDEX('Програма-кодове'!$C$1:$AD$1,1,MATCH($Q$2,'Програма-кодове'!$C19:$AD19,0)),"Дублаж"))</f>
        <v>9б</v>
      </c>
      <c r="R20" s="193" t="str">
        <f t="shared" si="0"/>
        <v>-</v>
      </c>
      <c r="S20" s="193" t="str">
        <f t="shared" si="3"/>
        <v>12г</v>
      </c>
      <c r="T20" s="193" t="str">
        <f>IF(BN20&lt;&gt;"-",IF(AND(BO20="-",BT20="-"),BN20,IF(AND(BN20="11б",BO20="11д"),"11б,д",IF(AND(BN20="12д",BO20="12а"),"12а,д",IF(AND(BN20="12в",BO20="12б"),"12б,в",IF(AND(BN20="10в",BO20="10б"),"10б,в",IF(AND(BN20="9д",BO20="9в"),"9в,д","Дублаж")))))),IF(BO20&lt;&gt;"-",IF(BT20="-",BO20,"Дублаж"),BT20))</f>
        <v>-</v>
      </c>
      <c r="U20" s="194" t="str">
        <f>IF(COUNTIF('Програма-кодове'!$C19:$AD19,$U$2)=0,"-",IF(COUNTIF('Програма-кодове'!$C19:$AD19,$U$2)=1,INDEX('Програма-кодове'!$C$1:$AD$1,1,MATCH($U$2,'Програма-кодове'!$C19:$AD19,0)),"Дублаж"))</f>
        <v>12а</v>
      </c>
      <c r="V20" s="194" t="str">
        <f>IF(COUNTIF('Програма-кодове'!$C19:$AD19,$V$2)=0,"-",IF(COUNTIF('Програма-кодове'!$C19:$AD19,$V$2)=1,INDEX('Програма-кодове'!$C$1:$AD$1,1,MATCH($V$2,'Програма-кодове'!$C19:$AD19,0)),"Дублаж"))</f>
        <v>-</v>
      </c>
      <c r="W20" s="194" t="str">
        <f>IF(COUNTIF('Програма-кодове'!$C19:$AD19,$W$2)=0,"-",IF(COUNTIF('Програма-кодове'!$C19:$AD19,$W$2)=1,INDEX('Програма-кодове'!$C$1:$AD$1,1,MATCH($W$2,'Програма-кодове'!$C19:$AD19,0)),"Дублаж"))</f>
        <v>-</v>
      </c>
      <c r="X20" s="194" t="str">
        <f>IF(COUNTIF('Програма-кодове'!$C19:$AD19,$X$2)=0,"-",IF(COUNTIF('Програма-кодове'!$C19:$AD19,$X$2)=1,INDEX('Програма-кодове'!$C$1:$AD$1,1,MATCH($X$2,'Програма-кодове'!$C19:$AD19,0)),"Дублаж"))</f>
        <v>8д</v>
      </c>
      <c r="Y20" s="194" t="str">
        <f>IF(COUNTIF('Програма-кодове'!$C19:$AD19,$Y$2)=0,"-",IF(COUNTIF('Програма-кодове'!$C19:$AD19,$Y$2)=1,INDEX('Програма-кодове'!$C$1:$AD$1,1,MATCH($Y$2,'Програма-кодове'!$C19:$AD19,0)),"Дублаж"))</f>
        <v>11б</v>
      </c>
      <c r="Z20" s="194" t="str">
        <f>IF(COUNTIF('Програма-кодове'!$C19:$AD19,$Z$2)=0,"-",IF(COUNTIF('Програма-кодове'!$C19:$AD19,$Z$2)=1,INDEX('Програма-кодове'!$C$1:$AD$1,1,MATCH($Z$2,'Програма-кодове'!$C19:$AD19,0)),"Дублаж"))</f>
        <v>9д</v>
      </c>
      <c r="AA20" s="193" t="str">
        <f t="shared" si="5"/>
        <v>12в</v>
      </c>
      <c r="AB20" s="193" t="str">
        <f t="shared" si="6"/>
        <v>-</v>
      </c>
      <c r="AC20" s="193" t="str">
        <f t="shared" si="7"/>
        <v>10а</v>
      </c>
      <c r="AD20" s="193" t="str">
        <f t="shared" si="8"/>
        <v>10а</v>
      </c>
      <c r="AE20" s="193" t="str">
        <f t="shared" si="9"/>
        <v>12в</v>
      </c>
      <c r="AF20" s="193" t="str">
        <f t="shared" si="10"/>
        <v>11а</v>
      </c>
      <c r="AG20" s="193">
        <f>IF(BA20&lt;&gt;"-",IF(AND(BC20="-",BG20="-",BF20="-",BM20="-",BI20="-"),BA20,"Дублаж"),IF(BC20&lt;&gt;"-",IF(AND(BG20="-",BF20="-",BM20="-",BI20="-"),BC20,"Дублаж"),IF(BG20&lt;&gt;"-",IF(AND(BF20="-",BM20="-",BI20="-"),BG20,"Дублаж"),IF(BF20&lt;&gt;"-",IF(AND(BM20="-",BI20="-"),BF20,"Дублаж"),IF(BM20&lt;&gt;"-",IF(BI20="-",BM20,BI20),BI20)))))</f>
        <v>6</v>
      </c>
      <c r="AH20" s="193" t="str">
        <f t="shared" si="12"/>
        <v>11а</v>
      </c>
      <c r="AI20" s="196">
        <f t="shared" si="13"/>
        <v>5</v>
      </c>
      <c r="AJ20" s="193" t="str">
        <f t="shared" si="14"/>
        <v>9г</v>
      </c>
      <c r="AK20" s="194" t="str">
        <f>IF(COUNTIF('Програма-кодове'!$C19:$AD19,$AK$2)=0,"-",IF(COUNTIF('Програма-кодове'!$C19:$AD19,$AK$2)=1,INDEX('Програма-кодове'!$C$1:$AD$1,1,MATCH($AK$2,'Програма-кодове'!$C19:$AD19,0)),"Дублаж"))</f>
        <v>11в</v>
      </c>
      <c r="AL20" s="194" t="str">
        <f>IF(COUNTIF('Програма-кодове'!$C19:$AD19,$AL$2)=0,"-",IF(COUNTIF('Програма-кодове'!$C19:$AD19,$AL$2)=1,INDEX('Програма-кодове'!$C$1:$AD$1,1,MATCH($AL$2,'Програма-кодове'!$C19:$AD19,0)),"Дублаж"))</f>
        <v>9в</v>
      </c>
      <c r="AM20" s="194" t="str">
        <f>IF(COUNTIF('Програма-кодове'!$C19:$AD19,$AM$2)=0,"-",IF(COUNTIF('Програма-кодове'!$C19:$AD19,$AM$2)=1,INDEX('Програма-кодове'!$C$1:$AD$1,1,MATCH($AM$2,'Програма-кодове'!$C19:$AD19,0)),"Дублаж"))</f>
        <v>-</v>
      </c>
      <c r="AN20" s="346" t="str">
        <f>IF(COUNTIF('Програма-кодове'!$C19:$AD19,$AN$2)=0,"-",IF(COUNTIF('Програма-кодове'!$C19:$AD19,$AN$2)=1,INDEX('Програма-кодове'!$C$1:$AD$1,1,MATCH($AN$2,'Програма-кодове'!$C19:$AD19,0)),"Дублаж"))</f>
        <v>10г</v>
      </c>
      <c r="AO20" s="346" t="str">
        <f>IF(COUNTIF('Програма-кодове'!$C19:$AD19,$AO$2)=0,"-",IF(COUNTIF('Програма-кодове'!$C19:$AD19,$AO$2)=1,INDEX('Програма-кодове'!$C$1:$AD$1,1,MATCH($AO$2,'Програма-кодове'!$C19:$AD19,0)),"Дублаж"))</f>
        <v>10б</v>
      </c>
      <c r="AP20" s="346" t="str">
        <f>IF(COUNTIF('Програма-кодове'!$C19:$AD19,$AP$2)=0,"-",IF(COUNTIF('Програма-кодове'!$C19:$AD19,$AP$2)=1,INDEX('Програма-кодове'!$C$1:$AD$1,1,MATCH($AP$2,'Програма-кодове'!$C19:$AD19,0)),"Дублаж"))</f>
        <v>-</v>
      </c>
      <c r="AQ20" s="346" t="str">
        <f>IF(AND(CA20&lt;&gt;"-",CB20&lt;&gt;"-"),"Дублаж",IF(CA20&lt;&gt;"-",CA20,CB20))</f>
        <v>11д</v>
      </c>
      <c r="AR20" s="346" t="str">
        <f>IF(COUNTIF('Програма-кодове'!$C19:$AD19,$AR$2)=0,"-",IF(COUNTIF('Програма-кодове'!$C19:$AD19,$AR$2)=1,INDEX('Програма-кодове'!$C$1:$AD$1,1,MATCH($AR$2,'Програма-кодове'!$C19:$AD19,0)),"Дублаж"))</f>
        <v>-</v>
      </c>
      <c r="AS20" s="346" t="str">
        <f>IF(COUNTIF('Програма-кодове'!$C19:$AD19,$AS$2)=0,"-",IF(COUNTIF('Програма-кодове'!$C19:$AD19,$AS$2)=1,INDEX('Програма-кодове'!$C$1:$AD$1,1,MATCH($AS$2,'Програма-кодове'!$C19:$AD19,0)),"Дублаж"))</f>
        <v>11г</v>
      </c>
      <c r="AT20" s="346" t="str">
        <f>IF(COUNTIF('Програма-кодове'!$C19:$AD19,$AT$2)=0,"-",IF(COUNTIF('Програма-кодове'!$C19:$AD19,$AT$2)=1,INDEX('Програма-кодове'!$C$1:$AD$1,1,MATCH($AT$2,'Програма-кодове'!$C19:$AD19,0)),"Дублаж"))</f>
        <v>12д</v>
      </c>
      <c r="AU20" s="194" t="str">
        <f t="shared" si="22"/>
        <v>10в</v>
      </c>
      <c r="AV20" s="194">
        <f t="shared" si="2"/>
        <v>6</v>
      </c>
      <c r="AW20" s="194" t="str">
        <f>IF(COUNTIF('Програма-кодове'!$C19:$AD19,$AW$2)=0,"-",IF(COUNTIF('Програма-кодове'!$C19:$AD19,$AW$2)=1,INDEX('Програма-кодове'!$C$1:$AD$1,1,MATCH($AW$2,'Програма-кодове'!$C19:$AD19,0)),"Дублаж"))</f>
        <v>-</v>
      </c>
      <c r="AX20" s="194" t="str">
        <f>IF(COUNTIF('Програма-кодове'!$C19:$AD19,$AX$2)=0,"-",IF(COUNTIF('Програма-кодове'!$C19:$AD19,$AX$2)=1,INDEX('Програма-кодове'!$C$1:$AD$1,1,MATCH($AX$2,'Програма-кодове'!$C19:$AD19,0)),"Дублаж"))</f>
        <v>-</v>
      </c>
      <c r="AY20" s="194" t="str">
        <f>IF(COUNTIF('Програма-кодове'!$C19:$AD19,$AY$2)=0,"-",IF(COUNTIF('Програма-кодове'!$C19:$AD19,$AY$2)=1,INDEX('Програма-кодове'!$C$1:$AD$1,1,MATCH($AY$2,'Програма-кодове'!$C19:$AD19,0)),"Дублаж"))</f>
        <v>9а</v>
      </c>
      <c r="AZ20" s="193" t="str">
        <f t="shared" si="16"/>
        <v>-</v>
      </c>
      <c r="BA20" s="30" t="str">
        <f>IF(COUNTIF('Програма-кодове'!$C19:$AD19,$BA$2)=0,"-",IF(COUNTIF('Програма-кодове'!$C19:$AD19,$BA$2)=1,INDEX('Програма-кодове'!$C$1:$AD$1,1,MATCH($BA$2,'Програма-кодове'!$C19:$AD19,0)),"Дублаж"))</f>
        <v>-</v>
      </c>
      <c r="BB20" s="30" t="str">
        <f>IF(COUNTIF('Програма-кодове'!$C19:$AD19,$BB$2)=0,"-",IF(COUNTIF('Програма-кодове'!$C19:$AD19,$BB$2)=1,INDEX('Програма-кодове'!$C$1:$AD$1,1,MATCH($BB$2,'Програма-кодове'!$C19:$AD19,0)),"Дублаж"))</f>
        <v>-</v>
      </c>
      <c r="BC20" s="30" t="str">
        <f>IF(COUNTIF('Програма-кодове'!$C19:$AD19,$BC$2)=0,"-",IF(COUNTIF('Програма-кодове'!$C19:$AD19,$BC$2)=1,INDEX('Програма-кодове'!$C$1:$AD$1,1,MATCH($BC$2,'Програма-кодове'!$C19:$AD19,0)),"Дублаж"))</f>
        <v>-</v>
      </c>
      <c r="BD20" s="30" t="str">
        <f>IF(COUNTIF('Програма-кодове'!$C19:$AD19,$BD$2)=0,"-",IF(COUNTIF('Програма-кодове'!$C19:$AD19,$BD$2)=1,INDEX('Програма-кодове'!$C$1:$AD$1,1,MATCH($BD$2,'Програма-кодове'!$C19:$AD19,0)),"Дублаж"))</f>
        <v>10а</v>
      </c>
      <c r="BE20" s="30" t="str">
        <f>IF(COUNTIF('Програма-кодове'!$C19:$AD19,$BE$2)=0,"-",IF(COUNTIF('Програма-кодове'!$C19:$AD19,$BE$2)=1,INDEX('Програма-кодове'!$C$1:$AD$1,1,MATCH($BE$2,'Програма-кодове'!$C19:$AD19,0)),"Дублаж"))</f>
        <v>11а</v>
      </c>
      <c r="BF20" s="30" t="str">
        <f>IF(COUNTIF('Програма-кодове'!$C19:$AD19,$BF$2)=0,"-",IF(COUNTIF('Програма-кодове'!$C19:$AD19,$BF$2)=1,INDEX('Програма-кодове'!$C$1:$AD$1,1,MATCH($BF$2,'Програма-кодове'!$C19:$AD19,0)),"Дублаж"))</f>
        <v>-</v>
      </c>
      <c r="BG20" s="30" t="str">
        <f>IF(COUNTIF('Програма-кодове'!$C19:$AD19,$BG$2)=0,"-",IF(COUNTIF('Програма-кодове'!$C19:$AD19,$BG$2)=1,INDEX('Програма-кодове'!$C$1:$AD$1,1,MATCH($BG$2,'Програма-кодове'!$C19:$AD19,0)),"Дублаж"))</f>
        <v>-</v>
      </c>
      <c r="BH20" s="30" t="str">
        <f>IF(COUNTIF('Програма-кодове'!$C19:$AD19,$BH$2)=0,"-",IF(COUNTIF('Програма-кодове'!$C19:$AD19,$BH$2)=1,INDEX('Програма-кодове'!$C$1:$AD$1,1,MATCH($BH$2,'Програма-кодове'!$C19:$AD19,0)),"Дублаж"))</f>
        <v>12в</v>
      </c>
      <c r="BI20" s="94" t="str">
        <f>IF(COUNTIF('Програма-кодове'!$C19:$AD19,$BI$2)=0,"-",IF(COUNTIF('Програма-кодове'!$C19:$AD19,$BI$2)=1,INDEX('Програма-кодове'!$C$1:$AD$1,1,MATCH($BI$2,'Програма-кодове'!$C19:$AD19,0)),IF('Програма-кодове'!Z19='Програма-кодове'!AA19,"12а,б","Дублаж")))</f>
        <v>-</v>
      </c>
      <c r="BJ20" s="94" t="str">
        <f>IF(COUNTIF('Програма-кодове'!$C19:$AD19,$BJ$2)=0,"-",IF(COUNTIF('Програма-кодове'!$C19:$AD19,$BJ$2)=1,INDEX('Програма-кодове'!$C$1:$AD$1,1,MATCH($BJ$2,'Програма-кодове'!$C19:$AD19,0)),"Дублаж"))</f>
        <v>-</v>
      </c>
      <c r="BK20" s="94" t="str">
        <f>IF(COUNTIF('Програма-кодове'!$C19:$AD19,$BK$2)=0,"-",IF(COUNTIF('Програма-кодове'!$C19:$AD19,$BK$2)=1,INDEX('Програма-кодове'!$C$1:$AD$1,1,MATCH($BK$2,'Програма-кодове'!$C19:$AD19,0)),IF('Програма-кодове'!K19='Програма-кодове'!O19,"9а,д",IF('Програма-кодове'!L19='Програма-кодове'!M19,"9б,в","Дублаж"))))</f>
        <v>-</v>
      </c>
      <c r="BL20" s="30" t="str">
        <f>IF(COUNTIF('Програма-кодове'!$C19:$AD19,$BL$2)=0,"-",IF(COUNTIF('Програма-кодове'!$C19:$AD19,$BL$2)=1,INDEX('Програма-кодове'!$C$1:$AD$1,1,MATCH($BL$2,'Програма-кодове'!$C19:$AD19,0)),"Дублаж"))</f>
        <v>-</v>
      </c>
      <c r="BM20" s="30">
        <f>IF(COUNTIF('Програма-кодове'!$C19:$AD19,$BM$2)=0,"-",IF(COUNTIF('Програма-кодове'!$C19:$AD19,$BM$2)=1,INDEX('Програма-кодове'!$C$1:$AD$1,1,MATCH($BM$2,'Програма-кодове'!$C19:$AD19,0)),"Дублаж"))</f>
        <v>6</v>
      </c>
      <c r="BN20" s="77" t="str">
        <f>IF(COUNTIF('Програма-кодове'!$C19:$AD19,$BN$2)=0,"-",IF(COUNTIF('Програма-кодове'!$C19:$AD19,$BN$2)=1,INDEX('Програма-кодове'!$C$1:$AD$1,1,MATCH($BN$2,'Програма-кодове'!$C19:$AD19,0)),IF(AND('Програма-кодове'!K19='Програма-кодове'!O19,'Програма-кодове'!K19&lt;&gt;""),"9а, д", IF(AND('Програма-кодове'!U19='Програма-кодове'!W19,'Програма-кодове'!U19&lt;&gt;""),"11а,в", "Дублаж"))))</f>
        <v>-</v>
      </c>
      <c r="BO20" s="77" t="str">
        <f>IF(COUNTIF('Програма-кодове'!$C19:$AD19,$BO$2)=0,"-",IF(COUNTIF('Програма-кодове'!$C19:$AD19,$BO$2)=1,INDEX('Програма-кодове'!$C$1:$AD$1,1,MATCH($BO$2,'Програма-кодове'!$C19:$AD19,0)),IF(AND('Програма-кодове'!U19='Програма-кодове'!W19,'Програма-кодове'!U19&lt;&gt;"" ),"11a,в","Дублаж")))</f>
        <v>-</v>
      </c>
      <c r="BP20" s="30" t="str">
        <f>IF(COUNTIF('Програма-кодове'!$C19:$AD19,$BP$2)=0,"-",IF(COUNTIF('Програма-кодове'!$C19:$AD19,$BP$2)=1,"9б,в,г","Дублаж"))</f>
        <v>-</v>
      </c>
      <c r="BQ20" s="30" t="str">
        <f>IF(COUNTIF('Програма-кодове'!$C19:$AD19,$BQ$2)=0,"-",IF(COUNTIF('Програма-кодове'!$C19:$AD19,$BQ$2)=1,INDEX('Програма-кодове'!$C$1:$AD$1,1,MATCH($BQ$2,'Програма-кодове'!$C19:$AD19,0)),"Дублаж"))</f>
        <v>12г</v>
      </c>
      <c r="BR20" s="30" t="str">
        <f>IF(COUNTIF('Програма-кодове'!$C19:$AD19,$BR$2)=0,"-",IF(COUNTIF('Програма-кодове'!$C19:$AD19,$BR$2)=1,INDEX('Програма-кодове'!$C$1:$AD$1,1,MATCH($BR$2,'Програма-кодове'!$C19:$AD19,0)),IF('Програма-кодове'!W19='Програма-кодове'!X19,"11б,в","Дублаж")))</f>
        <v>-</v>
      </c>
      <c r="BS20" s="30" t="str">
        <f>IF(COUNTIF('Програма-кодове'!$C19:$AD19,$BS$2)=0,"-",IF(COUNTIF('Програма-кодове'!$C19:$AD19,$BS$2)=1,INDEX('Програма-кодове'!$C$1:$AD$1,1,MATCH($BS$2,'Програма-кодове'!$C19:$AD19,0)),"Дублаж"))</f>
        <v>-</v>
      </c>
      <c r="BT20" s="193" t="str">
        <f t="shared" si="17"/>
        <v>-</v>
      </c>
      <c r="BU20" s="30" t="str">
        <f>IF(COUNTIF('Програма-кодове'!$C19:$AD19,$BU$2)=0,"-",IF(COUNTIF('Програма-кодове'!$C19:$AD19,$BU$2)=1,INDEX('Програма-кодове'!$C$1:$AD$1,1,MATCH($BU$2,'Програма-кодове'!$C19:$AD19,0)),"Дублаж"))</f>
        <v>-</v>
      </c>
      <c r="BV20" s="30" t="str">
        <f>IF(COUNTIF('Програма-кодове'!$C19:$AD19,$BV$2)=0,"-",IF(COUNTIF('Програма-кодове'!$C19:$AD19,$BV$2)=1,INDEX('Програма-кодове'!$C$1:$AD$1,1,MATCH($BV$2,'Програма-кодове'!$C19:$AD19,0)),"Дублаж"))</f>
        <v>10в</v>
      </c>
      <c r="BW20" s="30" t="str">
        <f>IF(COUNTIF('Програма-кодове'!$C19:$AD19,$BW$2)=0,"-",IF(COUNTIF('Програма-кодове'!$C19:$AD19,$BW$2)=1,INDEX('Програма-кодове'!$C$1:$AD$1,1,MATCH($BW$2,'Програма-кодове'!$C19:$AD19,0)),"Дублаж"))</f>
        <v>-</v>
      </c>
      <c r="BX20" s="30" t="str">
        <f>IF(COUNTIF('Програма-кодове'!$C19:$AD19,$BX$2)=0,"-",IF(COUNTIF('Програма-кодове'!$C19:$AD19,$BX$2)=1,INDEX('Програма-кодове'!$C$1:$AD$1,1,MATCH($BX$2,'Програма-кодове'!$C19:$AD19,0)),"Дублаж"))</f>
        <v>-</v>
      </c>
      <c r="BY20" s="30">
        <f>IF(COUNTIF('Програма-кодове'!$C19:$AD19,$BY$2)=0,"-",IF(COUNTIF('Програма-кодове'!$C19:$AD19,$BY$2)=1,INDEX('Програма-кодове'!$C$1:$AD$1,1,MATCH($BY$2,'Програма-кодове'!$C19:$AD19,0)),"Дублаж"))</f>
        <v>5</v>
      </c>
      <c r="BZ20" s="30" t="str">
        <f>IF(COUNTIF('Програма-кодове'!$C19:$AD19,$BZ$2)=0,"-",IF(COUNTIF('Програма-кодове'!$C19:$AD19,$BZ$2)=1,INDEX('Програма-кодове'!$C$1:$AD$1,1,MATCH($BZ$2,'Програма-кодове'!$C19:$AD19,0)),"Дублаж"))</f>
        <v>-</v>
      </c>
      <c r="CA20" s="30" t="str">
        <f>IF(COUNTIF('Програма-кодове'!$C19:$AD19,$CA$2)=0,"-",IF(COUNTIF('Програма-кодове'!$C19:$AD19,$CA$2)=1,INDEX('Програма-кодове'!$C$1:$AD$1,1,MATCH($CA$2,'Програма-кодове'!$C19:$AD19,0)),"Дублаж"))</f>
        <v>-</v>
      </c>
      <c r="CB20" s="30" t="str">
        <f>IF(COUNTIF('Програма-кодове'!$C19:$AD19,$CB$2)=0,"-",IF(COUNTIF('Програма-кодове'!$C19:$AD19,$CB$2)=1,INDEX('Програма-кодове'!$C$1:$AD$1,1,MATCH($CB$2,'Програма-кодове'!$C19:$AD19,0)),"Дублаж"))</f>
        <v>11д</v>
      </c>
      <c r="CC20" s="30" t="str">
        <f>IF(COUNTIF('Програма-кодове'!$C19:$AD19,$CC$2)=0,"-",IF(COUNTIF('Програма-кодове'!$C19:$AD19,$CC$2)=1,INDEX('Програма-кодове'!$C$1:$AD$1,1,MATCH($CC$2,'Програма-кодове'!$C19:$AD19,0)),"Дублаж"))</f>
        <v>-</v>
      </c>
      <c r="CD20" s="30" t="str">
        <f>IF(COUNTIF('Програма-кодове'!$C19:$AD19,$CD$2)=0,"-",IF(COUNTIF('Програма-кодове'!$C19:$AD19,$CD$2)=1,INDEX('Програма-кодове'!$C$1:$AD$1,1,MATCH($CD$2,'Програма-кодове'!$C19:$AD19,0)),"Дублаж"))</f>
        <v>9г</v>
      </c>
      <c r="CE20" s="30" t="str">
        <f>IF(COUNTIF('Програма-кодове'!$C19:$AD19,$CE$2)=0,"-",IF(COUNTIF('Програма-кодове'!$C19:$AD19,$CE$2)=1,INDEX('Програма-кодове'!$C$1:$AD$1,1,MATCH($CE$2,'Програма-кодове'!$C19:$AD19,0)),"Дублаж"))</f>
        <v>-</v>
      </c>
    </row>
    <row r="21" spans="1:83" ht="13.5" customHeight="1">
      <c r="A21" s="367"/>
      <c r="B21" s="330">
        <v>5</v>
      </c>
      <c r="C21" s="194" t="str">
        <f>IF(COUNTIF('Програма-кодове'!$C20:$AD20,$C$2)=0,"-",IF(COUNTIF('Програма-кодове'!$C20:$AD20,$C$2)=1,INDEX('Програма-кодове'!$C$1:$AD$1,1,MATCH($C$2,'Програма-кодове'!$C20:$AD20,0)),"Дублаж"))</f>
        <v>-</v>
      </c>
      <c r="D21" s="194" t="str">
        <f>IF(COUNTIF('Програма-кодове'!$C20:$AD20,$D$2)=0,"-",IF(COUNTIF('Програма-кодове'!$C20:$AD20,$D$2)=1,INDEX('Програма-кодове'!$C$1:$AD$1,1,MATCH($D$2,'Програма-кодове'!$C20:$AD20,0)),"Дублаж"))</f>
        <v>-</v>
      </c>
      <c r="E21" s="194" t="str">
        <f>IF(COUNTIF('Програма-кодове'!$C20:$AD20,$E$2)=0,"-",IF(COUNTIF('Програма-кодове'!$C20:$AD20,$E$2)=1,INDEX('Програма-кодове'!$C$1:$AD$1,1,MATCH($E$2,'Програма-кодове'!$C20:$AD20,0)),"Дублаж"))</f>
        <v>-</v>
      </c>
      <c r="F21" s="194" t="str">
        <f>IF(COUNTIF('Програма-кодове'!$C20:$AD20,$F$2)=0,"-",IF(COUNTIF('Програма-кодове'!$C20:$AD20,$F$2)=1,INDEX('Програма-кодове'!$C$1:$AD$1,1,MATCH($F$2,'Програма-кодове'!$C20:$AD20,0)),"Дублаж"))</f>
        <v>10в</v>
      </c>
      <c r="G21" s="194" t="str">
        <f>IF(COUNTIF('Програма-кодове'!$C20:$AD20,$G$2)=0,"-",IF(COUNTIF('Програма-кодове'!$C20:$AD20,$G$2)=1,INDEX('Програма-кодове'!$C$1:$AD$1,1,MATCH($G$2,'Програма-кодове'!$C20:$AD20,0)),"Дублаж"))</f>
        <v>-</v>
      </c>
      <c r="H21" s="316" t="str">
        <f>IF(COUNTIF('Програма-кодове'!$C20:$AD20,$H$2)=0,"-",IF(COUNTIF('Програма-кодове'!$C20:$AD20,$H$2)=1,INDEX('Програма-кодове'!$C$1:$AD$1,1,MATCH($H$2,'Програма-кодове'!$C20:$AD20,0)),"Дублаж"))</f>
        <v>-</v>
      </c>
      <c r="I21" s="194" t="str">
        <f>IF(COUNTIF('Програма-кодове'!$C20:$AD20,$I$2)=0,"-",IF(COUNTIF('Програма-кодове'!$C20:$AD20,$I$2)=1,INDEX('Програма-кодове'!$C$1:$AD$1,1,MATCH($I$2,'Програма-кодове'!$C20:$AD20,0)),"Дублаж"))</f>
        <v>11д</v>
      </c>
      <c r="J21" s="194">
        <f>IF(COUNTIF('Програма-кодове'!$C20:$AD20,$J$2)=0,"-",IF(COUNTIF('Програма-кодове'!$C20:$AD20,$J$2)=1,INDEX('Програма-кодове'!$C$1:$AD$1,1,MATCH($J$2,'Програма-кодове'!$C20:$AD20,0)),"Дублаж"))</f>
        <v>7</v>
      </c>
      <c r="K21" s="194" t="str">
        <f>IF(COUNTIF('Програма-кодове'!$C20:$AD20,$K$2)=0,"-",IF(COUNTIF('Програма-кодове'!$C20:$AD20,$K$2)=1,INDEX('Програма-кодове'!$C$1:$AD$1,1,MATCH($K$2,'Програма-кодове'!$C20:$AD20,0)),"Дублаж"))</f>
        <v>12д</v>
      </c>
      <c r="L21" s="194" t="str">
        <f>IF(COUNTIF('Програма-кодове'!$C20:$AD20,$L$2)=0,"-",IF(COUNTIF('Програма-кодове'!$C20:$AD20,$L$2)=1,INDEX('Програма-кодове'!$C$1:$AD$1,1,MATCH($L$2,'Програма-кодове'!$C20:$AD20,0)),"Дублаж"))</f>
        <v>-</v>
      </c>
      <c r="M21" s="194" t="str">
        <f>IF(COUNTIF('Програма-кодове'!$C20:$AD20,$M$2)=0,"-",IF(COUNTIF('Програма-кодове'!$C20:$AD20,$M$2)=1,INDEX('Програма-кодове'!$C$1:$AD$1,1,MATCH($M$2,'Програма-кодове'!$C20:$AD20,0)),"Дублаж"))</f>
        <v>8б</v>
      </c>
      <c r="N21" s="197" t="str">
        <f>IF(COUNTIF('Програма-кодове'!$C20:$AD20,$N$2)=0,"-",IF(COUNTIF('Програма-кодове'!$C20:$AD20,$N$2)=1,INDEX('Програма-кодове'!$C$1:$AD$1,1,MATCH($N$2,'Програма-кодове'!$C20:$AD20,0)),"Дублаж"))</f>
        <v>8в</v>
      </c>
      <c r="O21" s="194" t="str">
        <f>IF(COUNTIF('Програма-кодове'!$C20:$AD20,$O$2)=0,"-",IF(COUNTIF('Програма-кодове'!$C20:$AD20,$O$2)=1,INDEX('Програма-кодове'!$C$1:$AD$1,1,MATCH($O$2,'Програма-кодове'!$C20:$AD20,0)),"Дублаж"))</f>
        <v>8д</v>
      </c>
      <c r="P21" s="194" t="str">
        <f>IF(COUNTIF('Програма-кодове'!$C20:$AD20,$P$2)=0,"-",IF(COUNTIF('Програма-кодове'!$C20:$AD20,$P$2)=1,INDEX('Програма-кодове'!$C$1:$AD$1,1,MATCH($P$2,'Програма-кодове'!$C20:$AD20,0)),"Дублаж"))</f>
        <v>-</v>
      </c>
      <c r="Q21" s="316" t="str">
        <f>IF(COUNTIF('Програма-кодове'!$C20:$AD20,$Q$2)=0,"-",IF(COUNTIF('Програма-кодове'!$C20:$AD20,$Q$2)=1,INDEX('Програма-кодове'!$C$1:$AD$1,1,MATCH($Q$2,'Програма-кодове'!$C20:$AD20,0)),"Дублаж"))</f>
        <v>9б</v>
      </c>
      <c r="R21" s="193" t="str">
        <f t="shared" si="0"/>
        <v>12в</v>
      </c>
      <c r="S21" s="193" t="str">
        <f t="shared" si="3"/>
        <v>12б</v>
      </c>
      <c r="T21" s="339" t="str">
        <f t="shared" si="4"/>
        <v>12б,в</v>
      </c>
      <c r="U21" s="194" t="str">
        <f>IF(COUNTIF('Програма-кодове'!$C20:$AD20,$U$2)=0,"-",IF(COUNTIF('Програма-кодове'!$C20:$AD20,$U$2)=1,INDEX('Програма-кодове'!$C$1:$AD$1,1,MATCH($U$2,'Програма-кодове'!$C20:$AD20,0)),"Дублаж"))</f>
        <v>12г</v>
      </c>
      <c r="V21" s="194" t="str">
        <f>IF(COUNTIF('Програма-кодове'!$C20:$AD20,$V$2)=0,"-",IF(COUNTIF('Програма-кодове'!$C20:$AD20,$V$2)=1,INDEX('Програма-кодове'!$C$1:$AD$1,1,MATCH($V$2,'Програма-кодове'!$C20:$AD20,0)),"Дублаж"))</f>
        <v>8г</v>
      </c>
      <c r="W21" s="339" t="str">
        <f>IF(COUNTIF('Програма-кодове'!$C20:$AD20,$W$2)=0,"-",IF(COUNTIF('Програма-кодове'!$C20:$AD20,$W$2)=1,INDEX('Програма-кодове'!$C$1:$AD$1,1,MATCH($W$2,'Програма-кодове'!$C20:$AD20,0)),"Дублаж"))</f>
        <v>-</v>
      </c>
      <c r="X21" s="194" t="str">
        <f>IF(COUNTIF('Програма-кодове'!$C20:$AD20,$X$2)=0,"-",IF(COUNTIF('Програма-кодове'!$C20:$AD20,$X$2)=1,INDEX('Програма-кодове'!$C$1:$AD$1,1,MATCH($X$2,'Програма-кодове'!$C20:$AD20,0)),"Дублаж"))</f>
        <v>9в</v>
      </c>
      <c r="Y21" s="194" t="str">
        <f>IF(COUNTIF('Програма-кодове'!$C20:$AD20,$Y$2)=0,"-",IF(COUNTIF('Програма-кодове'!$C20:$AD20,$Y$2)=1,INDEX('Програма-кодове'!$C$1:$AD$1,1,MATCH($Y$2,'Програма-кодове'!$C20:$AD20,0)),"Дублаж"))</f>
        <v>11б</v>
      </c>
      <c r="Z21" s="194" t="str">
        <f>IF(COUNTIF('Програма-кодове'!$C20:$AD20,$Z$2)=0,"-",IF(COUNTIF('Програма-кодове'!$C20:$AD20,$Z$2)=1,INDEX('Програма-кодове'!$C$1:$AD$1,1,MATCH($Z$2,'Програма-кодове'!$C20:$AD20,0)),"Дублаж"))</f>
        <v>10б</v>
      </c>
      <c r="AA21" s="193" t="str">
        <f>IF(BH21&lt;&gt;"-",IF(AND(BL21="-",BI21="-"),BH21,"Дублаж"),IF(BL21&lt;&gt;"-",IF(BI21="-",BL21,"Дублаж"),BI21))</f>
        <v>12а</v>
      </c>
      <c r="AB21" s="193" t="str">
        <f t="shared" si="6"/>
        <v>-</v>
      </c>
      <c r="AC21" s="193" t="str">
        <f t="shared" si="7"/>
        <v>10д</v>
      </c>
      <c r="AD21" s="193" t="str">
        <f t="shared" si="8"/>
        <v>10д</v>
      </c>
      <c r="AE21" s="193" t="str">
        <f t="shared" si="9"/>
        <v>12а</v>
      </c>
      <c r="AF21" s="193" t="str">
        <f t="shared" si="10"/>
        <v>11г</v>
      </c>
      <c r="AG21" s="193" t="str">
        <f t="shared" ref="AG21" si="23">IF(BA21&lt;&gt;"-",IF(AND(BC21="-",BG21="-",BF21="-",BM21="-",BI21="-"),BA21,"Дублаж"),IF(BC21&lt;&gt;"-",IF(AND(BG21="-",BF21="-",BM21="-",BI21="-"),BC21,"Дублаж"),IF(BG21&lt;&gt;"-",IF(AND(BF21="-",BM21="-",BI21="-"),BG21,"Дублаж"),IF(BF21&lt;&gt;"-",IF(AND(BM21="-",BI21="-"),BF21,"Дублаж"),IF(BM21&lt;&gt;"-",IF(BI21="-",BM21,BI21),BI21)))))</f>
        <v>-</v>
      </c>
      <c r="AH21" s="193" t="str">
        <f t="shared" si="12"/>
        <v>11г</v>
      </c>
      <c r="AI21" s="196" t="str">
        <f t="shared" si="13"/>
        <v>11в</v>
      </c>
      <c r="AJ21" s="193" t="str">
        <f t="shared" si="14"/>
        <v>-</v>
      </c>
      <c r="AK21" s="194" t="str">
        <f>IF(COUNTIF('Програма-кодове'!$C20:$AD20,$AK$2)=0,"-",IF(COUNTIF('Програма-кодове'!$C20:$AD20,$AK$2)=1,INDEX('Програма-кодове'!$C$1:$AD$1,1,MATCH($AK$2,'Програма-кодове'!$C20:$AD20,0)),"Дублаж"))</f>
        <v>-</v>
      </c>
      <c r="AL21" s="194" t="str">
        <f>IF(COUNTIF('Програма-кодове'!$C20:$AD20,$AL$2)=0,"-",IF(COUNTIF('Програма-кодове'!$C20:$AD20,$AL$2)=1,INDEX('Програма-кодове'!$C$1:$AD$1,1,MATCH($AL$2,'Програма-кодове'!$C20:$AD20,0)),"Дублаж"))</f>
        <v>10г</v>
      </c>
      <c r="AM21" s="194" t="str">
        <f>IF(COUNTIF('Програма-кодове'!$C20:$AD20,$AM$2)=0,"-",IF(COUNTIF('Програма-кодове'!$C20:$AD20,$AM$2)=1,INDEX('Програма-кодове'!$C$1:$AD$1,1,MATCH($AM$2,'Програма-кодове'!$C20:$AD20,0)),"Дублаж"))</f>
        <v>10а</v>
      </c>
      <c r="AN21" s="193">
        <f>IF(COUNTIF('Програма-кодове'!$C20:$AD20,$AN$2)=0,"-",IF(COUNTIF('Програма-кодове'!$C20:$AD20,$AN$2)=1,INDEX('Програма-кодове'!$C$1:$AD$1,1,MATCH($AN$2,'Програма-кодове'!$C20:$AD20,0)),"Дублаж"))</f>
        <v>6</v>
      </c>
      <c r="AO21" s="193" t="str">
        <f>IF(COUNTIF('Програма-кодове'!$C20:$AD20,$AO$2)=0,"-",IF(COUNTIF('Програма-кодове'!$C20:$AD20,$AO$2)=1,INDEX('Програма-кодове'!$C$1:$AD$1,1,MATCH($AO$2,'Програма-кодове'!$C20:$AD20,0)),"Дублаж"))</f>
        <v>-</v>
      </c>
      <c r="AP21" s="193" t="str">
        <f>IF(COUNTIF('Програма-кодове'!$C20:$AD20,$AP$2)=0,"-",IF(COUNTIF('Програма-кодове'!$C20:$AD20,$AP$2)=1,INDEX('Програма-кодове'!$C$1:$AD$1,1,MATCH($AP$2,'Програма-кодове'!$C20:$AD20,0)),"Дублаж"))</f>
        <v>-</v>
      </c>
      <c r="AQ21" s="193" t="str">
        <f>IF(AND(CA21&lt;&gt;"-",CB21&lt;&gt;"-"),"Дублаж",IF(CA21&lt;&gt;"-",CA21,CB21))</f>
        <v>9г</v>
      </c>
      <c r="AR21" s="193" t="str">
        <f>IF(COUNTIF('Програма-кодове'!$C20:$AD20,$AR$2)=0,"-",IF(COUNTIF('Програма-кодове'!$C20:$AD20,$AR$2)=1,INDEX('Програма-кодове'!$C$1:$AD$1,1,MATCH($AR$2,'Програма-кодове'!$C20:$AD20,0)),"Дублаж"))</f>
        <v>-</v>
      </c>
      <c r="AS21" s="193" t="str">
        <f>IF(COUNTIF('Програма-кодове'!$C20:$AD20,$AS$2)=0,"-",IF(COUNTIF('Програма-кодове'!$C20:$AD20,$AS$2)=1,INDEX('Програма-кодове'!$C$1:$AD$1,1,MATCH($AS$2,'Програма-кодове'!$C20:$AD20,0)),"Дублаж"))</f>
        <v>11а</v>
      </c>
      <c r="AT21" s="193" t="str">
        <f>IF(COUNTIF('Програма-кодове'!$C20:$AD20,$AT$2)=0,"-",IF(COUNTIF('Програма-кодове'!$C20:$AD20,$AT$2)=1,INDEX('Програма-кодове'!$C$1:$AD$1,1,MATCH($AT$2,'Програма-кодове'!$C20:$AD20,0)),"Дублаж"))</f>
        <v>9а</v>
      </c>
      <c r="AU21" s="194" t="str">
        <f t="shared" si="22"/>
        <v>-</v>
      </c>
      <c r="AV21" s="194" t="str">
        <f t="shared" si="2"/>
        <v>9д</v>
      </c>
      <c r="AW21" s="194" t="str">
        <f>IF(COUNTIF('Програма-кодове'!$C20:$AD20,$AW$2)=0,"-",IF(COUNTIF('Програма-кодове'!$C20:$AD20,$AW$2)=1,INDEX('Програма-кодове'!$C$1:$AD$1,1,MATCH($AW$2,'Програма-кодове'!$C20:$AD20,0)),"Дублаж"))</f>
        <v>-</v>
      </c>
      <c r="AX21" s="194" t="str">
        <f>IF(COUNTIF('Програма-кодове'!$C20:$AD20,$AX$2)=0,"-",IF(COUNTIF('Програма-кодове'!$C20:$AD20,$AX$2)=1,INDEX('Програма-кодове'!$C$1:$AD$1,1,MATCH($AX$2,'Програма-кодове'!$C20:$AD20,0)),"Дублаж"))</f>
        <v>8a</v>
      </c>
      <c r="AY21" s="194">
        <f>IF(COUNTIF('Програма-кодове'!$C20:$AD20,$AY$2)=0,"-",IF(COUNTIF('Програма-кодове'!$C20:$AD20,$AY$2)=1,INDEX('Програма-кодове'!$C$1:$AD$1,1,MATCH($AY$2,'Програма-кодове'!$C20:$AD20,0)),"Дублаж"))</f>
        <v>5</v>
      </c>
      <c r="AZ21" s="193" t="str">
        <f t="shared" si="16"/>
        <v>-</v>
      </c>
      <c r="BA21" s="30" t="str">
        <f>IF(COUNTIF('Програма-кодове'!$C20:$AD20,$BA$2)=0,"-",IF(COUNTIF('Програма-кодове'!$C20:$AD20,$BA$2)=1,INDEX('Програма-кодове'!$C$1:$AD$1,1,MATCH($BA$2,'Програма-кодове'!$C20:$AD20,0)),"Дублаж"))</f>
        <v>-</v>
      </c>
      <c r="BB21" s="30" t="str">
        <f>IF(COUNTIF('Програма-кодове'!$C20:$AD20,$BB$2)=0,"-",IF(COUNTIF('Програма-кодове'!$C20:$AD20,$BB$2)=1,INDEX('Програма-кодове'!$C$1:$AD$1,1,MATCH($BB$2,'Програма-кодове'!$C20:$AD20,0)),"Дублаж"))</f>
        <v>-</v>
      </c>
      <c r="BC21" s="30" t="str">
        <f>IF(COUNTIF('Програма-кодове'!$C20:$AD20,$BC$2)=0,"-",IF(COUNTIF('Програма-кодове'!$C20:$AD20,$BC$2)=1,INDEX('Програма-кодове'!$C$1:$AD$1,1,MATCH($BC$2,'Програма-кодове'!$C20:$AD20,0)),"Дублаж"))</f>
        <v>-</v>
      </c>
      <c r="BD21" s="30" t="str">
        <f>IF(COUNTIF('Програма-кодове'!$C20:$AD20,$BD$2)=0,"-",IF(COUNTIF('Програма-кодове'!$C20:$AD20,$BD$2)=1,INDEX('Програма-кодове'!$C$1:$AD$1,1,MATCH($BD$2,'Програма-кодове'!$C20:$AD20,0)),"Дублаж"))</f>
        <v>10д</v>
      </c>
      <c r="BE21" s="30" t="str">
        <f>IF(COUNTIF('Програма-кодове'!$C20:$AD20,$BE$2)=0,"-",IF(COUNTIF('Програма-кодове'!$C20:$AD20,$BE$2)=1,INDEX('Програма-кодове'!$C$1:$AD$1,1,MATCH($BE$2,'Програма-кодове'!$C20:$AD20,0)),"Дублаж"))</f>
        <v>11г</v>
      </c>
      <c r="BF21" s="30" t="str">
        <f>IF(COUNTIF('Програма-кодове'!$C20:$AD20,$BF$2)=0,"-",IF(COUNTIF('Програма-кодове'!$C20:$AD20,$BF$2)=1,INDEX('Програма-кодове'!$C$1:$AD$1,1,MATCH($BF$2,'Програма-кодове'!$C20:$AD20,0)),"Дублаж"))</f>
        <v>-</v>
      </c>
      <c r="BG21" s="30" t="str">
        <f>IF(COUNTIF('Програма-кодове'!$C20:$AD20,$BG$2)=0,"-",IF(COUNTIF('Програма-кодове'!$C20:$AD20,$BG$2)=1,INDEX('Програма-кодове'!$C$1:$AD$1,1,MATCH($BG$2,'Програма-кодове'!$C20:$AD20,0)),"Дублаж"))</f>
        <v>-</v>
      </c>
      <c r="BH21" s="30" t="str">
        <f>IF(COUNTIF('Програма-кодове'!$C20:$AD20,$BH$2)=0,"-",IF(COUNTIF('Програма-кодове'!$C20:$AD20,$BH$2)=1,INDEX('Програма-кодове'!$C$1:$AD$1,1,MATCH($BH$2,'Програма-кодове'!$C20:$AD20,0)),"Дублаж"))</f>
        <v>12а</v>
      </c>
      <c r="BI21" s="94" t="str">
        <f>IF(COUNTIF('Програма-кодове'!$C20:$AD20,$BI$2)=0,"-",IF(COUNTIF('Програма-кодове'!$C20:$AD20,$BI$2)=1,INDEX('Програма-кодове'!$C$1:$AD$1,1,MATCH($BI$2,'Програма-кодове'!$C20:$AD20,0)),IF('Програма-кодове'!Z20='Програма-кодове'!AA20,"12а,б","Дублаж")))</f>
        <v>-</v>
      </c>
      <c r="BJ21" s="94" t="str">
        <f>IF(COUNTIF('Програма-кодове'!$C20:$AD20,$BJ$2)=0,"-",IF(COUNTIF('Програма-кодове'!$C20:$AD20,$BJ$2)=1,INDEX('Програма-кодове'!$C$1:$AD$1,1,MATCH($BJ$2,'Програма-кодове'!$C20:$AD20,0)),"Дублаж"))</f>
        <v>-</v>
      </c>
      <c r="BK21" s="94" t="str">
        <f>IF(COUNTIF('Програма-кодове'!$C20:$AD20,$BK$2)=0,"-",IF(COUNTIF('Програма-кодове'!$C20:$AD20,$BK$2)=1,INDEX('Програма-кодове'!$C$1:$AD$1,1,MATCH($BK$2,'Програма-кодове'!$C20:$AD20,0)),IF('Програма-кодове'!K20='Програма-кодове'!O20,"9а,д",IF('Програма-кодове'!L20='Програма-кодове'!M20,"9б,в","Дублаж"))))</f>
        <v>-</v>
      </c>
      <c r="BL21" s="30" t="str">
        <f>IF(COUNTIF('Програма-кодове'!$C20:$AD20,$BL$2)=0,"-",IF(COUNTIF('Програма-кодове'!$C20:$AD20,$BL$2)=1,INDEX('Програма-кодове'!$C$1:$AD$1,1,MATCH($BL$2,'Програма-кодове'!$C20:$AD20,0)),"Дублаж"))</f>
        <v>-</v>
      </c>
      <c r="BM21" s="30" t="str">
        <f>IF(COUNTIF('Програма-кодове'!$C20:$AD20,$BM$2)=0,"-",IF(COUNTIF('Програма-кодове'!$C20:$AD20,$BM$2)=1,INDEX('Програма-кодове'!$C$1:$AD$1,1,MATCH($BM$2,'Програма-кодове'!$C20:$AD20,0)),"Дублаж"))</f>
        <v>-</v>
      </c>
      <c r="BN21" s="77" t="str">
        <f>IF(COUNTIF('Програма-кодове'!$C20:$AD20,$BN$2)=0,"-",IF(COUNTIF('Програма-кодове'!$C20:$AD20,$BN$2)=1,INDEX('Програма-кодове'!$C$1:$AD$1,1,MATCH($BN$2,'Програма-кодове'!$C20:$AD20,0)),IF(AND('Програма-кодове'!K20='Програма-кодове'!O20,'Програма-кодове'!K20&lt;&gt;""),"9а, д", IF(AND('Програма-кодове'!U20='Програма-кодове'!W20,'Програма-кодове'!U20&lt;&gt;""),"11а,в", "Дублаж"))))</f>
        <v>12в</v>
      </c>
      <c r="BO21" s="77" t="str">
        <f>IF(COUNTIF('Програма-кодове'!$C20:$AD20,$BO$2)=0,"-",IF(COUNTIF('Програма-кодове'!$C20:$AD20,$BO$2)=1,INDEX('Програма-кодове'!$C$1:$AD$1,1,MATCH($BO$2,'Програма-кодове'!$C20:$AD20,0)),IF(AND('Програма-кодове'!U20='Програма-кодове'!W20,'Програма-кодове'!U20&lt;&gt;"" ),"11a,в","Дублаж")))</f>
        <v>12б</v>
      </c>
      <c r="BP21" s="30" t="str">
        <f>IF(COUNTIF('Програма-кодове'!$C20:$AD20,$BP$2)=0,"-",IF(COUNTIF('Програма-кодове'!$C20:$AD20,$BP$2)=1,"9б,в,г","Дублаж"))</f>
        <v>-</v>
      </c>
      <c r="BQ21" s="30" t="str">
        <f>IF(COUNTIF('Програма-кодове'!$C20:$AD20,$BQ$2)=0,"-",IF(COUNTIF('Програма-кодове'!$C20:$AD20,$BQ$2)=1,INDEX('Програма-кодове'!$C$1:$AD$1,1,MATCH($BQ$2,'Програма-кодове'!$C20:$AD20,0)),"Дублаж"))</f>
        <v>-</v>
      </c>
      <c r="BR21" s="30" t="str">
        <f>IF(COUNTIF('Програма-кодове'!$C20:$AD20,$BR$2)=0,"-",IF(COUNTIF('Програма-кодове'!$C20:$AD20,$BR$2)=1,INDEX('Програма-кодове'!$C$1:$AD$1,1,MATCH($BR$2,'Програма-кодове'!$C20:$AD20,0)),IF('Програма-кодове'!W20='Програма-кодове'!X20,"11б,в","Дублаж")))</f>
        <v>-</v>
      </c>
      <c r="BS21" s="30" t="str">
        <f>IF(COUNTIF('Програма-кодове'!$C20:$AD20,$BS$2)=0,"-",IF(COUNTIF('Програма-кодове'!$C20:$AD20,$BS$2)=1,INDEX('Програма-кодове'!$C$1:$AD$1,1,MATCH($BS$2,'Програма-кодове'!$C20:$AD20,0)),"Дублаж"))</f>
        <v>-</v>
      </c>
      <c r="BT21" s="193" t="str">
        <f t="shared" si="17"/>
        <v>-</v>
      </c>
      <c r="BU21" s="30" t="str">
        <f>IF(COUNTIF('Програма-кодове'!$C20:$AD20,$BU$2)=0,"-",IF(COUNTIF('Програма-кодове'!$C20:$AD20,$BU$2)=1,INDEX('Програма-кодове'!$C$1:$AD$1,1,MATCH($BU$2,'Програма-кодове'!$C20:$AD20,0)),"Дублаж"))</f>
        <v>-</v>
      </c>
      <c r="BV21" s="30" t="str">
        <f>IF(COUNTIF('Програма-кодове'!$C20:$AD20,$BV$2)=0,"-",IF(COUNTIF('Програма-кодове'!$C20:$AD20,$BV$2)=1,INDEX('Програма-кодове'!$C$1:$AD$1,1,MATCH($BV$2,'Програма-кодове'!$C20:$AD20,0)),"Дублаж"))</f>
        <v>-</v>
      </c>
      <c r="BW21" s="30" t="str">
        <f>IF(COUNTIF('Програма-кодове'!$C20:$AD20,$BW$2)=0,"-",IF(COUNTIF('Програма-кодове'!$C20:$AD20,$BW$2)=1,INDEX('Програма-кодове'!$C$1:$AD$1,1,MATCH($BW$2,'Програма-кодове'!$C20:$AD20,0)),"Дублаж"))</f>
        <v>-</v>
      </c>
      <c r="BX21" s="30" t="str">
        <f>IF(COUNTIF('Програма-кодове'!$C20:$AD20,$BX$2)=0,"-",IF(COUNTIF('Програма-кодове'!$C20:$AD20,$BX$2)=1,INDEX('Програма-кодове'!$C$1:$AD$1,1,MATCH($BX$2,'Програма-кодове'!$C20:$AD20,0)),"Дублаж"))</f>
        <v>9д</v>
      </c>
      <c r="BY21" s="30" t="str">
        <f>IF(COUNTIF('Програма-кодове'!$C20:$AD20,$BY$2)=0,"-",IF(COUNTIF('Програма-кодове'!$C20:$AD20,$BY$2)=1,INDEX('Програма-кодове'!$C$1:$AD$1,1,MATCH($BY$2,'Програма-кодове'!$C20:$AD20,0)),"Дублаж"))</f>
        <v>11в</v>
      </c>
      <c r="BZ21" s="30" t="str">
        <f>IF(COUNTIF('Програма-кодове'!$C20:$AD20,$BZ$2)=0,"-",IF(COUNTIF('Програма-кодове'!$C20:$AD20,$BZ$2)=1,INDEX('Програма-кодове'!$C$1:$AD$1,1,MATCH($BZ$2,'Програма-кодове'!$C20:$AD20,0)),"Дублаж"))</f>
        <v>-</v>
      </c>
      <c r="CA21" s="30" t="str">
        <f>IF(COUNTIF('Програма-кодове'!$C20:$AD20,$CA$2)=0,"-",IF(COUNTIF('Програма-кодове'!$C20:$AD20,$CA$2)=1,INDEX('Програма-кодове'!$C$1:$AD$1,1,MATCH($CA$2,'Програма-кодове'!$C20:$AD20,0)),"Дублаж"))</f>
        <v>-</v>
      </c>
      <c r="CB21" s="30" t="str">
        <f>IF(COUNTIF('Програма-кодове'!$C20:$AD20,$CB$2)=0,"-",IF(COUNTIF('Програма-кодове'!$C20:$AD20,$CB$2)=1,INDEX('Програма-кодове'!$C$1:$AD$1,1,MATCH($CB$2,'Програма-кодове'!$C20:$AD20,0)),"Дублаж"))</f>
        <v>9г</v>
      </c>
      <c r="CC21" s="30" t="str">
        <f>IF(COUNTIF('Програма-кодове'!$C20:$AD20,$CC$2)=0,"-",IF(COUNTIF('Програма-кодове'!$C20:$AD20,$CC$2)=1,INDEX('Програма-кодове'!$C$1:$AD$1,1,MATCH($CC$2,'Програма-кодове'!$C20:$AD20,0)),"Дублаж"))</f>
        <v>-</v>
      </c>
      <c r="CD21" s="30" t="str">
        <f>IF(COUNTIF('Програма-кодове'!$C20:$AD20,$CD$2)=0,"-",IF(COUNTIF('Програма-кодове'!$C20:$AD20,$CD$2)=1,INDEX('Програма-кодове'!$C$1:$AD$1,1,MATCH($CD$2,'Програма-кодове'!$C20:$AD20,0)),"Дублаж"))</f>
        <v>-</v>
      </c>
      <c r="CE21" s="30" t="str">
        <f>IF(COUNTIF('Програма-кодове'!$C20:$AD20,$CE$2)=0,"-",IF(COUNTIF('Програма-кодове'!$C20:$AD20,$CE$2)=1,INDEX('Програма-кодове'!$C$1:$AD$1,1,MATCH($CE$2,'Програма-кодове'!$C20:$AD20,0)),"Дублаж"))</f>
        <v>-</v>
      </c>
    </row>
    <row r="22" spans="1:83" ht="13.5" customHeight="1">
      <c r="A22" s="367"/>
      <c r="B22" s="330">
        <v>6</v>
      </c>
      <c r="C22" s="194" t="str">
        <f>IF(COUNTIF('Програма-кодове'!$C21:$AD21,$C$2)=0,"-",IF(COUNTIF('Програма-кодове'!$C21:$AD21,$C$2)=1,INDEX('Програма-кодове'!$C$1:$AD$1,1,MATCH($C$2,'Програма-кодове'!$C21:$AD21,0)),"Дублаж"))</f>
        <v>-</v>
      </c>
      <c r="D22" s="194" t="str">
        <f>IF(COUNTIF('Програма-кодове'!$C21:$AD21,$D$2)=0,"-",IF(COUNTIF('Програма-кодове'!$C21:$AD21,$D$2)=1,INDEX('Програма-кодове'!$C$1:$AD$1,1,MATCH($D$2,'Програма-кодове'!$C21:$AD21,0)),"Дублаж"))</f>
        <v>-</v>
      </c>
      <c r="E22" s="194" t="str">
        <f>IF(COUNTIF('Програма-кодове'!$C21:$AD21,$E$2)=0,"-",IF(COUNTIF('Програма-кодове'!$C21:$AD21,$E$2)=1,INDEX('Програма-кодове'!$C$1:$AD$1,1,MATCH($E$2,'Програма-кодове'!$C21:$AD21,0)),"Дублаж"))</f>
        <v>8г</v>
      </c>
      <c r="F22" s="194" t="str">
        <f>IF(COUNTIF('Програма-кодове'!$C21:$AD21,$F$2)=0,"-",IF(COUNTIF('Програма-кодове'!$C21:$AD21,$F$2)=1,INDEX('Програма-кодове'!$C$1:$AD$1,1,MATCH($F$2,'Програма-кодове'!$C21:$AD21,0)),"Дублаж"))</f>
        <v>10в</v>
      </c>
      <c r="G22" s="346" t="str">
        <f>IF(COUNTIF('Програма-кодове'!$C21:$AD21,$G$2)=0,"-",IF(COUNTIF('Програма-кодове'!$C21:$AD21,$G$2)=1,INDEX('Програма-кодове'!$C$1:$AD$1,1,MATCH($G$2,'Програма-кодове'!$C21:$AD21,0)),"Дублаж"))</f>
        <v>-</v>
      </c>
      <c r="H22" s="194">
        <f>IF(COUNTIF('Програма-кодове'!$C21:$AD21,$H$2)=0,"-",IF(COUNTIF('Програма-кодове'!$C21:$AD21,$H$2)=1,INDEX('Програма-кодове'!$C$1:$AD$1,1,MATCH($H$2,'Програма-кодове'!$C21:$AD21,0)),"Дублаж"))</f>
        <v>5</v>
      </c>
      <c r="I22" s="194" t="str">
        <f>IF(COUNTIF('Програма-кодове'!$C21:$AD21,$I$2)=0,"-",IF(COUNTIF('Програма-кодове'!$C21:$AD21,$I$2)=1,INDEX('Програма-кодове'!$C$1:$AD$1,1,MATCH($I$2,'Програма-кодове'!$C21:$AD21,0)),"Дублаж"))</f>
        <v>11д</v>
      </c>
      <c r="J22" s="194" t="str">
        <f>IF(COUNTIF('Програма-кодове'!$C21:$AD21,$J$2)=0,"-",IF(COUNTIF('Програма-кодове'!$C21:$AD21,$J$2)=1,INDEX('Програма-кодове'!$C$1:$AD$1,1,MATCH($J$2,'Програма-кодове'!$C21:$AD21,0)),"Дублаж"))</f>
        <v>-</v>
      </c>
      <c r="K22" s="194" t="str">
        <f>IF(COUNTIF('Програма-кодове'!$C21:$AD21,$K$2)=0,"-",IF(COUNTIF('Програма-кодове'!$C21:$AD21,$K$2)=1,INDEX('Програма-кодове'!$C$1:$AD$1,1,MATCH($K$2,'Програма-кодове'!$C21:$AD21,0)),"Дублаж"))</f>
        <v>12д</v>
      </c>
      <c r="L22" s="194" t="str">
        <f>IF(COUNTIF('Програма-кодове'!$C21:$AD21,$L$2)=0,"-",IF(COUNTIF('Програма-кодове'!$C21:$AD21,$L$2)=1,INDEX('Програма-кодове'!$C$1:$AD$1,1,MATCH($L$2,'Програма-кодове'!$C21:$AD21,0)),"Дублаж"))</f>
        <v>10а</v>
      </c>
      <c r="M22" s="194" t="str">
        <f>IF(COUNTIF('Програма-кодове'!$C21:$AD21,$M$2)=0,"-",IF(COUNTIF('Програма-кодове'!$C21:$AD21,$M$2)=1,INDEX('Програма-кодове'!$C$1:$AD$1,1,MATCH($M$2,'Програма-кодове'!$C21:$AD21,0)),"Дублаж"))</f>
        <v>8б</v>
      </c>
      <c r="N22" s="197" t="str">
        <f>IF(COUNTIF('Програма-кодове'!$C21:$AD21,$N$2)=0,"-",IF(COUNTIF('Програма-кодове'!$C21:$AD21,$N$2)=1,INDEX('Програма-кодове'!$C$1:$AD$1,1,MATCH($N$2,'Програма-кодове'!$C21:$AD21,0)),"Дублаж"))</f>
        <v>8в</v>
      </c>
      <c r="O22" s="194" t="str">
        <f>IF(COUNTIF('Програма-кодове'!$C21:$AD21,$O$2)=0,"-",IF(COUNTIF('Програма-кодове'!$C21:$AD21,$O$2)=1,INDEX('Програма-кодове'!$C$1:$AD$1,1,MATCH($O$2,'Програма-кодове'!$C21:$AD21,0)),"Дублаж"))</f>
        <v>8д</v>
      </c>
      <c r="P22" s="194" t="str">
        <f>IF(COUNTIF('Програма-кодове'!$C21:$AD21,$P$2)=0,"-",IF(COUNTIF('Програма-кодове'!$C21:$AD21,$P$2)=1,INDEX('Програма-кодове'!$C$1:$AD$1,1,MATCH($P$2,'Програма-кодове'!$C21:$AD21,0)),"Дублаж"))</f>
        <v>8a</v>
      </c>
      <c r="Q22" s="194" t="str">
        <f>IF(COUNTIF('Програма-кодове'!$C21:$AD21,$Q$2)=0,"-",IF(COUNTIF('Програма-кодове'!$C21:$AD21,$Q$2)=1,INDEX('Програма-кодове'!$C$1:$AD$1,1,MATCH($Q$2,'Програма-кодове'!$C21:$AD21,0)),"Дублаж"))</f>
        <v>-</v>
      </c>
      <c r="R22" s="193" t="str">
        <f t="shared" si="0"/>
        <v>12в</v>
      </c>
      <c r="S22" s="193" t="str">
        <f t="shared" si="3"/>
        <v>12б</v>
      </c>
      <c r="T22" s="339" t="str">
        <f t="shared" si="4"/>
        <v>12б,в</v>
      </c>
      <c r="U22" s="194" t="str">
        <f>IF(COUNTIF('Програма-кодове'!$C21:$AD21,$U$2)=0,"-",IF(COUNTIF('Програма-кодове'!$C21:$AD21,$U$2)=1,INDEX('Програма-кодове'!$C$1:$AD$1,1,MATCH($U$2,'Програма-кодове'!$C21:$AD21,0)),"Дублаж"))</f>
        <v>12г</v>
      </c>
      <c r="V22" s="194" t="str">
        <f>IF(COUNTIF('Програма-кодове'!$C21:$AD21,$V$2)=0,"-",IF(COUNTIF('Програма-кодове'!$C21:$AD21,$V$2)=1,INDEX('Програма-кодове'!$C$1:$AD$1,1,MATCH($V$2,'Програма-кодове'!$C21:$AD21,0)),"Дублаж"))</f>
        <v>9а</v>
      </c>
      <c r="W22" s="339" t="str">
        <f>IF(COUNTIF('Програма-кодове'!$C21:$AD21,$W$2)=0,"-",IF(COUNTIF('Програма-кодове'!$C21:$AD21,$W$2)=1,INDEX('Програма-кодове'!$C$1:$AD$1,1,MATCH($W$2,'Програма-кодове'!$C21:$AD21,0)),"Дублаж"))</f>
        <v>-</v>
      </c>
      <c r="X22" s="194" t="str">
        <f>IF(COUNTIF('Програма-кодове'!$C21:$AD21,$X$2)=0,"-",IF(COUNTIF('Програма-кодове'!$C21:$AD21,$X$2)=1,INDEX('Програма-кодове'!$C$1:$AD$1,1,MATCH($X$2,'Програма-кодове'!$C21:$AD21,0)),"Дублаж"))</f>
        <v>9в</v>
      </c>
      <c r="Y22" s="194" t="str">
        <f>IF(COUNTIF('Програма-кодове'!$C21:$AD21,$Y$2)=0,"-",IF(COUNTIF('Програма-кодове'!$C21:$AD21,$Y$2)=1,INDEX('Програма-кодове'!$C$1:$AD$1,1,MATCH($Y$2,'Програма-кодове'!$C21:$AD21,0)),"Дублаж"))</f>
        <v>-</v>
      </c>
      <c r="Z22" s="194" t="str">
        <f>IF(COUNTIF('Програма-кодове'!$C21:$AD21,$Z$2)=0,"-",IF(COUNTIF('Програма-кодове'!$C21:$AD21,$Z$2)=1,INDEX('Програма-кодове'!$C$1:$AD$1,1,MATCH($Z$2,'Програма-кодове'!$C21:$AD21,0)),"Дублаж"))</f>
        <v>10б</v>
      </c>
      <c r="AA22" s="193" t="str">
        <f t="shared" si="5"/>
        <v>-</v>
      </c>
      <c r="AB22" s="193" t="str">
        <f t="shared" si="6"/>
        <v>-</v>
      </c>
      <c r="AC22" s="193" t="str">
        <f t="shared" si="7"/>
        <v>-</v>
      </c>
      <c r="AD22" s="193" t="str">
        <f t="shared" si="8"/>
        <v>-</v>
      </c>
      <c r="AE22" s="193" t="str">
        <f t="shared" si="9"/>
        <v>-</v>
      </c>
      <c r="AF22" s="193" t="str">
        <f t="shared" si="10"/>
        <v>11в</v>
      </c>
      <c r="AG22" s="193" t="str">
        <f>IF(BA22&lt;&gt;"-",IF(AND(BC22="-",BG22="-",BF22="-",BM22="-",BI22="-"),BA22,"Дублаж"),IF(BC22&lt;&gt;"-",IF(AND(BG22="-",BF22="-",BM22="-",BI22="-"),BC22,"Дублаж"),IF(BG22&lt;&gt;"-",IF(AND(BF22="-",BM22="-",BI22="-"),BG22,"Дублаж"),IF(BF22&lt;&gt;"-",IF(AND(BM22="-",BI22="-"),BF22,"Дублаж"),IF(BM22&lt;&gt;"-",IF(BI22="-",BM22,BI22),BI22)))))</f>
        <v>-</v>
      </c>
      <c r="AH22" s="193" t="str">
        <f t="shared" si="12"/>
        <v>11в</v>
      </c>
      <c r="AI22" s="196" t="str">
        <f t="shared" si="13"/>
        <v>11а</v>
      </c>
      <c r="AJ22" s="193" t="str">
        <f t="shared" si="14"/>
        <v>9д</v>
      </c>
      <c r="AK22" s="194" t="str">
        <f>IF(COUNTIF('Програма-кодове'!$C21:$AD21,$AK$2)=0,"-",IF(COUNTIF('Програма-кодове'!$C21:$AD21,$AK$2)=1,INDEX('Програма-кодове'!$C$1:$AD$1,1,MATCH($AK$2,'Програма-кодове'!$C21:$AD21,0)),"Дублаж"))</f>
        <v>12а</v>
      </c>
      <c r="AL22" s="194" t="str">
        <f>IF(COUNTIF('Програма-кодове'!$C21:$AD21,$AL$2)=0,"-",IF(COUNTIF('Програма-кодове'!$C21:$AD21,$AL$2)=1,INDEX('Програма-кодове'!$C$1:$AD$1,1,MATCH($AL$2,'Програма-кодове'!$C21:$AD21,0)),"Дублаж"))</f>
        <v>-</v>
      </c>
      <c r="AM22" s="196" t="str">
        <f>IF(COUNTIF('Програма-кодове'!$C21:$AD21,$AM$2)=0,"-",IF(COUNTIF('Програма-кодове'!$C21:$AD21,$AM$2)=1,INDEX('Програма-кодове'!$C$1:$AD$1,1,MATCH($AM$2,'Програма-кодове'!$C21:$AD21,0)),"Дублаж"))</f>
        <v>10г</v>
      </c>
      <c r="AN22" s="346" t="str">
        <f>IF(COUNTIF('Програма-кодове'!$C21:$AD21,$AN$2)=0,"-",IF(COUNTIF('Програма-кодове'!$C21:$AD21,$AN$2)=1,INDEX('Програма-кодове'!$C$1:$AD$1,1,MATCH($AN$2,'Програма-кодове'!$C21:$AD21,0)),"Дублаж"))</f>
        <v>10д</v>
      </c>
      <c r="AO22" s="346" t="str">
        <f>IF(COUNTIF('Програма-кодове'!$C21:$AD21,$AO$2)=0,"-",IF(COUNTIF('Програма-кодове'!$C21:$AD21,$AO$2)=1,INDEX('Програма-кодове'!$C$1:$AD$1,1,MATCH($AO$2,'Програма-кодове'!$C21:$AD21,0)),"Дублаж"))</f>
        <v>9б</v>
      </c>
      <c r="AP22" s="346" t="str">
        <f>IF(COUNTIF('Програма-кодове'!$C21:$AD21,$AP$2)=0,"-",IF(COUNTIF('Програма-кодове'!$C21:$AD21,$AP$2)=1,INDEX('Програма-кодове'!$C$1:$AD$1,1,MATCH($AP$2,'Програма-кодове'!$C21:$AD21,0)),"Дублаж"))</f>
        <v>-</v>
      </c>
      <c r="AQ22" s="346" t="str">
        <f t="shared" si="15"/>
        <v>11г</v>
      </c>
      <c r="AR22" s="346" t="str">
        <f>IF(COUNTIF('Програма-кодове'!$C21:$AD21,$AR$2)=0,"-",IF(COUNTIF('Програма-кодове'!$C21:$AD21,$AR$2)=1,INDEX('Програма-кодове'!$C$1:$AD$1,1,MATCH($AR$2,'Програма-кодове'!$C21:$AD21,0)),"Дублаж"))</f>
        <v>-</v>
      </c>
      <c r="AS22" s="346" t="str">
        <f>IF(COUNTIF('Програма-кодове'!$C21:$AD21,$AS$2)=0,"-",IF(COUNTIF('Програма-кодове'!$C21:$AD21,$AS$2)=1,INDEX('Програма-кодове'!$C$1:$AD$1,1,MATCH($AS$2,'Програма-кодове'!$C21:$AD21,0)),"Дублаж"))</f>
        <v>11б</v>
      </c>
      <c r="AT22" s="346">
        <f>IF(COUNTIF('Програма-кодове'!$C21:$AD21,$AT$2)=0,"-",IF(COUNTIF('Програма-кодове'!$C21:$AD21,$AT$2)=1,INDEX('Програма-кодове'!$C$1:$AD$1,1,MATCH($AT$2,'Програма-кодове'!$C21:$AD21,0)),"Дублаж"))</f>
        <v>7</v>
      </c>
      <c r="AU22" s="194" t="str">
        <f t="shared" si="22"/>
        <v>-</v>
      </c>
      <c r="AV22" s="194" t="str">
        <f t="shared" si="2"/>
        <v>9г</v>
      </c>
      <c r="AW22" s="194" t="str">
        <f>IF(COUNTIF('Програма-кодове'!$C21:$AD21,$AW$2)=0,"-",IF(COUNTIF('Програма-кодове'!$C21:$AD21,$AW$2)=1,INDEX('Програма-кодове'!$C$1:$AD$1,1,MATCH($AW$2,'Програма-кодове'!$C21:$AD21,0)),"Дублаж"))</f>
        <v>-</v>
      </c>
      <c r="AX22" s="194">
        <f>IF(COUNTIF('Програма-кодове'!$C21:$AD21,$AX$2)=0,"-",IF(COUNTIF('Програма-кодове'!$C21:$AD21,$AX$2)=1,INDEX('Програма-кодове'!$C$1:$AD$1,1,MATCH($AX$2,'Програма-кодове'!$C21:$AD21,0)),"Дублаж"))</f>
        <v>6</v>
      </c>
      <c r="AY22" s="194" t="str">
        <f>IF(COUNTIF('Програма-кодове'!$C21:$AD21,$AY$2)=0,"-",IF(COUNTIF('Програма-кодове'!$C21:$AD21,$AY$2)=1,INDEX('Програма-кодове'!$C$1:$AD$1,1,MATCH($AY$2,'Програма-кодове'!$C21:$AD21,0)),"Дублаж"))</f>
        <v>-</v>
      </c>
      <c r="AZ22" s="193" t="str">
        <f t="shared" si="16"/>
        <v>-</v>
      </c>
      <c r="BA22" s="30" t="str">
        <f>IF(COUNTIF('Програма-кодове'!$C21:$AD21,$BA$2)=0,"-",IF(COUNTIF('Програма-кодове'!$C21:$AD21,$BA$2)=1,INDEX('Програма-кодове'!$C$1:$AD$1,1,MATCH($BA$2,'Програма-кодове'!$C21:$AD21,0)),"Дублаж"))</f>
        <v>-</v>
      </c>
      <c r="BB22" s="30" t="str">
        <f>IF(COUNTIF('Програма-кодове'!$C21:$AD21,$BB$2)=0,"-",IF(COUNTIF('Програма-кодове'!$C21:$AD21,$BB$2)=1,INDEX('Програма-кодове'!$C$1:$AD$1,1,MATCH($BB$2,'Програма-кодове'!$C21:$AD21,0)),"Дублаж"))</f>
        <v>-</v>
      </c>
      <c r="BC22" s="30" t="str">
        <f>IF(COUNTIF('Програма-кодове'!$C21:$AD21,$BC$2)=0,"-",IF(COUNTIF('Програма-кодове'!$C21:$AD21,$BC$2)=1,INDEX('Програма-кодове'!$C$1:$AD$1,1,MATCH($BC$2,'Програма-кодове'!$C21:$AD21,0)),"Дублаж"))</f>
        <v>-</v>
      </c>
      <c r="BD22" s="30" t="str">
        <f>IF(COUNTIF('Програма-кодове'!$C21:$AD21,$BD$2)=0,"-",IF(COUNTIF('Програма-кодове'!$C21:$AD21,$BD$2)=1,INDEX('Програма-кодове'!$C$1:$AD$1,1,MATCH($BD$2,'Програма-кодове'!$C21:$AD21,0)),"Дублаж"))</f>
        <v>-</v>
      </c>
      <c r="BE22" s="30" t="str">
        <f>IF(COUNTIF('Програма-кодове'!$C21:$AD21,$BE$2)=0,"-",IF(COUNTIF('Програма-кодове'!$C21:$AD21,$BE$2)=1,INDEX('Програма-кодове'!$C$1:$AD$1,1,MATCH($BE$2,'Програма-кодове'!$C21:$AD21,0)),"Дублаж"))</f>
        <v>11в</v>
      </c>
      <c r="BF22" s="30" t="str">
        <f>IF(COUNTIF('Програма-кодове'!$C21:$AD21,$BF$2)=0,"-",IF(COUNTIF('Програма-кодове'!$C21:$AD21,$BF$2)=1,INDEX('Програма-кодове'!$C$1:$AD$1,1,MATCH($BF$2,'Програма-кодове'!$C21:$AD21,0)),"Дублаж"))</f>
        <v>-</v>
      </c>
      <c r="BG22" s="30" t="str">
        <f>IF(COUNTIF('Програма-кодове'!$C21:$AD21,$BG$2)=0,"-",IF(COUNTIF('Програма-кодове'!$C21:$AD21,$BG$2)=1,INDEX('Програма-кодове'!$C$1:$AD$1,1,MATCH($BG$2,'Програма-кодове'!$C21:$AD21,0)),"Дублаж"))</f>
        <v>-</v>
      </c>
      <c r="BH22" s="30" t="str">
        <f>IF(COUNTIF('Програма-кодове'!$C21:$AD21,$BH$2)=0,"-",IF(COUNTIF('Програма-кодове'!$C21:$AD21,$BH$2)=1,INDEX('Програма-кодове'!$C$1:$AD$1,1,MATCH($BH$2,'Програма-кодове'!$C21:$AD21,0)),"Дублаж"))</f>
        <v>-</v>
      </c>
      <c r="BI22" s="94" t="str">
        <f>IF(COUNTIF('Програма-кодове'!$C21:$AD21,$BI$2)=0,"-",IF(COUNTIF('Програма-кодове'!$C21:$AD21,$BI$2)=1,INDEX('Програма-кодове'!$C$1:$AD$1,1,MATCH($BI$2,'Програма-кодове'!$C21:$AD21,0)),IF('Програма-кодове'!Z21='Програма-кодове'!AA21,"12а,б","Дублаж")))</f>
        <v>-</v>
      </c>
      <c r="BJ22" s="94" t="str">
        <f>IF(COUNTIF('Програма-кодове'!$C21:$AD21,$BJ$2)=0,"-",IF(COUNTIF('Програма-кодове'!$C21:$AD21,$BJ$2)=1,INDEX('Програма-кодове'!$C$1:$AD$1,1,MATCH($BJ$2,'Програма-кодове'!$C21:$AD21,0)),"Дублаж"))</f>
        <v>-</v>
      </c>
      <c r="BK22" s="94" t="str">
        <f>IF(COUNTIF('Програма-кодове'!$C21:$AD21,$BK$2)=0,"-",IF(COUNTIF('Програма-кодове'!$C21:$AD21,$BK$2)=1,INDEX('Програма-кодове'!$C$1:$AD$1,1,MATCH($BK$2,'Програма-кодове'!$C21:$AD21,0)),IF('Програма-кодове'!K21='Програма-кодове'!O21,"9а,д",IF('Програма-кодове'!L21='Програма-кодове'!M21,"9б,в","Дублаж"))))</f>
        <v>-</v>
      </c>
      <c r="BL22" s="30" t="str">
        <f>IF(COUNTIF('Програма-кодове'!$C21:$AD21,$BL$2)=0,"-",IF(COUNTIF('Програма-кодове'!$C21:$AD21,$BL$2)=1,INDEX('Програма-кодове'!$C$1:$AD$1,1,MATCH($BL$2,'Програма-кодове'!$C21:$AD21,0)),"Дублаж"))</f>
        <v>-</v>
      </c>
      <c r="BM22" s="30" t="str">
        <f>IF(COUNTIF('Програма-кодове'!$C21:$AD21,$BM$2)=0,"-",IF(COUNTIF('Програма-кодове'!$C21:$AD21,$BM$2)=1,INDEX('Програма-кодове'!$C$1:$AD$1,1,MATCH($BM$2,'Програма-кодове'!$C21:$AD21,0)),"Дублаж"))</f>
        <v>-</v>
      </c>
      <c r="BN22" s="77" t="str">
        <f>IF(COUNTIF('Програма-кодове'!$C21:$AD21,$BN$2)=0,"-",IF(COUNTIF('Програма-кодове'!$C21:$AD21,$BN$2)=1,INDEX('Програма-кодове'!$C$1:$AD$1,1,MATCH($BN$2,'Програма-кодове'!$C21:$AD21,0)),IF(AND('Програма-кодове'!K21='Програма-кодове'!O21,'Програма-кодове'!K21&lt;&gt;""),"9а, д", IF(AND('Програма-кодове'!U21='Програма-кодове'!W21,'Програма-кодове'!U21&lt;&gt;""),"11а,в", "Дублаж"))))</f>
        <v>12в</v>
      </c>
      <c r="BO22" s="77" t="str">
        <f>IF(COUNTIF('Програма-кодове'!$C21:$AD21,$BO$2)=0,"-",IF(COUNTIF('Програма-кодове'!$C21:$AD21,$BO$2)=1,INDEX('Програма-кодове'!$C$1:$AD$1,1,MATCH($BO$2,'Програма-кодове'!$C21:$AD21,0)),IF(AND('Програма-кодове'!U21='Програма-кодове'!W21,'Програма-кодове'!U21&lt;&gt;"" ),"11a,в","Дублаж")))</f>
        <v>12б</v>
      </c>
      <c r="BP22" s="30" t="str">
        <f>IF(COUNTIF('Програма-кодове'!$C21:$AD21,$BP$2)=0,"-",IF(COUNTIF('Програма-кодове'!$C21:$AD21,$BP$2)=1,"9б,в,г","Дублаж"))</f>
        <v>-</v>
      </c>
      <c r="BQ22" s="30" t="str">
        <f>IF(COUNTIF('Програма-кодове'!$C21:$AD21,$BQ$2)=0,"-",IF(COUNTIF('Програма-кодове'!$C21:$AD21,$BQ$2)=1,INDEX('Програма-кодове'!$C$1:$AD$1,1,MATCH($BQ$2,'Програма-кодове'!$C21:$AD21,0)),"Дублаж"))</f>
        <v>-</v>
      </c>
      <c r="BR22" s="30" t="str">
        <f>IF(COUNTIF('Програма-кодове'!$C21:$AD21,$BR$2)=0,"-",IF(COUNTIF('Програма-кодове'!$C21:$AD21,$BR$2)=1,INDEX('Програма-кодове'!$C$1:$AD$1,1,MATCH($BR$2,'Програма-кодове'!$C21:$AD21,0)),IF('Програма-кодове'!W21='Програма-кодове'!X21,"11б,в","Дублаж")))</f>
        <v>-</v>
      </c>
      <c r="BS22" s="30" t="str">
        <f>IF(COUNTIF('Програма-кодове'!$C21:$AD21,$BS$2)=0,"-",IF(COUNTIF('Програма-кодове'!$C21:$AD21,$BS$2)=1,INDEX('Програма-кодове'!$C$1:$AD$1,1,MATCH($BS$2,'Програма-кодове'!$C21:$AD21,0)),"Дублаж"))</f>
        <v>-</v>
      </c>
      <c r="BT22" s="193" t="str">
        <f t="shared" si="17"/>
        <v>-</v>
      </c>
      <c r="BU22" s="30" t="str">
        <f>IF(COUNTIF('Програма-кодове'!$C21:$AD21,$BU$2)=0,"-",IF(COUNTIF('Програма-кодове'!$C21:$AD21,$BU$2)=1,INDEX('Програма-кодове'!$C$1:$AD$1,1,MATCH($BU$2,'Програма-кодове'!$C21:$AD21,0)),"Дублаж"))</f>
        <v>-</v>
      </c>
      <c r="BV22" s="30" t="str">
        <f>IF(COUNTIF('Програма-кодове'!$C21:$AD21,$BV$2)=0,"-",IF(COUNTIF('Програма-кодове'!$C21:$AD21,$BV$2)=1,INDEX('Програма-кодове'!$C$1:$AD$1,1,MATCH($BV$2,'Програма-кодове'!$C21:$AD21,0)),"Дублаж"))</f>
        <v>-</v>
      </c>
      <c r="BW22" s="30" t="str">
        <f>IF(COUNTIF('Програма-кодове'!$C21:$AD21,$BW$2)=0,"-",IF(COUNTIF('Програма-кодове'!$C21:$AD21,$BW$2)=1,INDEX('Програма-кодове'!$C$1:$AD$1,1,MATCH($BW$2,'Програма-кодове'!$C21:$AD21,0)),"Дублаж"))</f>
        <v>-</v>
      </c>
      <c r="BX22" s="30" t="str">
        <f>IF(COUNTIF('Програма-кодове'!$C21:$AD21,$BX$2)=0,"-",IF(COUNTIF('Програма-кодове'!$C21:$AD21,$BX$2)=1,INDEX('Програма-кодове'!$C$1:$AD$1,1,MATCH($BX$2,'Програма-кодове'!$C21:$AD21,0)),"Дублаж"))</f>
        <v>9г</v>
      </c>
      <c r="BY22" s="30" t="str">
        <f>IF(COUNTIF('Програма-кодове'!$C21:$AD21,$BY$2)=0,"-",IF(COUNTIF('Програма-кодове'!$C21:$AD21,$BY$2)=1,INDEX('Програма-кодове'!$C$1:$AD$1,1,MATCH($BY$2,'Програма-кодове'!$C21:$AD21,0)),"Дублаж"))</f>
        <v>11а</v>
      </c>
      <c r="BZ22" s="30" t="str">
        <f>IF(COUNTIF('Програма-кодове'!$C21:$AD21,$BZ$2)=0,"-",IF(COUNTIF('Програма-кодове'!$C21:$AD21,$BZ$2)=1,INDEX('Програма-кодове'!$C$1:$AD$1,1,MATCH($BZ$2,'Програма-кодове'!$C21:$AD21,0)),"Дублаж"))</f>
        <v>-</v>
      </c>
      <c r="CA22" s="30" t="str">
        <f>IF(COUNTIF('Програма-кодове'!$C21:$AD21,$CA$2)=0,"-",IF(COUNTIF('Програма-кодове'!$C21:$AD21,$CA$2)=1,INDEX('Програма-кодове'!$C$1:$AD$1,1,MATCH($CA$2,'Програма-кодове'!$C21:$AD21,0)),"Дублаж"))</f>
        <v>-</v>
      </c>
      <c r="CB22" s="30" t="str">
        <f>IF(COUNTIF('Програма-кодове'!$C21:$AD21,$CB$2)=0,"-",IF(COUNTIF('Програма-кодове'!$C21:$AD21,$CB$2)=1,INDEX('Програма-кодове'!$C$1:$AD$1,1,MATCH($CB$2,'Програма-кодове'!$C21:$AD21,0)),"Дублаж"))</f>
        <v>11г</v>
      </c>
      <c r="CC22" s="30" t="str">
        <f>IF(COUNTIF('Програма-кодове'!$C21:$AD21,$CC$2)=0,"-",IF(COUNTIF('Програма-кодове'!$C21:$AD21,$CC$2)=1,INDEX('Програма-кодове'!$C$1:$AD$1,1,MATCH($CC$2,'Програма-кодове'!$C21:$AD21,0)),"Дублаж"))</f>
        <v>-</v>
      </c>
      <c r="CD22" s="30" t="str">
        <f>IF(COUNTIF('Програма-кодове'!$C21:$AD21,$CD$2)=0,"-",IF(COUNTIF('Програма-кодове'!$C21:$AD21,$CD$2)=1,INDEX('Програма-кодове'!$C$1:$AD$1,1,MATCH($CD$2,'Програма-кодове'!$C21:$AD21,0)),"Дублаж"))</f>
        <v>9д</v>
      </c>
      <c r="CE22" s="30" t="str">
        <f>IF(COUNTIF('Програма-кодове'!$C21:$AD21,$CE$2)=0,"-",IF(COUNTIF('Програма-кодове'!$C21:$AD21,$CE$2)=1,INDEX('Програма-кодове'!$C$1:$AD$1,1,MATCH($CE$2,'Програма-кодове'!$C21:$AD21,0)),"Дублаж"))</f>
        <v>-</v>
      </c>
    </row>
    <row r="23" spans="1:83" ht="13.5" customHeight="1" thickBot="1">
      <c r="A23" s="368"/>
      <c r="B23" s="349">
        <v>7</v>
      </c>
      <c r="C23" s="331" t="str">
        <f>IF(COUNTIF('Програма-кодове'!$C22:$AD22,$C$2)=0,"-",IF(COUNTIF('Програма-кодове'!$C22:$AD22,$C$2)=1,INDEX('Програма-кодове'!$C$1:$AD$1,1,MATCH($C$2,'Програма-кодове'!$C22:$AD22,0)),"Дублаж"))</f>
        <v>-</v>
      </c>
      <c r="D23" s="331" t="str">
        <f>IF(COUNTIF('Програма-кодове'!$C22:$AD22,$D$2)=0,"-",IF(COUNTIF('Програма-кодове'!$C22:$AD22,$D$2)=1,INDEX('Програма-кодове'!$C$1:$AD$1,1,MATCH($D$2,'Програма-кодове'!$C22:$AD22,0)),"Дублаж"))</f>
        <v>-</v>
      </c>
      <c r="E23" s="331">
        <f>IF(COUNTIF('Програма-кодове'!$C22:$AD22,$E$2)=0,"-",IF(COUNTIF('Програма-кодове'!$C22:$AD22,$E$2)=1,INDEX('Програма-кодове'!$C$1:$AD$1,1,MATCH($E$2,'Програма-кодове'!$C22:$AD22,0)),"Дублаж"))</f>
        <v>7</v>
      </c>
      <c r="F23" s="331" t="str">
        <f>IF(COUNTIF('Програма-кодове'!$C22:$AD22,$F$2)=0,"-",IF(COUNTIF('Програма-кодове'!$C22:$AD22,$F$2)=1,INDEX('Програма-кодове'!$C$1:$AD$1,1,MATCH($F$2,'Програма-кодове'!$C22:$AD22,0)),"Дублаж"))</f>
        <v>8б</v>
      </c>
      <c r="G23" s="331" t="str">
        <f>IF(COUNTIF('Програма-кодове'!$C22:$AD22,$G$2)=0,"-",IF(COUNTIF('Програма-кодове'!$C22:$AD22,$G$2)=1,INDEX('Програма-кодове'!$C$1:$AD$1,1,MATCH($G$2,'Програма-кодове'!$C22:$AD22,0)),"Дублаж"))</f>
        <v>-</v>
      </c>
      <c r="H23" s="331" t="str">
        <f>IF(COUNTIF('Програма-кодове'!$C22:$AD22,$H$2)=0,"-",IF(COUNTIF('Програма-кодове'!$C22:$AD22,$H$2)=1,INDEX('Програма-кодове'!$C$1:$AD$1,1,MATCH($H$2,'Програма-кодове'!$C22:$AD22,0)),"Дублаж"))</f>
        <v>9а</v>
      </c>
      <c r="I23" s="331" t="str">
        <f>IF(COUNTIF('Програма-кодове'!$C22:$AD22,$I$2)=0,"-",IF(COUNTIF('Програма-кодове'!$C22:$AD22,$I$2)=1,INDEX('Програма-кодове'!$C$1:$AD$1,1,MATCH($I$2,'Програма-кодове'!$C22:$AD22,0)),"Дублаж"))</f>
        <v>11в</v>
      </c>
      <c r="J23" s="331" t="str">
        <f>IF(COUNTIF('Програма-кодове'!$C22:$AD22,$J$2)=0,"-",IF(COUNTIF('Програма-кодове'!$C22:$AD22,$J$2)=1,INDEX('Програма-кодове'!$C$1:$AD$1,1,MATCH($J$2,'Програма-кодове'!$C22:$AD22,0)),"Дублаж"))</f>
        <v>8г</v>
      </c>
      <c r="K23" s="331" t="str">
        <f>IF(COUNTIF('Програма-кодове'!$C22:$AD22,$K$2)=0,"-",IF(COUNTIF('Програма-кодове'!$C22:$AD22,$K$2)=1,INDEX('Програма-кодове'!$C$1:$AD$1,1,MATCH($K$2,'Програма-кодове'!$C22:$AD22,0)),"Дублаж"))</f>
        <v>12г</v>
      </c>
      <c r="L23" s="331" t="str">
        <f>IF(COUNTIF('Програма-кодове'!$C22:$AD22,$L$2)=0,"-",IF(COUNTIF('Програма-кодове'!$C22:$AD22,$L$2)=1,INDEX('Програма-кодове'!$C$1:$AD$1,1,MATCH($L$2,'Програма-кодове'!$C22:$AD22,0)),"Дублаж"))</f>
        <v>10в</v>
      </c>
      <c r="M23" s="326" t="str">
        <f>IF(COUNTIF('Програма-кодове'!$C22:$AD22,$M$2)=0,"-",IF(COUNTIF('Програма-кодове'!$C22:$AD22,$M$2)=1,INDEX('Програма-кодове'!$C$1:$AD$1,1,MATCH($M$2,'Програма-кодове'!$C22:$AD22,0)),"Дублаж"))</f>
        <v>-</v>
      </c>
      <c r="N23" s="331" t="str">
        <f>IF(COUNTIF('Програма-кодове'!$C22:$AD22,$N$2)=0,"-",IF(COUNTIF('Програма-кодове'!$C22:$AD22,$N$2)=1,INDEX('Програма-кодове'!$C$1:$AD$1,1,MATCH($N$2,'Програма-кодове'!$C22:$AD22,0)),"Дублаж"))</f>
        <v>8в</v>
      </c>
      <c r="O23" s="331" t="str">
        <f>IF(COUNTIF('Програма-кодове'!$C22:$AD22,$O$2)=0,"-",IF(COUNTIF('Програма-кодове'!$C22:$AD22,$O$2)=1,INDEX('Програма-кодове'!$C$1:$AD$1,1,MATCH($O$2,'Програма-кодове'!$C22:$AD22,0)),"Дублаж"))</f>
        <v>8д</v>
      </c>
      <c r="P23" s="331" t="str">
        <f>IF(COUNTIF('Програма-кодове'!$C22:$AD22,$P$2)=0,"-",IF(COUNTIF('Програма-кодове'!$C22:$AD22,$P$2)=1,INDEX('Програма-кодове'!$C$1:$AD$1,1,MATCH($P$2,'Програма-кодове'!$C22:$AD22,0)),"Дублаж"))</f>
        <v>8a</v>
      </c>
      <c r="Q23" s="326" t="str">
        <f>IF(COUNTIF('Програма-кодове'!$C22:$AD22,$Q$2)=0,"-",IF(COUNTIF('Програма-кодове'!$C22:$AD22,$Q$2)=1,INDEX('Програма-кодове'!$C$1:$AD$1,1,MATCH($Q$2,'Програма-кодове'!$C22:$AD22,0)),"Дублаж"))</f>
        <v>9д</v>
      </c>
      <c r="R23" s="322" t="str">
        <f t="shared" si="0"/>
        <v>-</v>
      </c>
      <c r="S23" s="322" t="str">
        <f t="shared" si="3"/>
        <v>11г</v>
      </c>
      <c r="T23" s="340" t="str">
        <f t="shared" si="4"/>
        <v>11а</v>
      </c>
      <c r="U23" s="331" t="str">
        <f>IF(COUNTIF('Програма-кодове'!$C22:$AD22,$U$2)=0,"-",IF(COUNTIF('Програма-кодове'!$C22:$AD22,$U$2)=1,INDEX('Програма-кодове'!$C$1:$AD$1,1,MATCH($U$2,'Програма-кодове'!$C22:$AD22,0)),"Дублаж"))</f>
        <v>12а</v>
      </c>
      <c r="V23" s="331" t="str">
        <f>IF(COUNTIF('Програма-кодове'!$C22:$AD22,$V$2)=0,"-",IF(COUNTIF('Програма-кодове'!$C22:$AD22,$V$2)=1,INDEX('Програма-кодове'!$C$1:$AD$1,1,MATCH($V$2,'Програма-кодове'!$C22:$AD22,0)),"Дублаж"))</f>
        <v>9г</v>
      </c>
      <c r="W23" s="340" t="str">
        <f>IF(COUNTIF('Програма-кодове'!$C22:$AD22,$W$2)=0,"-",IF(COUNTIF('Програма-кодове'!$C22:$AD22,$W$2)=1,INDEX('Програма-кодове'!$C$1:$AD$1,1,MATCH($W$2,'Програма-кодове'!$C22:$AD22,0)),"Дублаж"))</f>
        <v>-</v>
      </c>
      <c r="X23" s="331" t="str">
        <f>IF(COUNTIF('Програма-кодове'!$C22:$AD22,$X$2)=0,"-",IF(COUNTIF('Програма-кодове'!$C22:$AD22,$X$2)=1,INDEX('Програма-кодове'!$C$1:$AD$1,1,MATCH($X$2,'Програма-кодове'!$C22:$AD22,0)),"Дублаж"))</f>
        <v>9б</v>
      </c>
      <c r="Y23" s="331" t="str">
        <f>IF(COUNTIF('Програма-кодове'!$C22:$AD22,$Y$2)=0,"-",IF(COUNTIF('Програма-кодове'!$C22:$AD22,$Y$2)=1,INDEX('Програма-кодове'!$C$1:$AD$1,1,MATCH($Y$2,'Програма-кодове'!$C22:$AD22,0)),"Дублаж"))</f>
        <v>11б</v>
      </c>
      <c r="Z23" s="331" t="str">
        <f>IF(COUNTIF('Програма-кодове'!$C22:$AD22,$Z$2)=0,"-",IF(COUNTIF('Програма-кодове'!$C22:$AD22,$Z$2)=1,INDEX('Програма-кодове'!$C$1:$AD$1,1,MATCH($Z$2,'Програма-кодове'!$C22:$AD22,0)),"Дублаж"))</f>
        <v>10б</v>
      </c>
      <c r="AA23" s="331" t="str">
        <f t="shared" si="5"/>
        <v>-</v>
      </c>
      <c r="AB23" s="331" t="str">
        <f t="shared" si="6"/>
        <v>-</v>
      </c>
      <c r="AC23" s="331" t="str">
        <f t="shared" si="7"/>
        <v>-</v>
      </c>
      <c r="AD23" s="331" t="str">
        <f t="shared" si="8"/>
        <v>-</v>
      </c>
      <c r="AE23" s="331" t="str">
        <f t="shared" si="9"/>
        <v>-</v>
      </c>
      <c r="AF23" s="331" t="str">
        <f t="shared" si="10"/>
        <v>-</v>
      </c>
      <c r="AG23" s="331" t="str">
        <f>IF(BA23&lt;&gt;"-",IF(AND(BC23="-",BG23="-",BF23="-",BM23="-",BI23="-"),BA23,"Дублаж"),IF(BC23&lt;&gt;"-",IF(AND(BG23="-",BF23="-",BM23="-",BI23="-"),BC23,"Дублаж"),IF(BG23&lt;&gt;"-",IF(AND(BF23="-",BM23="-",BI23="-"),BG23,"Дублаж"),IF(BF23&lt;&gt;"-",IF(AND(BM23="-",BI23="-"),BF23,"Дублаж"),IF(BM23&lt;&gt;"-",IF(BI23="-",BM23,BI23),BI23)))))</f>
        <v>-</v>
      </c>
      <c r="AH23" s="331" t="str">
        <f t="shared" si="12"/>
        <v>-</v>
      </c>
      <c r="AI23" s="331" t="str">
        <f t="shared" si="13"/>
        <v>10а</v>
      </c>
      <c r="AJ23" s="322" t="str">
        <f t="shared" si="14"/>
        <v>12в</v>
      </c>
      <c r="AK23" s="331" t="str">
        <f>IF(COUNTIF('Програма-кодове'!$C22:$AD22,$AK$2)=0,"-",IF(COUNTIF('Програма-кодове'!$C22:$AD22,$AK$2)=1,INDEX('Програма-кодове'!$C$1:$AD$1,1,MATCH($AK$2,'Програма-кодове'!$C22:$AD22,0)),"Дублаж"))</f>
        <v>12б</v>
      </c>
      <c r="AL23" s="331">
        <f>IF(COUNTIF('Програма-кодове'!$C22:$AD22,$AL$2)=0,"-",IF(COUNTIF('Програма-кодове'!$C22:$AD22,$AL$2)=1,INDEX('Програма-кодове'!$C$1:$AD$1,1,MATCH($AL$2,'Програма-кодове'!$C22:$AD22,0)),"Дублаж"))</f>
        <v>6</v>
      </c>
      <c r="AM23" s="331" t="str">
        <f>IF(COUNTIF('Програма-кодове'!$C22:$AD22,$AM$2)=0,"-",IF(COUNTIF('Програма-кодове'!$C22:$AD22,$AM$2)=1,INDEX('Програма-кодове'!$C$1:$AD$1,1,MATCH($AM$2,'Програма-кодове'!$C22:$AD22,0)),"Дублаж"))</f>
        <v>-</v>
      </c>
      <c r="AN23" s="331" t="str">
        <f>IF(COUNTIF('Програма-кодове'!$C22:$AD22,$AN$2)=0,"-",IF(COUNTIF('Програма-кодове'!$C22:$AD22,$AN$2)=1,INDEX('Програма-кодове'!$C$1:$AD$1,1,MATCH($AN$2,'Програма-кодове'!$C22:$AD22,0)),"Дублаж"))</f>
        <v>10г</v>
      </c>
      <c r="AO23" s="331" t="str">
        <f>IF(COUNTIF('Програма-кодове'!$C22:$AD22,$AO$2)=0,"-",IF(COUNTIF('Програма-кодове'!$C22:$AD22,$AO$2)=1,INDEX('Програма-кодове'!$C$1:$AD$1,1,MATCH($AO$2,'Програма-кодове'!$C22:$AD22,0)),"Дублаж"))</f>
        <v>9в</v>
      </c>
      <c r="AP23" s="331" t="str">
        <f>IF(COUNTIF('Програма-кодове'!$C22:$AD22,$AP$2)=0,"-",IF(COUNTIF('Програма-кодове'!$C22:$AD22,$AP$2)=1,INDEX('Програма-кодове'!$C$1:$AD$1,1,MATCH($AP$2,'Програма-кодове'!$C22:$AD22,0)),"Дублаж"))</f>
        <v>-</v>
      </c>
      <c r="AQ23" s="331" t="str">
        <f>IF(AND(CA23&lt;&gt;"-",CB23&lt;&gt;"-"),"Дублаж",IF(CA23&lt;&gt;"-",CA23,CB23))</f>
        <v>11д</v>
      </c>
      <c r="AR23" s="331" t="str">
        <f>IF(COUNTIF('Програма-кодове'!$C22:$AD22,$AR$2)=0,"-",IF(COUNTIF('Програма-кодове'!$C22:$AD22,$AR$2)=1,INDEX('Програма-кодове'!$C$1:$AD$1,1,MATCH($AR$2,'Програма-кодове'!$C22:$AD22,0)),"Дублаж"))</f>
        <v>-</v>
      </c>
      <c r="AS23" s="331" t="str">
        <f>IF(COUNTIF('Програма-кодове'!$C22:$AD22,$AS$2)=0,"-",IF(COUNTIF('Програма-кодове'!$C22:$AD22,$AS$2)=1,INDEX('Програма-кодове'!$C$1:$AD$1,1,MATCH($AS$2,'Програма-кодове'!$C22:$AD22,0)),"Дублаж"))</f>
        <v>10д</v>
      </c>
      <c r="AT23" s="331" t="str">
        <f>IF(COUNTIF('Програма-кодове'!$C22:$AD22,$AT$2)=0,"-",IF(COUNTIF('Програма-кодове'!$C22:$AD22,$AT$2)=1,INDEX('Програма-кодове'!$C$1:$AD$1,1,MATCH($AT$2,'Програма-кодове'!$C22:$AD22,0)),"Дублаж"))</f>
        <v>12д</v>
      </c>
      <c r="AU23" s="19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V23" s="195">
        <f t="shared" si="2"/>
        <v>5</v>
      </c>
      <c r="AW23" s="19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X23" s="19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Y23" s="195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Z23" s="331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BA23" s="30" t="str">
        <f>IF(COUNTIF('Програма-кодове'!$C22:$AD22,$BA$2)=0,"-",IF(COUNTIF('Програма-кодове'!$C22:$AD22,$BA$2)=1,INDEX('Програма-кодове'!$C$1:$AD$1,1,MATCH($BA$2,'Програма-кодове'!$C22:$AD22,0)),"Дублаж"))</f>
        <v>-</v>
      </c>
      <c r="BB23" s="30" t="str">
        <f>IF(COUNTIF('Програма-кодове'!$C22:$AD22,$BB$2)=0,"-",IF(COUNTIF('Програма-кодове'!$C22:$AD22,$BB$2)=1,INDEX('Програма-кодове'!$C$1:$AD$1,1,MATCH($BB$2,'Програма-кодове'!$C22:$AD22,0)),"Дублаж"))</f>
        <v>-</v>
      </c>
      <c r="BC23" s="30" t="str">
        <f>IF(COUNTIF('Програма-кодове'!$C22:$AD22,$BC$2)=0,"-",IF(COUNTIF('Програма-кодове'!$C22:$AD22,$BC$2)=1,INDEX('Програма-кодове'!$C$1:$AD$1,1,MATCH($BC$2,'Програма-кодове'!$C22:$AD22,0)),"Дублаж"))</f>
        <v>-</v>
      </c>
      <c r="BD23" s="30" t="str">
        <f>IF(COUNTIF('Програма-кодове'!$C22:$AD22,$BD$2)=0,"-",IF(COUNTIF('Програма-кодове'!$C22:$AD22,$BD$2)=1,INDEX('Програма-кодове'!$C$1:$AD$1,1,MATCH($BD$2,'Програма-кодове'!$C22:$AD22,0)),"Дублаж"))</f>
        <v>-</v>
      </c>
      <c r="BE23" s="30" t="str">
        <f>IF(COUNTIF('Програма-кодове'!$C22:$AD22,$BE$2)=0,"-",IF(COUNTIF('Програма-кодове'!$C22:$AD22,$BE$2)=1,INDEX('Програма-кодове'!$C$1:$AD$1,1,MATCH($BE$2,'Програма-кодове'!$C22:$AD22,0)),"Дублаж"))</f>
        <v>-</v>
      </c>
      <c r="BF23" s="30" t="str">
        <f>IF(COUNTIF('Програма-кодове'!$C22:$AD22,$BF$2)=0,"-",IF(COUNTIF('Програма-кодове'!$C22:$AD22,$BF$2)=1,INDEX('Програма-кодове'!$C$1:$AD$1,1,MATCH($BF$2,'Програма-кодове'!$C22:$AD22,0)),"Дублаж"))</f>
        <v>-</v>
      </c>
      <c r="BG23" s="30" t="str">
        <f>IF(COUNTIF('Програма-кодове'!$C22:$AD22,$BG$2)=0,"-",IF(COUNTIF('Програма-кодове'!$C22:$AD22,$BG$2)=1,INDEX('Програма-кодове'!$C$1:$AD$1,1,MATCH($BG$2,'Програма-кодове'!$C22:$AD22,0)),"Дублаж"))</f>
        <v>-</v>
      </c>
      <c r="BH23" s="30" t="str">
        <f>IF(COUNTIF('Програма-кодове'!$C22:$AD22,$BH$2)=0,"-",IF(COUNTIF('Програма-кодове'!$C22:$AD22,$BH$2)=1,INDEX('Програма-кодове'!$C$1:$AD$1,1,MATCH($BH$2,'Програма-кодове'!$C22:$AD22,0)),"Дублаж"))</f>
        <v>-</v>
      </c>
      <c r="BI23" s="94" t="str">
        <f>IF(COUNTIF('Програма-кодове'!$C22:$AD22,$BI$2)=0,"-",IF(COUNTIF('Програма-кодове'!$C22:$AD22,$BI$2)=1,INDEX('Програма-кодове'!$C$1:$AD$1,1,MATCH($BI$2,'Програма-кодове'!$C22:$AD22,0)),IF('Програма-кодове'!Z22='Програма-кодове'!AA22,"12а,б","Дублаж")))</f>
        <v>-</v>
      </c>
      <c r="BJ23" s="94" t="str">
        <f>IF(COUNTIF('Програма-кодове'!$C22:$AD22,$BJ$2)=0,"-",IF(COUNTIF('Програма-кодове'!$C22:$AD22,$BJ$2)=1,INDEX('Програма-кодове'!$C$1:$AD$1,1,MATCH($BJ$2,'Програма-кодове'!$C22:$AD22,0)),"Дублаж"))</f>
        <v>-</v>
      </c>
      <c r="BK23" s="94" t="str">
        <f>IF(COUNTIF('Програма-кодове'!$C22:$AD22,$BK$2)=0,"-",IF(COUNTIF('Програма-кодове'!$C22:$AD22,$BK$2)=1,INDEX('Програма-кодове'!$C$1:$AD$1,1,MATCH($BK$2,'Програма-кодове'!$C22:$AD22,0)),IF('Програма-кодове'!K22='Програма-кодове'!O22,"9а,д",IF('Програма-кодове'!L22='Програма-кодове'!M22,"9б,в","Дублаж"))))</f>
        <v>-</v>
      </c>
      <c r="BL23" s="30" t="str">
        <f>IF(COUNTIF('Програма-кодове'!$C22:$AD22,$BL$2)=0,"-",IF(COUNTIF('Програма-кодове'!$C22:$AD22,$BL$2)=1,INDEX('Програма-кодове'!$C$1:$AD$1,1,MATCH($BL$2,'Програма-кодове'!$C22:$AD22,0)),"Дублаж"))</f>
        <v>-</v>
      </c>
      <c r="BM23" s="30" t="str">
        <f>IF(COUNTIF('Програма-кодове'!$C22:$AD22,$BM$2)=0,"-",IF(COUNTIF('Програма-кодове'!$C22:$AD22,$BM$2)=1,INDEX('Програма-кодове'!$C$1:$AD$1,1,MATCH($BM$2,'Програма-кодове'!$C22:$AD22,0)),"Дублаж"))</f>
        <v>-</v>
      </c>
      <c r="BN23" s="77" t="str">
        <f>IF(COUNTIF('Програма-кодове'!$C22:$AD22,$BN$2)=0,"-",IF(COUNTIF('Програма-кодове'!$C22:$AD22,$BN$2)=1,INDEX('Програма-кодове'!$C$1:$AD$1,1,MATCH($BN$2,'Програма-кодове'!$C22:$AD22,0)),IF(AND('Програма-кодове'!K22='Програма-кодове'!O22,'Програма-кодове'!K22&lt;&gt;""),"9а, д", IF(AND('Програма-кодове'!U22='Програма-кодове'!W22,'Програма-кодове'!U22&lt;&gt;""),"11а,в", "Дублаж"))))</f>
        <v>-</v>
      </c>
      <c r="BO23" s="77" t="str">
        <f>IF(COUNTIF('Програма-кодове'!$C22:$AD22,$BO$2)=0,"-",IF(COUNTIF('Програма-кодове'!$C22:$AD22,$BO$2)=1,INDEX('Програма-кодове'!$C$1:$AD$1,1,MATCH($BO$2,'Програма-кодове'!$C22:$AD22,0)),IF(AND('Програма-кодове'!U22='Програма-кодове'!W22,'Програма-кодове'!U22&lt;&gt;"" ),"11a,в","Дублаж")))</f>
        <v>-</v>
      </c>
      <c r="BP23" s="30" t="str">
        <f>IF(COUNTIF('Програма-кодове'!$C22:$AD22,$BP$2)=0,"-",IF(COUNTIF('Програма-кодове'!$C22:$AD22,$BP$2)=1,"9б,в,г","Дублаж"))</f>
        <v>-</v>
      </c>
      <c r="BQ23" s="30" t="str">
        <f>IF(COUNTIF('Програма-кодове'!$C22:$AD22,$BQ$2)=0,"-",IF(COUNTIF('Програма-кодове'!$C22:$AD22,$BQ$2)=1,INDEX('Програма-кодове'!$C$1:$AD$1,1,MATCH($BQ$2,'Програма-кодове'!$C22:$AD22,0)),"Дублаж"))</f>
        <v>11г</v>
      </c>
      <c r="BR23" s="30" t="str">
        <f>IF(COUNTIF('Програма-кодове'!$C22:$AD22,$BR$2)=0,"-",IF(COUNTIF('Програма-кодове'!$C22:$AD22,$BR$2)=1,INDEX('Програма-кодове'!$C$1:$AD$1,1,MATCH($BR$2,'Програма-кодове'!$C22:$AD22,0)),IF('Програма-кодове'!W22='Програма-кодове'!X22,"11б,в","Дублаж")))</f>
        <v>11а</v>
      </c>
      <c r="BS23" s="30" t="str">
        <f>IF(COUNTIF('Програма-кодове'!$C22:$AD22,$BS$2)=0,"-",IF(COUNTIF('Програма-кодове'!$C22:$AD22,$BS$2)=1,INDEX('Програма-кодове'!$C$1:$AD$1,1,MATCH($BS$2,'Програма-кодове'!$C22:$AD22,0)),"Дублаж"))</f>
        <v>-</v>
      </c>
      <c r="BT23" s="193" t="str">
        <f t="shared" si="17"/>
        <v>11а</v>
      </c>
      <c r="BU23" s="30" t="str">
        <f>IF(COUNTIF('Програма-кодове'!$C22:$AD22,$BU$2)=0,"-",IF(COUNTIF('Програма-кодове'!$C22:$AD22,$BU$2)=1,INDEX('Програма-кодове'!$C$1:$AD$1,1,MATCH($BU$2,'Програма-кодове'!$C22:$AD22,0)),"Дублаж"))</f>
        <v>-</v>
      </c>
      <c r="BV23" s="30" t="str">
        <f>IF(COUNTIF('Програма-кодове'!$C22:$AD22,$BV$2)=0,"-",IF(COUNTIF('Програма-кодове'!$C22:$AD22,$BV$2)=1,INDEX('Програма-кодове'!$C$1:$AD$1,1,MATCH($BV$2,'Програма-кодове'!$C22:$AD22,0)),"Дублаж"))</f>
        <v>-</v>
      </c>
      <c r="BW23" s="30" t="str">
        <f>IF(COUNTIF('Програма-кодове'!$C22:$AD22,$BW$2)=0,"-",IF(COUNTIF('Програма-кодове'!$C22:$AD22,$BW$2)=1,INDEX('Програма-кодове'!$C$1:$AD$1,1,MATCH($BW$2,'Програма-кодове'!$C22:$AD22,0)),"Дублаж"))</f>
        <v>-</v>
      </c>
      <c r="BX23" s="30">
        <f>IF(COUNTIF('Програма-кодове'!$C22:$AD22,$BX$2)=0,"-",IF(COUNTIF('Програма-кодове'!$C22:$AD22,$BX$2)=1,INDEX('Програма-кодове'!$C$1:$AD$1,1,MATCH($BX$2,'Програма-кодове'!$C22:$AD22,0)),"Дублаж"))</f>
        <v>5</v>
      </c>
      <c r="BY23" s="30" t="str">
        <f>IF(COUNTIF('Програма-кодове'!$C22:$AD22,$BY$2)=0,"-",IF(COUNTIF('Програма-кодове'!$C22:$AD22,$BY$2)=1,INDEX('Програма-кодове'!$C$1:$AD$1,1,MATCH($BY$2,'Програма-кодове'!$C22:$AD22,0)),"Дублаж"))</f>
        <v>10а</v>
      </c>
      <c r="BZ23" s="30" t="str">
        <f>IF(COUNTIF('Програма-кодове'!$C22:$AD22,$BZ$2)=0,"-",IF(COUNTIF('Програма-кодове'!$C22:$AD22,$BZ$2)=1,INDEX('Програма-кодове'!$C$1:$AD$1,1,MATCH($BZ$2,'Програма-кодове'!$C22:$AD22,0)),"Дублаж"))</f>
        <v>-</v>
      </c>
      <c r="CA23" s="30" t="str">
        <f>IF(COUNTIF('Програма-кодове'!$C22:$AD22,$CA$2)=0,"-",IF(COUNTIF('Програма-кодове'!$C22:$AD22,$CA$2)=1,INDEX('Програма-кодове'!$C$1:$AD$1,1,MATCH($CA$2,'Програма-кодове'!$C22:$AD22,0)),"Дублаж"))</f>
        <v>11д</v>
      </c>
      <c r="CB23" s="30" t="str">
        <f>IF(COUNTIF('Програма-кодове'!$C22:$AD22,$CB$2)=0,"-",IF(COUNTIF('Програма-кодове'!$C22:$AD22,$CB$2)=1,INDEX('Програма-кодове'!$C$1:$AD$1,1,MATCH($CB$2,'Програма-кодове'!$C22:$AD22,0)),"Дублаж"))</f>
        <v>-</v>
      </c>
      <c r="CC23" s="30" t="str">
        <f>IF(COUNTIF('Програма-кодове'!$C22:$AD22,$CC$2)=0,"-",IF(COUNTIF('Програма-кодове'!$C22:$AD22,$CC$2)=1,INDEX('Програма-кодове'!$C$1:$AD$1,1,MATCH($CC$2,'Програма-кодове'!$C22:$AD22,0)),"Дублаж"))</f>
        <v>12в</v>
      </c>
      <c r="CD23" s="30" t="str">
        <f>IF(COUNTIF('Програма-кодове'!$C22:$AD22,$CD$2)=0,"-",IF(COUNTIF('Програма-кодове'!$C22:$AD22,$CD$2)=1,INDEX('Програма-кодове'!$C$1:$AD$1,1,MATCH($CD$2,'Програма-кодове'!$C22:$AD22,0)),"Дублаж"))</f>
        <v>-</v>
      </c>
      <c r="CE23" s="30" t="str">
        <f>IF(COUNTIF('Програма-кодове'!$C22:$AD22,$CE$2)=0,"-",IF(COUNTIF('Програма-кодове'!$C22:$AD22,$CE$2)=1,INDEX('Програма-кодове'!$C$1:$AD$1,1,MATCH($CE$2,'Програма-кодове'!$C22:$AD22,0)),"Дублаж"))</f>
        <v>-</v>
      </c>
    </row>
    <row r="24" spans="1:83" ht="13.5" customHeight="1">
      <c r="A24" s="372" t="s">
        <v>27</v>
      </c>
      <c r="B24" s="350">
        <v>1</v>
      </c>
      <c r="C24" s="332" t="str">
        <f>IF(COUNTIF('Програма-кодове'!$C23:$AD23,$C$2)=0,"-",IF(COUNTIF('Програма-кодове'!$C23:$AD23,$C$2)=1,INDEX('Програма-кодове'!$C$1:$AD$1,1,MATCH($C$2,'Програма-кодове'!$C23:$AD23,0)),"Дублаж"))</f>
        <v>-</v>
      </c>
      <c r="D24" s="328" t="str">
        <f>IF(COUNTIF('Програма-кодове'!$C23:$AD23,$D$2)=0,"-",IF(COUNTIF('Програма-кодове'!$C23:$AD23,$D$2)=1,INDEX('Програма-кодове'!$C$1:$AD$1,1,MATCH($D$2,'Програма-кодове'!$C23:$AD23,0)),"Дублаж"))</f>
        <v>11г</v>
      </c>
      <c r="E24" s="332" t="str">
        <f>IF(COUNTIF('Програма-кодове'!$C23:$AD23,$E$2)=0,"-",IF(COUNTIF('Програма-кодове'!$C23:$AD23,$E$2)=1,INDEX('Програма-кодове'!$C$1:$AD$1,1,MATCH($E$2,'Програма-кодове'!$C23:$AD23,0)),"Дублаж"))</f>
        <v>-</v>
      </c>
      <c r="F24" s="328" t="str">
        <f>IF(COUNTIF('Програма-кодове'!$C23:$AD23,$F$2)=0,"-",IF(COUNTIF('Програма-кодове'!$C23:$AD23,$F$2)=1,INDEX('Програма-кодове'!$C$1:$AD$1,1,MATCH($F$2,'Програма-кодове'!$C23:$AD23,0)),"Дублаж"))</f>
        <v>-</v>
      </c>
      <c r="G24" s="332" t="str">
        <f>IF(COUNTIF('Програма-кодове'!$C23:$AD23,$G$2)=0,"-",IF(COUNTIF('Програма-кодове'!$C23:$AD23,$G$2)=1,INDEX('Програма-кодове'!$C$1:$AD$1,1,MATCH($G$2,'Програма-кодове'!$C23:$AD23,0)),"Дублаж"))</f>
        <v>8д</v>
      </c>
      <c r="H24" s="332" t="str">
        <f>IF(COUNTIF('Програма-кодове'!$C23:$AD23,$H$2)=0,"-",IF(COUNTIF('Програма-кодове'!$C23:$AD23,$H$2)=1,INDEX('Програма-кодове'!$C$1:$AD$1,1,MATCH($H$2,'Програма-кодове'!$C23:$AD23,0)),"Дублаж"))</f>
        <v>9г</v>
      </c>
      <c r="I24" s="332" t="str">
        <f>IF(COUNTIF('Програма-кодове'!$C23:$AD23,$I$2)=0,"-",IF(COUNTIF('Програма-кодове'!$C23:$AD23,$I$2)=1,INDEX('Програма-кодове'!$C$1:$AD$1,1,MATCH($I$2,'Програма-кодове'!$C23:$AD23,0)),"Дублаж"))</f>
        <v>11в</v>
      </c>
      <c r="J24" s="332" t="str">
        <f>IF(COUNTIF('Програма-кодове'!$C23:$AD23,$J$2)=0,"-",IF(COUNTIF('Програма-кодове'!$C23:$AD23,$J$2)=1,INDEX('Програма-кодове'!$C$1:$AD$1,1,MATCH($J$2,'Програма-кодове'!$C23:$AD23,0)),"Дублаж"))</f>
        <v>8г</v>
      </c>
      <c r="K24" s="353" t="str">
        <f>IF(COUNTIF('Програма-кодове'!$C23:$AD23,$K$2)=0,"-",IF(COUNTIF('Програма-кодове'!$C23:$AD23,$K$2)=1,INDEX('Програма-кодове'!$C$1:$AD$1,1,MATCH($K$2,'Програма-кодове'!$C23:$AD23,0)),"Дублаж"))</f>
        <v>-</v>
      </c>
      <c r="L24" s="332" t="str">
        <f>IF(COUNTIF('Програма-кодове'!$C23:$AD23,$L$2)=0,"-",IF(COUNTIF('Програма-кодове'!$C23:$AD23,$L$2)=1,INDEX('Програма-кодове'!$C$1:$AD$1,1,MATCH($L$2,'Програма-кодове'!$C23:$AD23,0)),"Дублаж"))</f>
        <v>10г</v>
      </c>
      <c r="M24" s="332" t="str">
        <f>IF(COUNTIF('Програма-кодове'!$C23:$AD23,$M$2)=0,"-",IF(COUNTIF('Програма-кодове'!$C23:$AD23,$M$2)=1,INDEX('Програма-кодове'!$C$1:$AD$1,1,MATCH($M$2,'Програма-кодове'!$C23:$AD23,0)),"Дублаж"))</f>
        <v>8б</v>
      </c>
      <c r="N24" s="20" t="str">
        <f>IF(COUNTIF('Програма-кодове'!$C23:$AD23,$N$2)=0,"-",IF(COUNTIF('Програма-кодове'!$C23:$AD23,$N$2)=1,INDEX('Програма-кодове'!$C$1:$AD$1,1,MATCH($N$2,'Програма-кодове'!$C23:$AD23,0)),"Дублаж"))</f>
        <v>8в</v>
      </c>
      <c r="O24" s="329" t="str">
        <f>IF(COUNTIF('Програма-кодове'!$C23:$AD23,$O$2)=0,"-",IF(COUNTIF('Програма-кодове'!$C23:$AD23,$O$2)=1,INDEX('Програма-кодове'!$C$1:$AD$1,1,MATCH($O$2,'Програма-кодове'!$C23:$AD23,0)),"Дублаж"))</f>
        <v>-</v>
      </c>
      <c r="P24" s="346" t="str">
        <f>IF(COUNTIF('Програма-кодове'!$C23:$AD23,$P$2)=0,"-",IF(COUNTIF('Програма-кодове'!$C23:$AD23,$P$2)=1,INDEX('Програма-кодове'!$C$1:$AD$1,1,MATCH($P$2,'Програма-кодове'!$C23:$AD23,0)),"Дублаж"))</f>
        <v>-</v>
      </c>
      <c r="Q24" s="329" t="str">
        <f>IF(COUNTIF('Програма-кодове'!$C23:$AD23,$Q$2)=0,"-",IF(COUNTIF('Програма-кодове'!$C23:$AD23,$Q$2)=1,INDEX('Програма-кодове'!$C$1:$AD$1,1,MATCH($Q$2,'Програма-кодове'!$C23:$AD23,0)),"Дублаж"))</f>
        <v>9а</v>
      </c>
      <c r="R24" s="324" t="str">
        <f t="shared" si="0"/>
        <v>10в</v>
      </c>
      <c r="S24" s="353" t="str">
        <f>IF(BO24&lt;&gt;"-",IF(AND(BQ24="-",BP24="-"),BO24,"Дублаж"),IF(AND(BQ24&lt;&gt;"-",BP24&lt;&gt;"-"),"Дублаж",IF(BQ24&lt;&gt;"-",BQ24,BP24)))</f>
        <v>10б</v>
      </c>
      <c r="T24" s="341" t="str">
        <f t="shared" si="4"/>
        <v>10б,в</v>
      </c>
      <c r="U24" s="332" t="str">
        <f>IF(COUNTIF('Програма-кодове'!$C23:$AD23,$U$2)=0,"-",IF(COUNTIF('Програма-кодове'!$C23:$AD23,$U$2)=1,INDEX('Програма-кодове'!$C$1:$AD$1,1,MATCH($U$2,'Програма-кодове'!$C23:$AD23,0)),"Дублаж"))</f>
        <v>12г</v>
      </c>
      <c r="V24" s="341" t="str">
        <f>IF(COUNTIF('Програма-кодове'!$C23:$AD23,$V$2)=0,"-",IF(COUNTIF('Програма-кодове'!$C23:$AD23,$V$2)=1,INDEX('Програма-кодове'!$C$1:$AD$1,1,MATCH($V$2,'Програма-кодове'!$C23:$AD23,0)),"Дублаж"))</f>
        <v>-</v>
      </c>
      <c r="W24" s="332" t="str">
        <f>IF(COUNTIF('Програма-кодове'!$C23:$AD23,$W$2)=0,"-",IF(COUNTIF('Програма-кодове'!$C23:$AD23,$W$2)=1,INDEX('Програма-кодове'!$C$1:$AD$1,1,MATCH($W$2,'Програма-кодове'!$C23:$AD23,0)),"Дублаж"))</f>
        <v>10а</v>
      </c>
      <c r="X24" s="332" t="str">
        <f>IF(COUNTIF('Програма-кодове'!$C23:$AD23,$X$2)=0,"-",IF(COUNTIF('Програма-кодове'!$C23:$AD23,$X$2)=1,INDEX('Програма-кодове'!$C$1:$AD$1,1,MATCH($X$2,'Програма-кодове'!$C23:$AD23,0)),"Дублаж"))</f>
        <v>-</v>
      </c>
      <c r="Y24" s="332" t="str">
        <f>IF(COUNTIF('Програма-кодове'!$C23:$AD23,$Y$2)=0,"-",IF(COUNTIF('Програма-кодове'!$C23:$AD23,$Y$2)=1,INDEX('Програма-кодове'!$C$1:$AD$1,1,MATCH($Y$2,'Програма-кодове'!$C23:$AD23,0)),"Дублаж"))</f>
        <v>11б</v>
      </c>
      <c r="Z24" s="332">
        <f>IF(COUNTIF('Програма-кодове'!$C23:$AD23,$Z$2)=0,"-",IF(COUNTIF('Програма-кодове'!$C23:$AD23,$Z$2)=1,INDEX('Програма-кодове'!$C$1:$AD$1,1,MATCH($Z$2,'Програма-кодове'!$C23:$AD23,0)),"Дублаж"))</f>
        <v>6</v>
      </c>
      <c r="AA24" s="193" t="str">
        <f>IF(BH24&lt;&gt;"-",IF(AND(BL24="-",BI24="-"),BH24,"Дублаж"),IF(BL24&lt;&gt;"-",IF(BI24="-",BL24,"Дублаж"),BI24))</f>
        <v>12а</v>
      </c>
      <c r="AB24" s="324" t="str">
        <f t="shared" si="6"/>
        <v>-</v>
      </c>
      <c r="AC24" s="324" t="str">
        <f t="shared" si="7"/>
        <v>-</v>
      </c>
      <c r="AD24" s="324" t="str">
        <f>IF(BB24&lt;&gt;"-",IF(AND(BD24="-",BJ24="-"),BB24,"Дублаж"),IF(AND(BD24&lt;&gt;"-",BJ24&lt;&gt;"-"),"Дублаж",IF(BD24&lt;&gt;"-",BD24,BJ24)))</f>
        <v>-</v>
      </c>
      <c r="AE24" s="324" t="str">
        <f t="shared" si="9"/>
        <v>12а</v>
      </c>
      <c r="AF24" s="324" t="str">
        <f t="shared" si="10"/>
        <v>-</v>
      </c>
      <c r="AG24" s="193" t="str">
        <f t="shared" ref="AG24:AG25" si="24">IF(BA24&lt;&gt;"-",IF(AND(BC24="-",BG24="-",BF24="-",BM24="-",BI24="-"),BA24,"Дублаж"),IF(BC24&lt;&gt;"-",IF(AND(BG24="-",BF24="-",BM24="-",BI24="-"),BC24,"Дублаж"),IF(BG24&lt;&gt;"-",IF(AND(BF24="-",BM24="-",BI24="-"),BG24,"Дублаж"),IF(BF24&lt;&gt;"-",IF(AND(BM24="-",BI24="-"),BF24,"Дублаж"),IF(BM24&lt;&gt;"-",IF(BI24="-",BM24,BI24),BI24)))))</f>
        <v>8a</v>
      </c>
      <c r="AH24" s="324" t="str">
        <f t="shared" si="12"/>
        <v>8a</v>
      </c>
      <c r="AI24" s="332" t="str">
        <f t="shared" si="13"/>
        <v>-</v>
      </c>
      <c r="AJ24" s="324" t="str">
        <f>IF(CC24&lt;&gt;"-",IF(AND(CD24="-",CE24="-"),CC24,"Дублаж"),IF(AND(CD24&lt;&gt;"-",CE24&lt;&gt;"-"),"Дублаж",IF(CD24&lt;&gt;"-",CD24,CE24)))</f>
        <v>12в</v>
      </c>
      <c r="AK24" s="332" t="str">
        <f>IF(COUNTIF('Програма-кодове'!$C23:$AD23,$AK$2)=0,"-",IF(COUNTIF('Програма-кодове'!$C23:$AD23,$AK$2)=1,INDEX('Програма-кодове'!$C$1:$AD$1,1,MATCH($AK$2,'Програма-кодове'!$C23:$AD23,0)),"Дублаж"))</f>
        <v>12б</v>
      </c>
      <c r="AL24" s="20" t="str">
        <f>IF(COUNTIF('Програма-кодове'!$C23:$AD23,$AL$2)=0,"-",IF(COUNTIF('Програма-кодове'!$C23:$AD23,$AL$2)=1,INDEX('Програма-кодове'!$C$1:$AD$1,1,MATCH($AL$2,'Програма-кодове'!$C23:$AD23,0)),"Дублаж"))</f>
        <v>-</v>
      </c>
      <c r="AM24" s="332" t="str">
        <f>IF(COUNTIF('Програма-кодове'!$C23:$AD23,$AM$2)=0,"-",IF(COUNTIF('Програма-кодове'!$C23:$AD23,$AM$2)=1,INDEX('Програма-кодове'!$C$1:$AD$1,1,MATCH($AM$2,'Програма-кодове'!$C23:$AD23,0)),"Дублаж"))</f>
        <v>11д</v>
      </c>
      <c r="AN24" s="346">
        <f>IF(COUNTIF('Програма-кодове'!$C23:$AD23,$AN$2)=0,"-",IF(COUNTIF('Програма-кодове'!$C23:$AD23,$AN$2)=1,INDEX('Програма-кодове'!$C$1:$AD$1,1,MATCH($AN$2,'Програма-кодове'!$C23:$AD23,0)),"Дублаж"))</f>
        <v>5</v>
      </c>
      <c r="AO24" s="346" t="str">
        <f>IF(COUNTIF('Програма-кодове'!$C23:$AD23,$AO$2)=0,"-",IF(COUNTIF('Програма-кодове'!$C23:$AD23,$AO$2)=1,INDEX('Програма-кодове'!$C$1:$AD$1,1,MATCH($AO$2,'Програма-кодове'!$C23:$AD23,0)),"Дублаж"))</f>
        <v>9в</v>
      </c>
      <c r="AP24" s="346" t="str">
        <f>IF(COUNTIF('Програма-кодове'!$C23:$AD23,$AP$2)=0,"-",IF(COUNTIF('Програма-кодове'!$C23:$AD23,$AP$2)=1,INDEX('Програма-кодове'!$C$1:$AD$1,1,MATCH($AP$2,'Програма-кодове'!$C23:$AD23,0)),"Дублаж"))</f>
        <v>-</v>
      </c>
      <c r="AQ24" s="346" t="str">
        <f t="shared" si="15"/>
        <v>9д</v>
      </c>
      <c r="AR24" s="346" t="str">
        <f>IF(COUNTIF('Програма-кодове'!$C23:$AD23,$AR$2)=0,"-",IF(COUNTIF('Програма-кодове'!$C23:$AD23,$AR$2)=1,INDEX('Програма-кодове'!$C$1:$AD$1,1,MATCH($AR$2,'Програма-кодове'!$C23:$AD23,0)),"Дублаж"))</f>
        <v>10д</v>
      </c>
      <c r="AS24" s="346" t="str">
        <f>IF(COUNTIF('Програма-кодове'!$C23:$AD23,$AS$2)=0,"-",IF(COUNTIF('Програма-кодове'!$C23:$AD23,$AS$2)=1,INDEX('Програма-кодове'!$C$1:$AD$1,1,MATCH($AS$2,'Програма-кодове'!$C23:$AD23,0)),"Дублаж"))</f>
        <v>-</v>
      </c>
      <c r="AT24" s="346" t="str">
        <f>IF(COUNTIF('Програма-кодове'!$C23:$AD23,$AT$2)=0,"-",IF(COUNTIF('Програма-кодове'!$C23:$AD23,$AT$2)=1,INDEX('Програма-кодове'!$C$1:$AD$1,1,MATCH($AT$2,'Програма-кодове'!$C23:$AD23,0)),"Дублаж"))</f>
        <v>12д</v>
      </c>
      <c r="AU24" s="196" t="str">
        <f t="shared" ref="AU24:AU37" si="25">IF(AND(BV24&lt;&gt;"-",BW24&lt;&gt;"-"),"Дублаж",IF(BV24&lt;&gt;"-",BV24,BW24))</f>
        <v>-</v>
      </c>
      <c r="AV24" s="196">
        <f t="shared" si="2"/>
        <v>7</v>
      </c>
      <c r="AW24" s="196" t="str">
        <f>IF(COUNTIF('Програма-кодове'!$C23:$AD23,$AW$2)=0,"-",IF(COUNTIF('Програма-кодове'!$C23:$AD23,$AW$2)=1,INDEX('Програма-кодове'!$C$1:$AD$1,1,MATCH($AW$2,'Програма-кодове'!$C23:$AD23,0)),"Дублаж"))</f>
        <v>11а</v>
      </c>
      <c r="AX24" s="196" t="str">
        <f>IF(COUNTIF('Програма-кодове'!$C23:$AD23,$AX$2)=0,"-",IF(COUNTIF('Програма-кодове'!$C23:$AD23,$AX$2)=1,INDEX('Програма-кодове'!$C$1:$AD$1,1,MATCH($AX$2,'Програма-кодове'!$C23:$AD23,0)),"Дублаж"))</f>
        <v>-</v>
      </c>
      <c r="AY24" s="196" t="str">
        <f>IF(COUNTIF('Програма-кодове'!$C23:$AD23,$AY$2)=0,"-",IF(COUNTIF('Програма-кодове'!$C23:$AD23,$AY$2)=1,INDEX('Програма-кодове'!$C$1:$AD$1,1,MATCH($AY$2,'Програма-кодове'!$C23:$AD23,0)),"Дублаж"))</f>
        <v>9б</v>
      </c>
      <c r="AZ24" s="324" t="str">
        <f>IF(AND(BS24&lt;&gt;"-",BT24&lt;&gt;"-"),"Дублаж",IF(BS24&lt;&gt;"-",BS24,BT24))</f>
        <v>-</v>
      </c>
      <c r="BA24" s="30" t="str">
        <f>IF(COUNTIF('Програма-кодове'!$C23:$AD23,$BA$2)=0,"-",IF(COUNTIF('Програма-кодове'!$C23:$AD23,$BA$2)=1,INDEX('Програма-кодове'!$C$1:$AD$1,1,MATCH($BA$2,'Програма-кодове'!$C23:$AD23,0)),"Дублаж"))</f>
        <v>-</v>
      </c>
      <c r="BB24" s="30" t="str">
        <f>IF(COUNTIF('Програма-кодове'!$C23:$AD23,$BB$2)=0,"-",IF(COUNTIF('Програма-кодове'!$C23:$AD23,$BB$2)=1,INDEX('Програма-кодове'!$C$1:$AD$1,1,MATCH($BB$2,'Програма-кодове'!$C23:$AD23,0)),"Дублаж"))</f>
        <v>-</v>
      </c>
      <c r="BC24" s="30" t="str">
        <f>IF(COUNTIF('Програма-кодове'!$C23:$AD23,$BC$2)=0,"-",IF(COUNTIF('Програма-кодове'!$C23:$AD23,$BC$2)=1,INDEX('Програма-кодове'!$C$1:$AD$1,1,MATCH($BC$2,'Програма-кодове'!$C23:$AD23,0)),"Дублаж"))</f>
        <v>-</v>
      </c>
      <c r="BD24" s="30" t="str">
        <f>IF(COUNTIF('Програма-кодове'!$C23:$AD23,$BD$2)=0,"-",IF(COUNTIF('Програма-кодове'!$C23:$AD23,$BD$2)=1,INDEX('Програма-кодове'!$C$1:$AD$1,1,MATCH($BD$2,'Програма-кодове'!$C23:$AD23,0)),"Дублаж"))</f>
        <v>-</v>
      </c>
      <c r="BE24" s="30" t="str">
        <f>IF(COUNTIF('Програма-кодове'!$C23:$AD23,$BE$2)=0,"-",IF(COUNTIF('Програма-кодове'!$C23:$AD23,$BE$2)=1,INDEX('Програма-кодове'!$C$1:$AD$1,1,MATCH($BE$2,'Програма-кодове'!$C23:$AD23,0)),"Дублаж"))</f>
        <v>-</v>
      </c>
      <c r="BF24" s="30" t="str">
        <f>IF(COUNTIF('Програма-кодове'!$C23:$AD23,$BF$2)=0,"-",IF(COUNTIF('Програма-кодове'!$C23:$AD23,$BF$2)=1,INDEX('Програма-кодове'!$C$1:$AD$1,1,MATCH($BF$2,'Програма-кодове'!$C23:$AD23,0)),"Дублаж"))</f>
        <v>-</v>
      </c>
      <c r="BG24" s="30" t="str">
        <f>IF(COUNTIF('Програма-кодове'!$C23:$AD23,$BG$2)=0,"-",IF(COUNTIF('Програма-кодове'!$C23:$AD23,$BG$2)=1,INDEX('Програма-кодове'!$C$1:$AD$1,1,MATCH($BG$2,'Програма-кодове'!$C23:$AD23,0)),"Дублаж"))</f>
        <v>8a</v>
      </c>
      <c r="BH24" s="30" t="str">
        <f>IF(COUNTIF('Програма-кодове'!$C23:$AD23,$BH$2)=0,"-",IF(COUNTIF('Програма-кодове'!$C23:$AD23,$BH$2)=1,INDEX('Програма-кодове'!$C$1:$AD$1,1,MATCH($BH$2,'Програма-кодове'!$C23:$AD23,0)),"Дублаж"))</f>
        <v>12а</v>
      </c>
      <c r="BI24" s="94" t="str">
        <f>IF(COUNTIF('Програма-кодове'!$C23:$AD23,$BI$2)=0,"-",IF(COUNTIF('Програма-кодове'!$C23:$AD23,$BI$2)=1,INDEX('Програма-кодове'!$C$1:$AD$1,1,MATCH($BI$2,'Програма-кодове'!$C23:$AD23,0)),IF('Програма-кодове'!Z23='Програма-кодове'!AA23,"12а,б","Дублаж")))</f>
        <v>-</v>
      </c>
      <c r="BJ24" s="94" t="str">
        <f>IF(COUNTIF('Програма-кодове'!$C23:$AD23,$BJ$2)=0,"-",IF(COUNTIF('Програма-кодове'!$C23:$AD23,$BJ$2)=1,INDEX('Програма-кодове'!$C$1:$AD$1,1,MATCH($BJ$2,'Програма-кодове'!$C23:$AD23,0)),"Дублаж"))</f>
        <v>-</v>
      </c>
      <c r="BK24" s="94" t="str">
        <f>IF(COUNTIF('Програма-кодове'!$C23:$AD23,$BK$2)=0,"-",IF(COUNTIF('Програма-кодове'!$C23:$AD23,$BK$2)=1,INDEX('Програма-кодове'!$C$1:$AD$1,1,MATCH($BK$2,'Програма-кодове'!$C23:$AD23,0)),IF('Програма-кодове'!K23='Програма-кодове'!O23,"9а,д",IF('Програма-кодове'!L23='Програма-кодове'!M23,"9б,в","Дублаж"))))</f>
        <v>-</v>
      </c>
      <c r="BL24" s="30" t="str">
        <f>IF(COUNTIF('Програма-кодове'!$C23:$AD23,$BL$2)=0,"-",IF(COUNTIF('Програма-кодове'!$C23:$AD23,$BL$2)=1,INDEX('Програма-кодове'!$C$1:$AD$1,1,MATCH($BL$2,'Програма-кодове'!$C23:$AD23,0)),"Дублаж"))</f>
        <v>-</v>
      </c>
      <c r="BM24" s="30" t="str">
        <f>IF(COUNTIF('Програма-кодове'!$C23:$AD23,$BM$2)=0,"-",IF(COUNTIF('Програма-кодове'!$C23:$AD23,$BM$2)=1,INDEX('Програма-кодове'!$C$1:$AD$1,1,MATCH($BM$2,'Програма-кодове'!$C23:$AD23,0)),"Дублаж"))</f>
        <v>-</v>
      </c>
      <c r="BN24" s="77" t="str">
        <f>IF(COUNTIF('Програма-кодове'!$C23:$AD23,$BN$2)=0,"-",IF(COUNTIF('Програма-кодове'!$C23:$AD23,$BN$2)=1,INDEX('Програма-кодове'!$C$1:$AD$1,1,MATCH($BN$2,'Програма-кодове'!$C23:$AD23,0)),IF(AND('Програма-кодове'!K23='Програма-кодове'!O23,'Програма-кодове'!K23&lt;&gt;""),"9а, д", IF(AND('Програма-кодове'!U23='Програма-кодове'!W23,'Програма-кодове'!U23&lt;&gt;""),"11а,в", "Дублаж"))))</f>
        <v>10в</v>
      </c>
      <c r="BO24" s="77" t="str">
        <f>IF(COUNTIF('Програма-кодове'!$C23:$AD23,$BO$2)=0,"-",IF(COUNTIF('Програма-кодове'!$C23:$AD23,$BO$2)=1,INDEX('Програма-кодове'!$C$1:$AD$1,1,MATCH($BO$2,'Програма-кодове'!$C23:$AD23,0)),IF(AND('Програма-кодове'!U23='Програма-кодове'!W23,'Програма-кодове'!U23&lt;&gt;"" ),"11a,в","Дублаж")))</f>
        <v>10б</v>
      </c>
      <c r="BP24" s="30" t="str">
        <f>IF(COUNTIF('Програма-кодове'!$C23:$AD23,$BP$2)=0,"-",IF(COUNTIF('Програма-кодове'!$C23:$AD23,$BP$2)=1,"9б,в,г","Дублаж"))</f>
        <v>-</v>
      </c>
      <c r="BQ24" s="30" t="str">
        <f>IF(COUNTIF('Програма-кодове'!$C23:$AD23,$BQ$2)=0,"-",IF(COUNTIF('Програма-кодове'!$C23:$AD23,$BQ$2)=1,INDEX('Програма-кодове'!$C$1:$AD$1,1,MATCH($BQ$2,'Програма-кодове'!$C23:$AD23,0)),"Дублаж"))</f>
        <v>-</v>
      </c>
      <c r="BR24" s="30" t="str">
        <f>IF(COUNTIF('Програма-кодове'!$C23:$AD23,$BR$2)=0,"-",IF(COUNTIF('Програма-кодове'!$C23:$AD23,$BR$2)=1,INDEX('Програма-кодове'!$C$1:$AD$1,1,MATCH($BR$2,'Програма-кодове'!$C23:$AD23,0)),IF('Програма-кодове'!W23='Програма-кодове'!X23,"11б,в","Дублаж")))</f>
        <v>-</v>
      </c>
      <c r="BS24" s="30" t="str">
        <f>IF(COUNTIF('Програма-кодове'!$C23:$AD23,$BS$2)=0,"-",IF(COUNTIF('Програма-кодове'!$C23:$AD23,$BS$2)=1,INDEX('Програма-кодове'!$C$1:$AD$1,1,MATCH($BS$2,'Програма-кодове'!$C23:$AD23,0)),"Дублаж"))</f>
        <v>-</v>
      </c>
      <c r="BT24" s="193" t="str">
        <f t="shared" si="17"/>
        <v>-</v>
      </c>
      <c r="BU24" s="30" t="str">
        <f>IF(COUNTIF('Програма-кодове'!$C23:$AD23,$BU$2)=0,"-",IF(COUNTIF('Програма-кодове'!$C23:$AD23,$BU$2)=1,INDEX('Програма-кодове'!$C$1:$AD$1,1,MATCH($BU$2,'Програма-кодове'!$C23:$AD23,0)),"Дублаж"))</f>
        <v>-</v>
      </c>
      <c r="BV24" s="30" t="str">
        <f>IF(COUNTIF('Програма-кодове'!$C23:$AD23,$BV$2)=0,"-",IF(COUNTIF('Програма-кодове'!$C23:$AD23,$BV$2)=1,INDEX('Програма-кодове'!$C$1:$AD$1,1,MATCH($BV$2,'Програма-кодове'!$C23:$AD23,0)),"Дублаж"))</f>
        <v>-</v>
      </c>
      <c r="BW24" s="30" t="str">
        <f>IF(COUNTIF('Програма-кодове'!$C23:$AD23,$BW$2)=0,"-",IF(COUNTIF('Програма-кодове'!$C23:$AD23,$BW$2)=1,INDEX('Програма-кодове'!$C$1:$AD$1,1,MATCH($BW$2,'Програма-кодове'!$C23:$AD23,0)),"Дублаж"))</f>
        <v>-</v>
      </c>
      <c r="BX24" s="30">
        <f>IF(COUNTIF('Програма-кодове'!$C23:$AD23,$BX$2)=0,"-",IF(COUNTIF('Програма-кодове'!$C23:$AD23,$BX$2)=1,INDEX('Програма-кодове'!$C$1:$AD$1,1,MATCH($BX$2,'Програма-кодове'!$C23:$AD23,0)),"Дублаж"))</f>
        <v>7</v>
      </c>
      <c r="BY24" s="30" t="str">
        <f>IF(COUNTIF('Програма-кодове'!$C23:$AD23,$BY$2)=0,"-",IF(COUNTIF('Програма-кодове'!$C23:$AD23,$BY$2)=1,INDEX('Програма-кодове'!$C$1:$AD$1,1,MATCH($BY$2,'Програма-кодове'!$C23:$AD23,0)),"Дублаж"))</f>
        <v>-</v>
      </c>
      <c r="BZ24" s="30" t="str">
        <f>IF(COUNTIF('Програма-кодове'!$C23:$AD23,$BZ$2)=0,"-",IF(COUNTIF('Програма-кодове'!$C23:$AD23,$BZ$2)=1,INDEX('Програма-кодове'!$C$1:$AD$1,1,MATCH($BZ$2,'Програма-кодове'!$C23:$AD23,0)),"Дублаж"))</f>
        <v>-</v>
      </c>
      <c r="CA24" s="30" t="str">
        <f>IF(COUNTIF('Програма-кодове'!$C23:$AD23,$CA$2)=0,"-",IF(COUNTIF('Програма-кодове'!$C23:$AD23,$CA$2)=1,INDEX('Програма-кодове'!$C$1:$AD$1,1,MATCH($CA$2,'Програма-кодове'!$C23:$AD23,0)),"Дублаж"))</f>
        <v>9д</v>
      </c>
      <c r="CB24" s="30" t="str">
        <f>IF(COUNTIF('Програма-кодове'!$C23:$AD23,$CB$2)=0,"-",IF(COUNTIF('Програма-кодове'!$C23:$AD23,$CB$2)=1,INDEX('Програма-кодове'!$C$1:$AD$1,1,MATCH($CB$2,'Програма-кодове'!$C23:$AD23,0)),"Дублаж"))</f>
        <v>-</v>
      </c>
      <c r="CC24" s="30" t="str">
        <f>IF(COUNTIF('Програма-кодове'!$C23:$AD23,$CC$2)=0,"-",IF(COUNTIF('Програма-кодове'!$C23:$AD23,$CC$2)=1,INDEX('Програма-кодове'!$C$1:$AD$1,1,MATCH($CC$2,'Програма-кодове'!$C23:$AD23,0)),"Дублаж"))</f>
        <v>-</v>
      </c>
      <c r="CD24" s="30" t="str">
        <f>IF(COUNTIF('Програма-кодове'!$C23:$AD23,$CD$2)=0,"-",IF(COUNTIF('Програма-кодове'!$C23:$AD23,$CD$2)=1,INDEX('Програма-кодове'!$C$1:$AD$1,1,MATCH($CD$2,'Програма-кодове'!$C23:$AD23,0)),"Дублаж"))</f>
        <v>-</v>
      </c>
      <c r="CE24" s="30" t="str">
        <f>IF(COUNTIF('Програма-кодове'!$C23:$AD23,$CE$2)=0,"-",IF(COUNTIF('Програма-кодове'!$C23:$AD23,$CE$2)=1,INDEX('Програма-кодове'!$C$1:$AD$1,1,MATCH($CE$2,'Програма-кодове'!$C23:$AD23,0)),"Дублаж"))</f>
        <v>12в</v>
      </c>
    </row>
    <row r="25" spans="1:83" ht="13.5" customHeight="1">
      <c r="A25" s="369"/>
      <c r="B25" s="351">
        <v>2</v>
      </c>
      <c r="C25" s="20" t="str">
        <f>IF(COUNTIF('Програма-кодове'!$C24:$AD24,$C$2)=0,"-",IF(COUNTIF('Програма-кодове'!$C24:$AD24,$C$2)=1,INDEX('Програма-кодове'!$C$1:$AD$1,1,MATCH($C$2,'Програма-кодове'!$C24:$AD24,0)),"Дублаж"))</f>
        <v>-</v>
      </c>
      <c r="D25" s="319" t="str">
        <f>IF(COUNTIF('Програма-кодове'!$C24:$AD24,$D$2)=0,"-",IF(COUNTIF('Програма-кодове'!$C24:$AD24,$D$2)=1,INDEX('Програма-кодове'!$C$1:$AD$1,1,MATCH($D$2,'Програма-кодове'!$C24:$AD24,0)),"Дублаж"))</f>
        <v>11г</v>
      </c>
      <c r="E25" s="20" t="str">
        <f>IF(COUNTIF('Програма-кодове'!$C24:$AD24,$E$2)=0,"-",IF(COUNTIF('Програма-кодове'!$C24:$AD24,$E$2)=1,INDEX('Програма-кодове'!$C$1:$AD$1,1,MATCH($E$2,'Програма-кодове'!$C24:$AD24,0)),"Дублаж"))</f>
        <v>-</v>
      </c>
      <c r="F25" s="319" t="str">
        <f>IF(COUNTIF('Програма-кодове'!$C24:$AD24,$F$2)=0,"-",IF(COUNTIF('Програма-кодове'!$C24:$AD24,$F$2)=1,INDEX('Програма-кодове'!$C$1:$AD$1,1,MATCH($F$2,'Програма-кодове'!$C24:$AD24,0)),"Дублаж"))</f>
        <v>-</v>
      </c>
      <c r="G25" s="20" t="str">
        <f>IF(COUNTIF('Програма-кодове'!$C24:$AD24,$G$2)=0,"-",IF(COUNTIF('Програма-кодове'!$C24:$AD24,$G$2)=1,INDEX('Програма-кодове'!$C$1:$AD$1,1,MATCH($G$2,'Програма-кодове'!$C24:$AD24,0)),"Дублаж"))</f>
        <v>12б</v>
      </c>
      <c r="H25" s="20">
        <f>IF(COUNTIF('Програма-кодове'!$C24:$AD24,$H$2)=0,"-",IF(COUNTIF('Програма-кодове'!$C24:$AD24,$H$2)=1,INDEX('Програма-кодове'!$C$1:$AD$1,1,MATCH($H$2,'Програма-кодове'!$C24:$AD24,0)),"Дублаж"))</f>
        <v>5</v>
      </c>
      <c r="I25" s="20" t="str">
        <f>IF(COUNTIF('Програма-кодове'!$C24:$AD24,$I$2)=0,"-",IF(COUNTIF('Програма-кодове'!$C24:$AD24,$I$2)=1,INDEX('Програма-кодове'!$C$1:$AD$1,1,MATCH($I$2,'Програма-кодове'!$C24:$AD24,0)),"Дублаж"))</f>
        <v>11б</v>
      </c>
      <c r="J25" s="20" t="str">
        <f>IF(COUNTIF('Програма-кодове'!$C24:$AD24,$J$2)=0,"-",IF(COUNTIF('Програма-кодове'!$C24:$AD24,$J$2)=1,INDEX('Програма-кодове'!$C$1:$AD$1,1,MATCH($J$2,'Програма-кодове'!$C24:$AD24,0)),"Дублаж"))</f>
        <v>8г</v>
      </c>
      <c r="K25" s="354" t="str">
        <f>IF(COUNTIF('Програма-кодове'!$C24:$AD24,$K$2)=0,"-",IF(COUNTIF('Програма-кодове'!$C24:$AD24,$K$2)=1,INDEX('Програма-кодове'!$C$1:$AD$1,1,MATCH($K$2,'Програма-кодове'!$C24:$AD24,0)),"Дублаж"))</f>
        <v>-</v>
      </c>
      <c r="L25" s="20" t="str">
        <f>IF(COUNTIF('Програма-кодове'!$C24:$AD24,$L$2)=0,"-",IF(COUNTIF('Програма-кодове'!$C24:$AD24,$L$2)=1,INDEX('Програма-кодове'!$C$1:$AD$1,1,MATCH($L$2,'Програма-кодове'!$C24:$AD24,0)),"Дублаж"))</f>
        <v>10д</v>
      </c>
      <c r="M25" s="20" t="str">
        <f>IF(COUNTIF('Програма-кодове'!$C24:$AD24,$M$2)=0,"-",IF(COUNTIF('Програма-кодове'!$C24:$AD24,$M$2)=1,INDEX('Програма-кодове'!$C$1:$AD$1,1,MATCH($M$2,'Програма-кодове'!$C24:$AD24,0)),"Дублаж"))</f>
        <v>8б</v>
      </c>
      <c r="N25" s="20" t="str">
        <f>IF(COUNTIF('Програма-кодове'!$C24:$AD24,$N$2)=0,"-",IF(COUNTIF('Програма-кодове'!$C24:$AD24,$N$2)=1,INDEX('Програма-кодове'!$C$1:$AD$1,1,MATCH($N$2,'Програма-кодове'!$C24:$AD24,0)),"Дублаж"))</f>
        <v>8в</v>
      </c>
      <c r="O25" s="329" t="str">
        <f>IF(COUNTIF('Програма-кодове'!$C24:$AD24,$O$2)=0,"-",IF(COUNTIF('Програма-кодове'!$C24:$AD24,$O$2)=1,INDEX('Програма-кодове'!$C$1:$AD$1,1,MATCH($O$2,'Програма-кодове'!$C24:$AD24,0)),"Дублаж"))</f>
        <v>-</v>
      </c>
      <c r="P25" s="346" t="str">
        <f>IF(COUNTIF('Програма-кодове'!$C24:$AD24,$P$2)=0,"-",IF(COUNTIF('Програма-кодове'!$C24:$AD24,$P$2)=1,INDEX('Програма-кодове'!$C$1:$AD$1,1,MATCH($P$2,'Програма-кодове'!$C24:$AD24,0)),"Дублаж"))</f>
        <v>-</v>
      </c>
      <c r="Q25" s="316" t="str">
        <f>IF(COUNTIF('Програма-кодове'!$C24:$AD24,$Q$2)=0,"-",IF(COUNTIF('Програма-кодове'!$C24:$AD24,$Q$2)=1,INDEX('Програма-кодове'!$C$1:$AD$1,1,MATCH($Q$2,'Програма-кодове'!$C24:$AD24,0)),"Дублаж"))</f>
        <v>9а</v>
      </c>
      <c r="R25" s="193" t="str">
        <f t="shared" si="0"/>
        <v>10в</v>
      </c>
      <c r="S25" s="354" t="str">
        <f t="shared" si="3"/>
        <v>10б</v>
      </c>
      <c r="T25" s="339" t="str">
        <f t="shared" si="4"/>
        <v>10б,в</v>
      </c>
      <c r="U25" s="20" t="str">
        <f>IF(COUNTIF('Програма-кодове'!$C24:$AD24,$U$2)=0,"-",IF(COUNTIF('Програма-кодове'!$C24:$AD24,$U$2)=1,INDEX('Програма-кодове'!$C$1:$AD$1,1,MATCH($U$2,'Програма-кодове'!$C24:$AD24,0)),"Дублаж"))</f>
        <v>12г</v>
      </c>
      <c r="V25" s="339" t="str">
        <f>IF(COUNTIF('Програма-кодове'!$C24:$AD24,$V$2)=0,"-",IF(COUNTIF('Програма-кодове'!$C24:$AD24,$V$2)=1,INDEX('Програма-кодове'!$C$1:$AD$1,1,MATCH($V$2,'Програма-кодове'!$C24:$AD24,0)),"Дублаж"))</f>
        <v>-</v>
      </c>
      <c r="W25" s="332" t="str">
        <f>IF(COUNTIF('Програма-кодове'!$C24:$AD24,$W$2)=0,"-",IF(COUNTIF('Програма-кодове'!$C24:$AD24,$W$2)=1,INDEX('Програма-кодове'!$C$1:$AD$1,1,MATCH($W$2,'Програма-кодове'!$C24:$AD24,0)),"Дублаж"))</f>
        <v>8a</v>
      </c>
      <c r="X25" s="332" t="str">
        <f>IF(COUNTIF('Програма-кодове'!$C24:$AD24,$X$2)=0,"-",IF(COUNTIF('Програма-кодове'!$C24:$AD24,$X$2)=1,INDEX('Програма-кодове'!$C$1:$AD$1,1,MATCH($X$2,'Програма-кодове'!$C24:$AD24,0)),"Дублаж"))</f>
        <v>-</v>
      </c>
      <c r="Y25" s="332" t="str">
        <f>IF(COUNTIF('Програма-кодове'!$C24:$AD24,$Y$2)=0,"-",IF(COUNTIF('Програма-кодове'!$C24:$AD24,$Y$2)=1,INDEX('Програма-кодове'!$C$1:$AD$1,1,MATCH($Y$2,'Програма-кодове'!$C24:$AD24,0)),"Дублаж"))</f>
        <v>11д</v>
      </c>
      <c r="Z25" s="332" t="str">
        <f>IF(COUNTIF('Програма-кодове'!$C24:$AD24,$Z$2)=0,"-",IF(COUNTIF('Програма-кодове'!$C24:$AD24,$Z$2)=1,INDEX('Програма-кодове'!$C$1:$AD$1,1,MATCH($Z$2,'Програма-кодове'!$C24:$AD24,0)),"Дублаж"))</f>
        <v>9д</v>
      </c>
      <c r="AA25" s="193" t="str">
        <f t="shared" si="5"/>
        <v>12а</v>
      </c>
      <c r="AB25" s="193" t="str">
        <f t="shared" si="6"/>
        <v>-</v>
      </c>
      <c r="AC25" s="193" t="str">
        <f t="shared" si="7"/>
        <v>10а</v>
      </c>
      <c r="AD25" s="193" t="str">
        <f t="shared" si="8"/>
        <v>10а</v>
      </c>
      <c r="AE25" s="193" t="str">
        <f t="shared" si="9"/>
        <v>12а</v>
      </c>
      <c r="AF25" s="193" t="str">
        <f t="shared" si="10"/>
        <v>-</v>
      </c>
      <c r="AG25" s="193" t="str">
        <f t="shared" si="24"/>
        <v>8д</v>
      </c>
      <c r="AH25" s="193" t="str">
        <f t="shared" si="12"/>
        <v>8д</v>
      </c>
      <c r="AI25" s="20" t="str">
        <f t="shared" si="13"/>
        <v>-</v>
      </c>
      <c r="AJ25" s="324" t="str">
        <f t="shared" ref="AJ25:AJ26" si="26">IF(CC25&lt;&gt;"-",IF(AND(CD25="-",CE25="-"),CC25,"Дублаж"),IF(AND(CD25&lt;&gt;"-",CE25&lt;&gt;"-"),"Дублаж",IF(CD25&lt;&gt;"-",CD25,CE25)))</f>
        <v>-</v>
      </c>
      <c r="AK25" s="20" t="str">
        <f>IF(COUNTIF('Програма-кодове'!$C24:$AD24,$AK$2)=0,"-",IF(COUNTIF('Програма-кодове'!$C24:$AD24,$AK$2)=1,INDEX('Програма-кодове'!$C$1:$AD$1,1,MATCH($AK$2,'Програма-кодове'!$C24:$AD24,0)),"Дублаж"))</f>
        <v>11в</v>
      </c>
      <c r="AL25" s="20" t="str">
        <f>IF(COUNTIF('Програма-кодове'!$C24:$AD24,$AL$2)=0,"-",IF(COUNTIF('Програма-кодове'!$C24:$AD24,$AL$2)=1,INDEX('Програма-кодове'!$C$1:$AD$1,1,MATCH($AL$2,'Програма-кодове'!$C24:$AD24,0)),"Дублаж"))</f>
        <v>-</v>
      </c>
      <c r="AM25" s="20" t="str">
        <f>IF(COUNTIF('Програма-кодове'!$C24:$AD24,$AM$2)=0,"-",IF(COUNTIF('Програма-кодове'!$C24:$AD24,$AM$2)=1,INDEX('Програма-кодове'!$C$1:$AD$1,1,MATCH($AM$2,'Програма-кодове'!$C24:$AD24,0)),"Дублаж"))</f>
        <v>10г</v>
      </c>
      <c r="AN25" s="346" t="str">
        <f>IF(COUNTIF('Програма-кодове'!$C24:$AD24,$AN$2)=0,"-",IF(COUNTIF('Програма-кодове'!$C24:$AD24,$AN$2)=1,INDEX('Програма-кодове'!$C$1:$AD$1,1,MATCH($AN$2,'Програма-кодове'!$C24:$AD24,0)),"Дублаж"))</f>
        <v>11а</v>
      </c>
      <c r="AO25" s="346" t="str">
        <f>IF(COUNTIF('Програма-кодове'!$C24:$AD24,$AO$2)=0,"-",IF(COUNTIF('Програма-кодове'!$C24:$AD24,$AO$2)=1,INDEX('Програма-кодове'!$C$1:$AD$1,1,MATCH($AO$2,'Програма-кодове'!$C24:$AD24,0)),"Дублаж"))</f>
        <v>9б</v>
      </c>
      <c r="AP25" s="346" t="str">
        <f>IF(COUNTIF('Програма-кодове'!$C24:$AD24,$AP$2)=0,"-",IF(COUNTIF('Програма-кодове'!$C24:$AD24,$AP$2)=1,INDEX('Програма-кодове'!$C$1:$AD$1,1,MATCH($AP$2,'Програма-кодове'!$C24:$AD24,0)),"Дублаж"))</f>
        <v>-</v>
      </c>
      <c r="AQ25" s="346" t="str">
        <f t="shared" si="15"/>
        <v>9в</v>
      </c>
      <c r="AR25" s="346">
        <f>IF(COUNTIF('Програма-кодове'!$C24:$AD24,$AR$2)=0,"-",IF(COUNTIF('Програма-кодове'!$C24:$AD24,$AR$2)=1,INDEX('Програма-кодове'!$C$1:$AD$1,1,MATCH($AR$2,'Програма-кодове'!$C24:$AD24,0)),"Дублаж"))</f>
        <v>7</v>
      </c>
      <c r="AS25" s="346" t="str">
        <f>IF(COUNTIF('Програма-кодове'!$C24:$AD24,$AS$2)=0,"-",IF(COUNTIF('Програма-кодове'!$C24:$AD24,$AS$2)=1,INDEX('Програма-кодове'!$C$1:$AD$1,1,MATCH($AS$2,'Програма-кодове'!$C24:$AD24,0)),"Дублаж"))</f>
        <v>-</v>
      </c>
      <c r="AT25" s="346" t="str">
        <f>IF(COUNTIF('Програма-кодове'!$C24:$AD24,$AT$2)=0,"-",IF(COUNTIF('Програма-кодове'!$C24:$AD24,$AT$2)=1,INDEX('Програма-кодове'!$C$1:$AD$1,1,MATCH($AT$2,'Програма-кодове'!$C24:$AD24,0)),"Дублаж"))</f>
        <v>12д</v>
      </c>
      <c r="AU25" s="194" t="str">
        <f t="shared" si="25"/>
        <v>-</v>
      </c>
      <c r="AV25" s="194">
        <f t="shared" si="2"/>
        <v>6</v>
      </c>
      <c r="AW25" s="196" t="str">
        <f>IF(COUNTIF('Програма-кодове'!$C24:$AD24,$AW$2)=0,"-",IF(COUNTIF('Програма-кодове'!$C24:$AD24,$AW$2)=1,INDEX('Програма-кодове'!$C$1:$AD$1,1,MATCH($AW$2,'Програма-кодове'!$C24:$AD24,0)),"Дублаж"))</f>
        <v>9г</v>
      </c>
      <c r="AX25" s="196" t="str">
        <f>IF(COUNTIF('Програма-кодове'!$C24:$AD24,$AX$2)=0,"-",IF(COUNTIF('Програма-кодове'!$C24:$AD24,$AX$2)=1,INDEX('Програма-кодове'!$C$1:$AD$1,1,MATCH($AX$2,'Програма-кодове'!$C24:$AD24,0)),"Дублаж"))</f>
        <v>-</v>
      </c>
      <c r="AY25" s="196" t="str">
        <f>IF(COUNTIF('Програма-кодове'!$C24:$AD24,$AY$2)=0,"-",IF(COUNTIF('Програма-кодове'!$C24:$AD24,$AY$2)=1,INDEX('Програма-кодове'!$C$1:$AD$1,1,MATCH($AY$2,'Програма-кодове'!$C24:$AD24,0)),"Дублаж"))</f>
        <v>12в</v>
      </c>
      <c r="AZ25" s="193" t="str">
        <f t="shared" si="16"/>
        <v>-</v>
      </c>
      <c r="BA25" s="30" t="str">
        <f>IF(COUNTIF('Програма-кодове'!$C24:$AD24,$BA$2)=0,"-",IF(COUNTIF('Програма-кодове'!$C24:$AD24,$BA$2)=1,INDEX('Програма-кодове'!$C$1:$AD$1,1,MATCH($BA$2,'Програма-кодове'!$C24:$AD24,0)),"Дублаж"))</f>
        <v>-</v>
      </c>
      <c r="BB25" s="30" t="str">
        <f>IF(COUNTIF('Програма-кодове'!$C24:$AD24,$BB$2)=0,"-",IF(COUNTIF('Програма-кодове'!$C24:$AD24,$BB$2)=1,INDEX('Програма-кодове'!$C$1:$AD$1,1,MATCH($BB$2,'Програма-кодове'!$C24:$AD24,0)),"Дублаж"))</f>
        <v>-</v>
      </c>
      <c r="BC25" s="30" t="str">
        <f>IF(COUNTIF('Програма-кодове'!$C24:$AD24,$BC$2)=0,"-",IF(COUNTIF('Програма-кодове'!$C24:$AD24,$BC$2)=1,INDEX('Програма-кодове'!$C$1:$AD$1,1,MATCH($BC$2,'Програма-кодове'!$C24:$AD24,0)),"Дублаж"))</f>
        <v>-</v>
      </c>
      <c r="BD25" s="30" t="str">
        <f>IF(COUNTIF('Програма-кодове'!$C24:$AD24,$BD$2)=0,"-",IF(COUNTIF('Програма-кодове'!$C24:$AD24,$BD$2)=1,INDEX('Програма-кодове'!$C$1:$AD$1,1,MATCH($BD$2,'Програма-кодове'!$C24:$AD24,0)),"Дублаж"))</f>
        <v>10а</v>
      </c>
      <c r="BE25" s="30" t="str">
        <f>IF(COUNTIF('Програма-кодове'!$C24:$AD24,$BE$2)=0,"-",IF(COUNTIF('Програма-кодове'!$C24:$AD24,$BE$2)=1,INDEX('Програма-кодове'!$C$1:$AD$1,1,MATCH($BE$2,'Програма-кодове'!$C24:$AD24,0)),"Дублаж"))</f>
        <v>-</v>
      </c>
      <c r="BF25" s="30" t="str">
        <f>IF(COUNTIF('Програма-кодове'!$C24:$AD24,$BF$2)=0,"-",IF(COUNTIF('Програма-кодове'!$C24:$AD24,$BF$2)=1,INDEX('Програма-кодове'!$C$1:$AD$1,1,MATCH($BF$2,'Програма-кодове'!$C24:$AD24,0)),"Дублаж"))</f>
        <v>-</v>
      </c>
      <c r="BG25" s="30" t="str">
        <f>IF(COUNTIF('Програма-кодове'!$C24:$AD24,$BG$2)=0,"-",IF(COUNTIF('Програма-кодове'!$C24:$AD24,$BG$2)=1,INDEX('Програма-кодове'!$C$1:$AD$1,1,MATCH($BG$2,'Програма-кодове'!$C24:$AD24,0)),"Дублаж"))</f>
        <v>8д</v>
      </c>
      <c r="BH25" s="30" t="str">
        <f>IF(COUNTIF('Програма-кодове'!$C24:$AD24,$BH$2)=0,"-",IF(COUNTIF('Програма-кодове'!$C24:$AD24,$BH$2)=1,INDEX('Програма-кодове'!$C$1:$AD$1,1,MATCH($BH$2,'Програма-кодове'!$C24:$AD24,0)),"Дублаж"))</f>
        <v>12а</v>
      </c>
      <c r="BI25" s="94" t="str">
        <f>IF(COUNTIF('Програма-кодове'!$C24:$AD24,$BI$2)=0,"-",IF(COUNTIF('Програма-кодове'!$C24:$AD24,$BI$2)=1,INDEX('Програма-кодове'!$C$1:$AD$1,1,MATCH($BI$2,'Програма-кодове'!$C24:$AD24,0)),IF('Програма-кодове'!Z24='Програма-кодове'!AA24,"12а,б","Дублаж")))</f>
        <v>-</v>
      </c>
      <c r="BJ25" s="94" t="str">
        <f>IF(COUNTIF('Програма-кодове'!$C24:$AD24,$BJ$2)=0,"-",IF(COUNTIF('Програма-кодове'!$C24:$AD24,$BJ$2)=1,INDEX('Програма-кодове'!$C$1:$AD$1,1,MATCH($BJ$2,'Програма-кодове'!$C24:$AD24,0)),"Дублаж"))</f>
        <v>-</v>
      </c>
      <c r="BK25" s="94" t="str">
        <f>IF(COUNTIF('Програма-кодове'!$C24:$AD24,$BK$2)=0,"-",IF(COUNTIF('Програма-кодове'!$C24:$AD24,$BK$2)=1,INDEX('Програма-кодове'!$C$1:$AD$1,1,MATCH($BK$2,'Програма-кодове'!$C24:$AD24,0)),IF('Програма-кодове'!K24='Програма-кодове'!O24,"9а,д",IF('Програма-кодове'!L24='Програма-кодове'!M24,"9б,в","Дублаж"))))</f>
        <v>-</v>
      </c>
      <c r="BL25" s="30" t="str">
        <f>IF(COUNTIF('Програма-кодове'!$C24:$AD24,$BL$2)=0,"-",IF(COUNTIF('Програма-кодове'!$C24:$AD24,$BL$2)=1,INDEX('Програма-кодове'!$C$1:$AD$1,1,MATCH($BL$2,'Програма-кодове'!$C24:$AD24,0)),"Дублаж"))</f>
        <v>-</v>
      </c>
      <c r="BM25" s="30" t="str">
        <f>IF(COUNTIF('Програма-кодове'!$C24:$AD24,$BM$2)=0,"-",IF(COUNTIF('Програма-кодове'!$C24:$AD24,$BM$2)=1,INDEX('Програма-кодове'!$C$1:$AD$1,1,MATCH($BM$2,'Програма-кодове'!$C24:$AD24,0)),"Дублаж"))</f>
        <v>-</v>
      </c>
      <c r="BN25" s="77" t="str">
        <f>IF(COUNTIF('Програма-кодове'!$C24:$AD24,$BN$2)=0,"-",IF(COUNTIF('Програма-кодове'!$C24:$AD24,$BN$2)=1,INDEX('Програма-кодове'!$C$1:$AD$1,1,MATCH($BN$2,'Програма-кодове'!$C24:$AD24,0)),IF(AND('Програма-кодове'!K24='Програма-кодове'!O24,'Програма-кодове'!K24&lt;&gt;""),"9а, д", IF(AND('Програма-кодове'!U24='Програма-кодове'!W24,'Програма-кодове'!U24&lt;&gt;""),"11а,в", "Дублаж"))))</f>
        <v>10в</v>
      </c>
      <c r="BO25" s="77" t="str">
        <f>IF(COUNTIF('Програма-кодове'!$C24:$AD24,$BO$2)=0,"-",IF(COUNTIF('Програма-кодове'!$C24:$AD24,$BO$2)=1,INDEX('Програма-кодове'!$C$1:$AD$1,1,MATCH($BO$2,'Програма-кодове'!$C24:$AD24,0)),IF(AND('Програма-кодове'!U24='Програма-кодове'!W24,'Програма-кодове'!U24&lt;&gt;"" ),"11a,в","Дублаж")))</f>
        <v>10б</v>
      </c>
      <c r="BP25" s="30" t="str">
        <f>IF(COUNTIF('Програма-кодове'!$C24:$AD24,$BP$2)=0,"-",IF(COUNTIF('Програма-кодове'!$C24:$AD24,$BP$2)=1,"9б,в,г","Дублаж"))</f>
        <v>-</v>
      </c>
      <c r="BQ25" s="30" t="str">
        <f>IF(COUNTIF('Програма-кодове'!$C24:$AD24,$BQ$2)=0,"-",IF(COUNTIF('Програма-кодове'!$C24:$AD24,$BQ$2)=1,INDEX('Програма-кодове'!$C$1:$AD$1,1,MATCH($BQ$2,'Програма-кодове'!$C24:$AD24,0)),"Дублаж"))</f>
        <v>-</v>
      </c>
      <c r="BR25" s="30" t="str">
        <f>IF(COUNTIF('Програма-кодове'!$C24:$AD24,$BR$2)=0,"-",IF(COUNTIF('Програма-кодове'!$C24:$AD24,$BR$2)=1,INDEX('Програма-кодове'!$C$1:$AD$1,1,MATCH($BR$2,'Програма-кодове'!$C24:$AD24,0)),IF('Програма-кодове'!W24='Програма-кодове'!X24,"11б,в","Дублаж")))</f>
        <v>-</v>
      </c>
      <c r="BS25" s="30" t="str">
        <f>IF(COUNTIF('Програма-кодове'!$C24:$AD24,$BS$2)=0,"-",IF(COUNTIF('Програма-кодове'!$C24:$AD24,$BS$2)=1,INDEX('Програма-кодове'!$C$1:$AD$1,1,MATCH($BS$2,'Програма-кодове'!$C24:$AD24,0)),"Дублаж"))</f>
        <v>-</v>
      </c>
      <c r="BT25" s="193" t="str">
        <f t="shared" si="17"/>
        <v>-</v>
      </c>
      <c r="BU25" s="30" t="str">
        <f>IF(COUNTIF('Програма-кодове'!$C24:$AD24,$BU$2)=0,"-",IF(COUNTIF('Програма-кодове'!$C24:$AD24,$BU$2)=1,INDEX('Програма-кодове'!$C$1:$AD$1,1,MATCH($BU$2,'Програма-кодове'!$C24:$AD24,0)),"Дублаж"))</f>
        <v>-</v>
      </c>
      <c r="BV25" s="30" t="str">
        <f>IF(COUNTIF('Програма-кодове'!$C24:$AD24,$BV$2)=0,"-",IF(COUNTIF('Програма-кодове'!$C24:$AD24,$BV$2)=1,INDEX('Програма-кодове'!$C$1:$AD$1,1,MATCH($BV$2,'Програма-кодове'!$C24:$AD24,0)),"Дублаж"))</f>
        <v>-</v>
      </c>
      <c r="BW25" s="30" t="str">
        <f>IF(COUNTIF('Програма-кодове'!$C24:$AD24,$BW$2)=0,"-",IF(COUNTIF('Програма-кодове'!$C24:$AD24,$BW$2)=1,INDEX('Програма-кодове'!$C$1:$AD$1,1,MATCH($BW$2,'Програма-кодове'!$C24:$AD24,0)),"Дублаж"))</f>
        <v>-</v>
      </c>
      <c r="BX25" s="30">
        <f>IF(COUNTIF('Програма-кодове'!$C24:$AD24,$BX$2)=0,"-",IF(COUNTIF('Програма-кодове'!$C24:$AD24,$BX$2)=1,INDEX('Програма-кодове'!$C$1:$AD$1,1,MATCH($BX$2,'Програма-кодове'!$C24:$AD24,0)),"Дублаж"))</f>
        <v>6</v>
      </c>
      <c r="BY25" s="30" t="str">
        <f>IF(COUNTIF('Програма-кодове'!$C24:$AD24,$BY$2)=0,"-",IF(COUNTIF('Програма-кодове'!$C24:$AD24,$BY$2)=1,INDEX('Програма-кодове'!$C$1:$AD$1,1,MATCH($BY$2,'Програма-кодове'!$C24:$AD24,0)),"Дублаж"))</f>
        <v>-</v>
      </c>
      <c r="BZ25" s="30" t="str">
        <f>IF(COUNTIF('Програма-кодове'!$C24:$AD24,$BZ$2)=0,"-",IF(COUNTIF('Програма-кодове'!$C24:$AD24,$BZ$2)=1,INDEX('Програма-кодове'!$C$1:$AD$1,1,MATCH($BZ$2,'Програма-кодове'!$C24:$AD24,0)),"Дублаж"))</f>
        <v>-</v>
      </c>
      <c r="CA25" s="30" t="str">
        <f>IF(COUNTIF('Програма-кодове'!$C24:$AD24,$CA$2)=0,"-",IF(COUNTIF('Програма-кодове'!$C24:$AD24,$CA$2)=1,INDEX('Програма-кодове'!$C$1:$AD$1,1,MATCH($CA$2,'Програма-кодове'!$C24:$AD24,0)),"Дублаж"))</f>
        <v>-</v>
      </c>
      <c r="CB25" s="30" t="str">
        <f>IF(COUNTIF('Програма-кодове'!$C24:$AD24,$CB$2)=0,"-",IF(COUNTIF('Програма-кодове'!$C24:$AD24,$CB$2)=1,INDEX('Програма-кодове'!$C$1:$AD$1,1,MATCH($CB$2,'Програма-кодове'!$C24:$AD24,0)),"Дублаж"))</f>
        <v>9в</v>
      </c>
      <c r="CC25" s="30" t="str">
        <f>IF(COUNTIF('Програма-кодове'!$C24:$AD24,$CC$2)=0,"-",IF(COUNTIF('Програма-кодове'!$C24:$AD24,$CC$2)=1,INDEX('Програма-кодове'!$C$1:$AD$1,1,MATCH($CC$2,'Програма-кодове'!$C24:$AD24,0)),"Дублаж"))</f>
        <v>-</v>
      </c>
      <c r="CD25" s="30" t="str">
        <f>IF(COUNTIF('Програма-кодове'!$C24:$AD24,$CD$2)=0,"-",IF(COUNTIF('Програма-кодове'!$C24:$AD24,$CD$2)=1,INDEX('Програма-кодове'!$C$1:$AD$1,1,MATCH($CD$2,'Програма-кодове'!$C24:$AD24,0)),"Дублаж"))</f>
        <v>-</v>
      </c>
      <c r="CE25" s="30" t="str">
        <f>IF(COUNTIF('Програма-кодове'!$C24:$AD24,$CE$2)=0,"-",IF(COUNTIF('Програма-кодове'!$C24:$AD24,$CE$2)=1,INDEX('Програма-кодове'!$C$1:$AD$1,1,MATCH($CE$2,'Програма-кодове'!$C24:$AD24,0)),"Дублаж"))</f>
        <v>-</v>
      </c>
    </row>
    <row r="26" spans="1:83" ht="13.5" customHeight="1">
      <c r="A26" s="369"/>
      <c r="B26" s="351">
        <v>3</v>
      </c>
      <c r="C26" s="20" t="str">
        <f>IF(COUNTIF('Програма-кодове'!$C25:$AD25,$C$2)=0,"-",IF(COUNTIF('Програма-кодове'!$C25:$AD25,$C$2)=1,INDEX('Програма-кодове'!$C$1:$AD$1,1,MATCH($C$2,'Програма-кодове'!$C25:$AD25,0)),"Дублаж"))</f>
        <v>-</v>
      </c>
      <c r="D26" s="319" t="str">
        <f>IF(COUNTIF('Програма-кодове'!$C25:$AD25,$D$2)=0,"-",IF(COUNTIF('Програма-кодове'!$C25:$AD25,$D$2)=1,INDEX('Програма-кодове'!$C$1:$AD$1,1,MATCH($D$2,'Програма-кодове'!$C25:$AD25,0)),"Дублаж"))</f>
        <v>11в</v>
      </c>
      <c r="E26" s="20">
        <f>IF(COUNTIF('Програма-кодове'!$C25:$AD25,$E$2)=0,"-",IF(COUNTIF('Програма-кодове'!$C25:$AD25,$E$2)=1,INDEX('Програма-кодове'!$C$1:$AD$1,1,MATCH($E$2,'Програма-кодове'!$C25:$AD25,0)),"Дублаж"))</f>
        <v>7</v>
      </c>
      <c r="F26" s="319" t="str">
        <f>IF(COUNTIF('Програма-кодове'!$C25:$AD25,$F$2)=0,"-",IF(COUNTIF('Програма-кодове'!$C25:$AD25,$F$2)=1,INDEX('Програма-кодове'!$C$1:$AD$1,1,MATCH($F$2,'Програма-кодове'!$C25:$AD25,0)),"Дублаж"))</f>
        <v>-</v>
      </c>
      <c r="G26" s="20" t="str">
        <f>IF(COUNTIF('Програма-кодове'!$C25:$AD25,$G$2)=0,"-",IF(COUNTIF('Програма-кодове'!$C25:$AD25,$G$2)=1,INDEX('Програма-кодове'!$C$1:$AD$1,1,MATCH($G$2,'Програма-кодове'!$C25:$AD25,0)),"Дублаж"))</f>
        <v>12д</v>
      </c>
      <c r="H26" s="20" t="str">
        <f>IF(COUNTIF('Програма-кодове'!$C25:$AD25,$H$2)=0,"-",IF(COUNTIF('Програма-кодове'!$C25:$AD25,$H$2)=1,INDEX('Програма-кодове'!$C$1:$AD$1,1,MATCH($H$2,'Програма-кодове'!$C25:$AD25,0)),"Дублаж"))</f>
        <v>-</v>
      </c>
      <c r="I26" s="20" t="str">
        <f>IF(COUNTIF('Програма-кодове'!$C25:$AD25,$I$2)=0,"-",IF(COUNTIF('Програма-кодове'!$C25:$AD25,$I$2)=1,INDEX('Програма-кодове'!$C$1:$AD$1,1,MATCH($I$2,'Програма-кодове'!$C25:$AD25,0)),"Дублаж"))</f>
        <v>11г</v>
      </c>
      <c r="J26" s="20" t="str">
        <f>IF(COUNTIF('Програма-кодове'!$C25:$AD25,$J$2)=0,"-",IF(COUNTIF('Програма-кодове'!$C25:$AD25,$J$2)=1,INDEX('Програма-кодове'!$C$1:$AD$1,1,MATCH($J$2,'Програма-кодове'!$C25:$AD25,0)),"Дублаж"))</f>
        <v>8г</v>
      </c>
      <c r="K26" s="20" t="str">
        <f>IF(COUNTIF('Програма-кодове'!$C25:$AD25,$K$2)=0,"-",IF(COUNTIF('Програма-кодове'!$C25:$AD25,$K$2)=1,INDEX('Програма-кодове'!$C$1:$AD$1,1,MATCH($K$2,'Програма-кодове'!$C25:$AD25,0)),"Дублаж"))</f>
        <v>12в</v>
      </c>
      <c r="L26" s="20" t="str">
        <f>IF(COUNTIF('Програма-кодове'!$C25:$AD25,$L$2)=0,"-",IF(COUNTIF('Програма-кодове'!$C25:$AD25,$L$2)=1,INDEX('Програма-кодове'!$C$1:$AD$1,1,MATCH($L$2,'Програма-кодове'!$C25:$AD25,0)),"Дублаж"))</f>
        <v>10в</v>
      </c>
      <c r="M26" s="20" t="str">
        <f>IF(COUNTIF('Програма-кодове'!$C25:$AD25,$M$2)=0,"-",IF(COUNTIF('Програма-кодове'!$C25:$AD25,$M$2)=1,INDEX('Програма-кодове'!$C$1:$AD$1,1,MATCH($M$2,'Програма-кодове'!$C25:$AD25,0)),"Дублаж"))</f>
        <v>8б</v>
      </c>
      <c r="N26" s="20">
        <f>IF(COUNTIF('Програма-кодове'!$C25:$AD25,$N$2)=0,"-",IF(COUNTIF('Програма-кодове'!$C25:$AD25,$N$2)=1,INDEX('Програма-кодове'!$C$1:$AD$1,1,MATCH($N$2,'Програма-кодове'!$C25:$AD25,0)),"Дублаж"))</f>
        <v>6</v>
      </c>
      <c r="O26" s="354" t="str">
        <f>IF(COUNTIF('Програма-кодове'!$C25:$AD25,$O$2)=0,"-",IF(COUNTIF('Програма-кодове'!$C25:$AD25,$O$2)=1,INDEX('Програма-кодове'!$C$1:$AD$1,1,MATCH($O$2,'Програма-кодове'!$C25:$AD25,0)),"Дублаж"))</f>
        <v>-</v>
      </c>
      <c r="P26" s="332" t="str">
        <f>IF(COUNTIF('Програма-кодове'!$C25:$AD25,$P$2)=0,"-",IF(COUNTIF('Програма-кодове'!$C25:$AD25,$P$2)=1,INDEX('Програма-кодове'!$C$1:$AD$1,1,MATCH($P$2,'Програма-кодове'!$C25:$AD25,0)),"Дублаж"))</f>
        <v>8a</v>
      </c>
      <c r="Q26" s="20" t="str">
        <f>IF(COUNTIF('Програма-кодове'!$C25:$AD25,$Q$2)=0,"-",IF(COUNTIF('Програма-кодове'!$C25:$AD25,$Q$2)=1,INDEX('Програма-кодове'!$C$1:$AD$1,1,MATCH($Q$2,'Програма-кодове'!$C25:$AD25,0)),"Дублаж"))</f>
        <v>-</v>
      </c>
      <c r="R26" s="193" t="str">
        <f t="shared" si="0"/>
        <v>9а, д</v>
      </c>
      <c r="S26" s="354" t="str">
        <f t="shared" si="3"/>
        <v>12г</v>
      </c>
      <c r="T26" s="339" t="str">
        <f>IF(BN26&lt;&gt;"-",IF(AND(BO26="-",BT26="-"),BN26,IF(AND(BN26="11б",BO26="11д"),"11б,д",IF(AND(BN26="12д",BO26="12а"),"12а,д",IF(AND(BN26="12в",BO26="12б"),"12б,в",IF(AND(BN26="10в",BO26="10б"),"10б,в",IF(AND(BN26="9д",BO26="9в"),"9в,д","Дублаж")))))),IF(BO26&lt;&gt;"-",IF(BT26="-",BO26,"Дублаж"),BT26))</f>
        <v>9а, д</v>
      </c>
      <c r="U26" s="20" t="str">
        <f>IF(COUNTIF('Програма-кодове'!$C25:$AD25,$U$2)=0,"-",IF(COUNTIF('Програма-кодове'!$C25:$AD25,$U$2)=1,INDEX('Програма-кодове'!$C$1:$AD$1,1,MATCH($U$2,'Програма-кодове'!$C25:$AD25,0)),"Дублаж"))</f>
        <v>12а</v>
      </c>
      <c r="V26" s="20" t="str">
        <f>IF(COUNTIF('Програма-кодове'!$C25:$AD25,$V$2)=0,"-",IF(COUNTIF('Програма-кодове'!$C25:$AD25,$V$2)=1,INDEX('Програма-кодове'!$C$1:$AD$1,1,MATCH($V$2,'Програма-кодове'!$C25:$AD25,0)),"Дублаж"))</f>
        <v>-</v>
      </c>
      <c r="W26" s="20" t="str">
        <f>IF(COUNTIF('Програма-кодове'!$C25:$AD25,$W$2)=0,"-",IF(COUNTIF('Програма-кодове'!$C25:$AD25,$W$2)=1,INDEX('Програма-кодове'!$C$1:$AD$1,1,MATCH($W$2,'Програма-кодове'!$C25:$AD25,0)),"Дублаж"))</f>
        <v>10д</v>
      </c>
      <c r="X26" s="332" t="str">
        <f>IF(COUNTIF('Програма-кодове'!$C25:$AD25,$X$2)=0,"-",IF(COUNTIF('Програма-кодове'!$C25:$AD25,$X$2)=1,INDEX('Програма-кодове'!$C$1:$AD$1,1,MATCH($X$2,'Програма-кодове'!$C25:$AD25,0)),"Дублаж"))</f>
        <v>8д</v>
      </c>
      <c r="Y26" s="341" t="str">
        <f>IF(COUNTIF('Програма-кодове'!$C25:$AD25,$Y$2)=0,"-",IF(COUNTIF('Програма-кодове'!$C25:$AD25,$Y$2)=1,INDEX('Програма-кодове'!$C$1:$AD$1,1,MATCH($Y$2,'Програма-кодове'!$C25:$AD25,0)),"Дублаж"))</f>
        <v>-</v>
      </c>
      <c r="Z26" s="332" t="str">
        <f>IF(COUNTIF('Програма-кодове'!$C25:$AD25,$Z$2)=0,"-",IF(COUNTIF('Програма-кодове'!$C25:$AD25,$Z$2)=1,INDEX('Програма-кодове'!$C$1:$AD$1,1,MATCH($Z$2,'Програма-кодове'!$C25:$AD25,0)),"Дублаж"))</f>
        <v>10г</v>
      </c>
      <c r="AA26" s="193" t="str">
        <f t="shared" si="5"/>
        <v>12б</v>
      </c>
      <c r="AB26" s="193" t="str">
        <f t="shared" si="6"/>
        <v>-</v>
      </c>
      <c r="AC26" s="193" t="str">
        <f t="shared" si="7"/>
        <v>10б</v>
      </c>
      <c r="AD26" s="193" t="str">
        <f t="shared" si="8"/>
        <v>10б</v>
      </c>
      <c r="AE26" s="193" t="str">
        <f t="shared" si="9"/>
        <v>12б</v>
      </c>
      <c r="AF26" s="193" t="str">
        <f t="shared" si="10"/>
        <v>-</v>
      </c>
      <c r="AG26" s="193" t="str">
        <f>IF(BA26&lt;&gt;"-",IF(AND(BC26="-",BG26="-",BF26="-",BM26="-",BI26="-"),BA26,"Дублаж"),IF(BC26&lt;&gt;"-",IF(AND(BG26="-",BF26="-",BM26="-",BI26="-"),BC26,"Дублаж"),IF(BG26&lt;&gt;"-",IF(AND(BF26="-",BM26="-",BI26="-"),BG26,"Дублаж"),IF(BF26&lt;&gt;"-",IF(AND(BM26="-",BI26="-"),BF26,"Дублаж"),IF(BM26&lt;&gt;"-",IF(BI26="-",BM26,BI26),BI26)))))</f>
        <v>8в</v>
      </c>
      <c r="AH26" s="193" t="str">
        <f t="shared" si="12"/>
        <v>8в</v>
      </c>
      <c r="AI26" s="20" t="str">
        <f t="shared" si="13"/>
        <v>10а</v>
      </c>
      <c r="AJ26" s="324" t="str">
        <f t="shared" si="26"/>
        <v>9г</v>
      </c>
      <c r="AK26" s="20" t="str">
        <f>IF(COUNTIF('Програма-кодове'!$C25:$AD25,$AK$2)=0,"-",IF(COUNTIF('Програма-кодове'!$C25:$AD25,$AK$2)=1,INDEX('Програма-кодове'!$C$1:$AD$1,1,MATCH($AK$2,'Програма-кодове'!$C25:$AD25,0)),"Дублаж"))</f>
        <v>11а</v>
      </c>
      <c r="AL26" s="20" t="str">
        <f>IF(COUNTIF('Програма-кодове'!$C25:$AD25,$AL$2)=0,"-",IF(COUNTIF('Програма-кодове'!$C25:$AD25,$AL$2)=1,INDEX('Програма-кодове'!$C$1:$AD$1,1,MATCH($AL$2,'Програма-кодове'!$C25:$AD25,0)),"Дублаж"))</f>
        <v>-</v>
      </c>
      <c r="AM26" s="20" t="str">
        <f>IF(COUNTIF('Програма-кодове'!$C25:$AD25,$AM$2)=0,"-",IF(COUNTIF('Програма-кодове'!$C25:$AD25,$AM$2)=1,INDEX('Програма-кодове'!$C$1:$AD$1,1,MATCH($AM$2,'Програма-кодове'!$C25:$AD25,0)),"Дублаж"))</f>
        <v>-</v>
      </c>
      <c r="AN26" s="193" t="str">
        <f>IF(COUNTIF('Програма-кодове'!$C25:$AD25,$AN$2)=0,"-",IF(COUNTIF('Програма-кодове'!$C25:$AD25,$AN$2)=1,INDEX('Програма-кодове'!$C$1:$AD$1,1,MATCH($AN$2,'Програма-кодове'!$C25:$AD25,0)),"Дублаж"))</f>
        <v>11б</v>
      </c>
      <c r="AO26" s="193" t="str">
        <f>IF(COUNTIF('Програма-кодове'!$C25:$AD25,$AO$2)=0,"-",IF(COUNTIF('Програма-кодове'!$C25:$AD25,$AO$2)=1,INDEX('Програма-кодове'!$C$1:$AD$1,1,MATCH($AO$2,'Програма-кодове'!$C25:$AD25,0)),"Дублаж"))</f>
        <v>-</v>
      </c>
      <c r="AP26" s="193" t="str">
        <f>IF(COUNTIF('Програма-кодове'!$C25:$AD25,$AP$2)=0,"-",IF(COUNTIF('Програма-кодове'!$C25:$AD25,$AP$2)=1,INDEX('Програма-кодове'!$C$1:$AD$1,1,MATCH($AP$2,'Програма-кодове'!$C25:$AD25,0)),"Дублаж"))</f>
        <v>-</v>
      </c>
      <c r="AQ26" s="193" t="str">
        <f t="shared" si="15"/>
        <v>9б</v>
      </c>
      <c r="AR26" s="193" t="str">
        <f>IF(COUNTIF('Програма-кодове'!$C25:$AD25,$AR$2)=0,"-",IF(COUNTIF('Програма-кодове'!$C25:$AD25,$AR$2)=1,INDEX('Програма-кодове'!$C$1:$AD$1,1,MATCH($AR$2,'Програма-кодове'!$C25:$AD25,0)),"Дублаж"))</f>
        <v>-</v>
      </c>
      <c r="AS26" s="193" t="str">
        <f>IF(COUNTIF('Програма-кодове'!$C25:$AD25,$AS$2)=0,"-",IF(COUNTIF('Програма-кодове'!$C25:$AD25,$AS$2)=1,INDEX('Програма-кодове'!$C$1:$AD$1,1,MATCH($AS$2,'Програма-кодове'!$C25:$AD25,0)),"Дублаж"))</f>
        <v>-</v>
      </c>
      <c r="AT26" s="193" t="str">
        <f>IF(COUNTIF('Програма-кодове'!$C25:$AD25,$AT$2)=0,"-",IF(COUNTIF('Програма-кодове'!$C25:$AD25,$AT$2)=1,INDEX('Програма-кодове'!$C$1:$AD$1,1,MATCH($AT$2,'Програма-кодове'!$C25:$AD25,0)),"Дублаж"))</f>
        <v>11д</v>
      </c>
      <c r="AU26" s="194" t="str">
        <f t="shared" si="25"/>
        <v>-</v>
      </c>
      <c r="AV26" s="194" t="str">
        <f t="shared" si="2"/>
        <v>9в</v>
      </c>
      <c r="AW26" s="196" t="str">
        <f>IF(COUNTIF('Програма-кодове'!$C25:$AD25,$AW$2)=0,"-",IF(COUNTIF('Програма-кодове'!$C25:$AD25,$AW$2)=1,INDEX('Програма-кодове'!$C$1:$AD$1,1,MATCH($AW$2,'Програма-кодове'!$C25:$AD25,0)),"Дублаж"))</f>
        <v>-</v>
      </c>
      <c r="AX26" s="196" t="str">
        <f>IF(COUNTIF('Програма-кодове'!$C25:$AD25,$AX$2)=0,"-",IF(COUNTIF('Програма-кодове'!$C25:$AD25,$AX$2)=1,INDEX('Програма-кодове'!$C$1:$AD$1,1,MATCH($AX$2,'Програма-кодове'!$C25:$AD25,0)),"Дублаж"))</f>
        <v>-</v>
      </c>
      <c r="AY26" s="196">
        <f>IF(COUNTIF('Програма-кодове'!$C25:$AD25,$AY$2)=0,"-",IF(COUNTIF('Програма-кодове'!$C25:$AD25,$AY$2)=1,INDEX('Програма-кодове'!$C$1:$AD$1,1,MATCH($AY$2,'Програма-кодове'!$C25:$AD25,0)),"Дублаж"))</f>
        <v>5</v>
      </c>
      <c r="AZ26" s="193" t="str">
        <f t="shared" si="16"/>
        <v>-</v>
      </c>
      <c r="BA26" s="30" t="str">
        <f>IF(COUNTIF('Програма-кодове'!$C25:$AD25,$BA$2)=0,"-",IF(COUNTIF('Програма-кодове'!$C25:$AD25,$BA$2)=1,INDEX('Програма-кодове'!$C$1:$AD$1,1,MATCH($BA$2,'Програма-кодове'!$C25:$AD25,0)),"Дублаж"))</f>
        <v>-</v>
      </c>
      <c r="BB26" s="30" t="str">
        <f>IF(COUNTIF('Програма-кодове'!$C25:$AD25,$BB$2)=0,"-",IF(COUNTIF('Програма-кодове'!$C25:$AD25,$BB$2)=1,INDEX('Програма-кодове'!$C$1:$AD$1,1,MATCH($BB$2,'Програма-кодове'!$C25:$AD25,0)),"Дублаж"))</f>
        <v>-</v>
      </c>
      <c r="BC26" s="30" t="str">
        <f>IF(COUNTIF('Програма-кодове'!$C25:$AD25,$BC$2)=0,"-",IF(COUNTIF('Програма-кодове'!$C25:$AD25,$BC$2)=1,INDEX('Програма-кодове'!$C$1:$AD$1,1,MATCH($BC$2,'Програма-кодове'!$C25:$AD25,0)),"Дублаж"))</f>
        <v>-</v>
      </c>
      <c r="BD26" s="30" t="str">
        <f>IF(COUNTIF('Програма-кодове'!$C25:$AD25,$BD$2)=0,"-",IF(COUNTIF('Програма-кодове'!$C25:$AD25,$BD$2)=1,INDEX('Програма-кодове'!$C$1:$AD$1,1,MATCH($BD$2,'Програма-кодове'!$C25:$AD25,0)),"Дублаж"))</f>
        <v>10б</v>
      </c>
      <c r="BE26" s="30" t="str">
        <f>IF(COUNTIF('Програма-кодове'!$C25:$AD25,$BE$2)=0,"-",IF(COUNTIF('Програма-кодове'!$C25:$AD25,$BE$2)=1,INDEX('Програма-кодове'!$C$1:$AD$1,1,MATCH($BE$2,'Програма-кодове'!$C25:$AD25,0)),"Дублаж"))</f>
        <v>-</v>
      </c>
      <c r="BF26" s="30" t="str">
        <f>IF(COUNTIF('Програма-кодове'!$C25:$AD25,$BF$2)=0,"-",IF(COUNTIF('Програма-кодове'!$C25:$AD25,$BF$2)=1,INDEX('Програма-кодове'!$C$1:$AD$1,1,MATCH($BF$2,'Програма-кодове'!$C25:$AD25,0)),"Дублаж"))</f>
        <v>-</v>
      </c>
      <c r="BG26" s="30" t="str">
        <f>IF(COUNTIF('Програма-кодове'!$C25:$AD25,$BG$2)=0,"-",IF(COUNTIF('Програма-кодове'!$C25:$AD25,$BG$2)=1,INDEX('Програма-кодове'!$C$1:$AD$1,1,MATCH($BG$2,'Програма-кодове'!$C25:$AD25,0)),"Дублаж"))</f>
        <v>8в</v>
      </c>
      <c r="BH26" s="30" t="str">
        <f>IF(COUNTIF('Програма-кодове'!$C25:$AD25,$BH$2)=0,"-",IF(COUNTIF('Програма-кодове'!$C25:$AD25,$BH$2)=1,INDEX('Програма-кодове'!$C$1:$AD$1,1,MATCH($BH$2,'Програма-кодове'!$C25:$AD25,0)),"Дублаж"))</f>
        <v>12б</v>
      </c>
      <c r="BI26" s="94" t="str">
        <f>IF(COUNTIF('Програма-кодове'!$C25:$AD25,$BI$2)=0,"-",IF(COUNTIF('Програма-кодове'!$C25:$AD25,$BI$2)=1,INDEX('Програма-кодове'!$C$1:$AD$1,1,MATCH($BI$2,'Програма-кодове'!$C25:$AD25,0)),IF('Програма-кодове'!Z25='Програма-кодове'!AA25,"12а,б","Дублаж")))</f>
        <v>-</v>
      </c>
      <c r="BJ26" s="94" t="str">
        <f>IF(COUNTIF('Програма-кодове'!$C25:$AD25,$BJ$2)=0,"-",IF(COUNTIF('Програма-кодове'!$C25:$AD25,$BJ$2)=1,INDEX('Програма-кодове'!$C$1:$AD$1,1,MATCH($BJ$2,'Програма-кодове'!$C25:$AD25,0)),"Дублаж"))</f>
        <v>-</v>
      </c>
      <c r="BK26" s="94" t="str">
        <f>IF(COUNTIF('Програма-кодове'!$C25:$AD25,$BK$2)=0,"-",IF(COUNTIF('Програма-кодове'!$C25:$AD25,$BK$2)=1,INDEX('Програма-кодове'!$C$1:$AD$1,1,MATCH($BK$2,'Програма-кодове'!$C25:$AD25,0)),IF('Програма-кодове'!K25='Програма-кодове'!O25,"9а,д",IF('Програма-кодове'!L25='Програма-кодове'!M25,"9б,в","Дублаж"))))</f>
        <v>-</v>
      </c>
      <c r="BL26" s="30" t="str">
        <f>IF(COUNTIF('Програма-кодове'!$C25:$AD25,$BL$2)=0,"-",IF(COUNTIF('Програма-кодове'!$C25:$AD25,$BL$2)=1,INDEX('Програма-кодове'!$C$1:$AD$1,1,MATCH($BL$2,'Програма-кодове'!$C25:$AD25,0)),"Дублаж"))</f>
        <v>-</v>
      </c>
      <c r="BM26" s="30" t="str">
        <f>IF(COUNTIF('Програма-кодове'!$C25:$AD25,$BM$2)=0,"-",IF(COUNTIF('Програма-кодове'!$C25:$AD25,$BM$2)=1,INDEX('Програма-кодове'!$C$1:$AD$1,1,MATCH($BM$2,'Програма-кодове'!$C25:$AD25,0)),"Дублаж"))</f>
        <v>-</v>
      </c>
      <c r="BN26" s="77" t="str">
        <f>IF(COUNTIF('Програма-кодове'!$C25:$AD25,$BN$2)=0,"-",IF(COUNTIF('Програма-кодове'!$C25:$AD25,$BN$2)=1,INDEX('Програма-кодове'!$C$1:$AD$1,1,MATCH($BN$2,'Програма-кодове'!$C25:$AD25,0)),IF(AND('Програма-кодове'!K25='Програма-кодове'!O25,'Програма-кодове'!K25&lt;&gt;""),"9а, д", IF(AND('Програма-кодове'!U25='Програма-кодове'!W25,'Програма-кодове'!U25&lt;&gt;""),"11а,в", "Дублаж"))))</f>
        <v>9а, д</v>
      </c>
      <c r="BO26" s="77" t="str">
        <f>IF(COUNTIF('Програма-кодове'!$C25:$AD25,$BO$2)=0,"-",IF(COUNTIF('Програма-кодове'!$C25:$AD25,$BO$2)=1,INDEX('Програма-кодове'!$C$1:$AD$1,1,MATCH($BO$2,'Програма-кодове'!$C25:$AD25,0)),IF(AND('Програма-кодове'!U25='Програма-кодове'!W25,'Програма-кодове'!U25&lt;&gt;"" ),"11a,в","Дублаж")))</f>
        <v>-</v>
      </c>
      <c r="BP26" s="30" t="str">
        <f>IF(COUNTIF('Програма-кодове'!$C25:$AD25,$BP$2)=0,"-",IF(COUNTIF('Програма-кодове'!$C25:$AD25,$BP$2)=1,"9б,в,г","Дублаж"))</f>
        <v>-</v>
      </c>
      <c r="BQ26" s="30" t="str">
        <f>IF(COUNTIF('Програма-кодове'!$C25:$AD25,$BQ$2)=0,"-",IF(COUNTIF('Програма-кодове'!$C25:$AD25,$BQ$2)=1,INDEX('Програма-кодове'!$C$1:$AD$1,1,MATCH($BQ$2,'Програма-кодове'!$C25:$AD25,0)),"Дублаж"))</f>
        <v>12г</v>
      </c>
      <c r="BR26" s="30" t="str">
        <f>IF(COUNTIF('Програма-кодове'!$C25:$AD25,$BR$2)=0,"-",IF(COUNTIF('Програма-кодове'!$C25:$AD25,$BR$2)=1,INDEX('Програма-кодове'!$C$1:$AD$1,1,MATCH($BR$2,'Програма-кодове'!$C25:$AD25,0)),IF('Програма-кодове'!W25='Програма-кодове'!X25,"11б,в","Дублаж")))</f>
        <v>-</v>
      </c>
      <c r="BS26" s="30" t="str">
        <f>IF(COUNTIF('Програма-кодове'!$C25:$AD25,$BS$2)=0,"-",IF(COUNTIF('Програма-кодове'!$C25:$AD25,$BS$2)=1,INDEX('Програма-кодове'!$C$1:$AD$1,1,MATCH($BS$2,'Програма-кодове'!$C25:$AD25,0)),"Дублаж"))</f>
        <v>-</v>
      </c>
      <c r="BT26" s="193" t="str">
        <f t="shared" si="17"/>
        <v>-</v>
      </c>
      <c r="BU26" s="30" t="str">
        <f>IF(COUNTIF('Програма-кодове'!$C25:$AD25,$BU$2)=0,"-",IF(COUNTIF('Програма-кодове'!$C25:$AD25,$BU$2)=1,INDEX('Програма-кодове'!$C$1:$AD$1,1,MATCH($BU$2,'Програма-кодове'!$C25:$AD25,0)),"Дублаж"))</f>
        <v>-</v>
      </c>
      <c r="BV26" s="30" t="str">
        <f>IF(COUNTIF('Програма-кодове'!$C25:$AD25,$BV$2)=0,"-",IF(COUNTIF('Програма-кодове'!$C25:$AD25,$BV$2)=1,INDEX('Програма-кодове'!$C$1:$AD$1,1,MATCH($BV$2,'Програма-кодове'!$C25:$AD25,0)),"Дублаж"))</f>
        <v>-</v>
      </c>
      <c r="BW26" s="30" t="str">
        <f>IF(COUNTIF('Програма-кодове'!$C25:$AD25,$BW$2)=0,"-",IF(COUNTIF('Програма-кодове'!$C25:$AD25,$BW$2)=1,INDEX('Програма-кодове'!$C$1:$AD$1,1,MATCH($BW$2,'Програма-кодове'!$C25:$AD25,0)),"Дублаж"))</f>
        <v>-</v>
      </c>
      <c r="BX26" s="30" t="str">
        <f>IF(COUNTIF('Програма-кодове'!$C25:$AD25,$BX$2)=0,"-",IF(COUNTIF('Програма-кодове'!$C25:$AD25,$BX$2)=1,INDEX('Програма-кодове'!$C$1:$AD$1,1,MATCH($BX$2,'Програма-кодове'!$C25:$AD25,0)),"Дублаж"))</f>
        <v>9в</v>
      </c>
      <c r="BY26" s="30" t="str">
        <f>IF(COUNTIF('Програма-кодове'!$C25:$AD25,$BY$2)=0,"-",IF(COUNTIF('Програма-кодове'!$C25:$AD25,$BY$2)=1,INDEX('Програма-кодове'!$C$1:$AD$1,1,MATCH($BY$2,'Програма-кодове'!$C25:$AD25,0)),"Дублаж"))</f>
        <v>-</v>
      </c>
      <c r="BZ26" s="30" t="str">
        <f>IF(COUNTIF('Програма-кодове'!$C25:$AD25,$BZ$2)=0,"-",IF(COUNTIF('Програма-кодове'!$C25:$AD25,$BZ$2)=1,INDEX('Програма-кодове'!$C$1:$AD$1,1,MATCH($BZ$2,'Програма-кодове'!$C25:$AD25,0)),"Дублаж"))</f>
        <v>10а</v>
      </c>
      <c r="CA26" s="30" t="str">
        <f>IF(COUNTIF('Програма-кодове'!$C25:$AD25,$CA$2)=0,"-",IF(COUNTIF('Програма-кодове'!$C25:$AD25,$CA$2)=1,INDEX('Програма-кодове'!$C$1:$AD$1,1,MATCH($CA$2,'Програма-кодове'!$C25:$AD25,0)),"Дублаж"))</f>
        <v>-</v>
      </c>
      <c r="CB26" s="30" t="str">
        <f>IF(COUNTIF('Програма-кодове'!$C25:$AD25,$CB$2)=0,"-",IF(COUNTIF('Програма-кодове'!$C25:$AD25,$CB$2)=1,INDEX('Програма-кодове'!$C$1:$AD$1,1,MATCH($CB$2,'Програма-кодове'!$C25:$AD25,0)),"Дублаж"))</f>
        <v>9б</v>
      </c>
      <c r="CC26" s="30" t="str">
        <f>IF(COUNTIF('Програма-кодове'!$C25:$AD25,$CC$2)=0,"-",IF(COUNTIF('Програма-кодове'!$C25:$AD25,$CC$2)=1,INDEX('Програма-кодове'!$C$1:$AD$1,1,MATCH($CC$2,'Програма-кодове'!$C25:$AD25,0)),"Дублаж"))</f>
        <v>-</v>
      </c>
      <c r="CD26" s="30" t="str">
        <f>IF(COUNTIF('Програма-кодове'!$C25:$AD25,$CD$2)=0,"-",IF(COUNTIF('Програма-кодове'!$C25:$AD25,$CD$2)=1,INDEX('Програма-кодове'!$C$1:$AD$1,1,MATCH($CD$2,'Програма-кодове'!$C25:$AD25,0)),"Дублаж"))</f>
        <v>9г</v>
      </c>
      <c r="CE26" s="30" t="str">
        <f>IF(COUNTIF('Програма-кодове'!$C25:$AD25,$CE$2)=0,"-",IF(COUNTIF('Програма-кодове'!$C25:$AD25,$CE$2)=1,INDEX('Програма-кодове'!$C$1:$AD$1,1,MATCH($CE$2,'Програма-кодове'!$C25:$AD25,0)),"Дублаж"))</f>
        <v>-</v>
      </c>
    </row>
    <row r="27" spans="1:83" ht="13.5" customHeight="1">
      <c r="A27" s="369"/>
      <c r="B27" s="351">
        <v>4</v>
      </c>
      <c r="C27" s="20" t="str">
        <f>IF(COUNTIF('Програма-кодове'!$C26:$AD26,$C$2)=0,"-",IF(COUNTIF('Програма-кодове'!$C26:$AD26,$C$2)=1,INDEX('Програма-кодове'!$C$1:$AD$1,1,MATCH($C$2,'Програма-кодове'!$C26:$AD26,0)),"Дублаж"))</f>
        <v>-</v>
      </c>
      <c r="D27" s="319" t="str">
        <f>IF(COUNTIF('Програма-кодове'!$C26:$AD26,$D$2)=0,"-",IF(COUNTIF('Програма-кодове'!$C26:$AD26,$D$2)=1,INDEX('Програма-кодове'!$C$1:$AD$1,1,MATCH($D$2,'Програма-кодове'!$C26:$AD26,0)),"Дублаж"))</f>
        <v>11в</v>
      </c>
      <c r="E27" s="20" t="str">
        <f>IF(COUNTIF('Програма-кодове'!$C26:$AD26,$E$2)=0,"-",IF(COUNTIF('Програма-кодове'!$C26:$AD26,$E$2)=1,INDEX('Програма-кодове'!$C$1:$AD$1,1,MATCH($E$2,'Програма-кодове'!$C26:$AD26,0)),"Дублаж"))</f>
        <v>-</v>
      </c>
      <c r="F27" s="319" t="str">
        <f>IF(COUNTIF('Програма-кодове'!$C26:$AD26,$F$2)=0,"-",IF(COUNTIF('Програма-кодове'!$C26:$AD26,$F$2)=1,INDEX('Програма-кодове'!$C$1:$AD$1,1,MATCH($F$2,'Програма-кодове'!$C26:$AD26,0)),"Дублаж"))</f>
        <v>-</v>
      </c>
      <c r="G27" s="20" t="str">
        <f>IF(COUNTIF('Програма-кодове'!$C26:$AD26,$G$2)=0,"-",IF(COUNTIF('Програма-кодове'!$C26:$AD26,$G$2)=1,INDEX('Програма-кодове'!$C$1:$AD$1,1,MATCH($G$2,'Програма-кодове'!$C26:$AD26,0)),"Дублаж"))</f>
        <v>-</v>
      </c>
      <c r="H27" s="20" t="str">
        <f>IF(COUNTIF('Програма-кодове'!$C26:$AD26,$H$2)=0,"-",IF(COUNTIF('Програма-кодове'!$C26:$AD26,$H$2)=1,INDEX('Програма-кодове'!$C$1:$AD$1,1,MATCH($H$2,'Програма-кодове'!$C26:$AD26,0)),"Дублаж"))</f>
        <v>-</v>
      </c>
      <c r="I27" s="20" t="str">
        <f>IF(COUNTIF('Програма-кодове'!$C26:$AD26,$I$2)=0,"-",IF(COUNTIF('Програма-кодове'!$C26:$AD26,$I$2)=1,INDEX('Програма-кодове'!$C$1:$AD$1,1,MATCH($I$2,'Програма-кодове'!$C26:$AD26,0)),"Дублаж"))</f>
        <v>11д</v>
      </c>
      <c r="J27" s="20">
        <f>IF(COUNTIF('Програма-кодове'!$C26:$AD26,$J$2)=0,"-",IF(COUNTIF('Програма-кодове'!$C26:$AD26,$J$2)=1,INDEX('Програма-кодове'!$C$1:$AD$1,1,MATCH($J$2,'Програма-кодове'!$C26:$AD26,0)),"Дублаж"))</f>
        <v>7</v>
      </c>
      <c r="K27" s="20" t="str">
        <f>IF(COUNTIF('Програма-кодове'!$C26:$AD26,$K$2)=0,"-",IF(COUNTIF('Програма-кодове'!$C26:$AD26,$K$2)=1,INDEX('Програма-кодове'!$C$1:$AD$1,1,MATCH($K$2,'Програма-кодове'!$C26:$AD26,0)),"Дублаж"))</f>
        <v>12в</v>
      </c>
      <c r="L27" s="20" t="str">
        <f>IF(COUNTIF('Програма-кодове'!$C26:$AD26,$L$2)=0,"-",IF(COUNTIF('Програма-кодове'!$C26:$AD26,$L$2)=1,INDEX('Програма-кодове'!$C$1:$AD$1,1,MATCH($L$2,'Програма-кодове'!$C26:$AD26,0)),"Дублаж"))</f>
        <v>11а</v>
      </c>
      <c r="M27" s="20" t="str">
        <f>IF(COUNTIF('Програма-кодове'!$C26:$AD26,$M$2)=0,"-",IF(COUNTIF('Програма-кодове'!$C26:$AD26,$M$2)=1,INDEX('Програма-кодове'!$C$1:$AD$1,1,MATCH($M$2,'Програма-кодове'!$C26:$AD26,0)),"Дублаж"))</f>
        <v>8б</v>
      </c>
      <c r="N27" s="20" t="str">
        <f>IF(COUNTIF('Програма-кодове'!$C26:$AD26,$N$2)=0,"-",IF(COUNTIF('Програма-кодове'!$C26:$AD26,$N$2)=1,INDEX('Програма-кодове'!$C$1:$AD$1,1,MATCH($N$2,'Програма-кодове'!$C26:$AD26,0)),"Дублаж"))</f>
        <v>8в</v>
      </c>
      <c r="O27" s="332" t="str">
        <f>IF(COUNTIF('Програма-кодове'!$C26:$AD26,$O$2)=0,"-",IF(COUNTIF('Програма-кодове'!$C26:$AD26,$O$2)=1,INDEX('Програма-кодове'!$C$1:$AD$1,1,MATCH($O$2,'Програма-кодове'!$C26:$AD26,0)),"Дублаж"))</f>
        <v>8д</v>
      </c>
      <c r="P27" s="332" t="str">
        <f>IF(COUNTIF('Програма-кодове'!$C26:$AD26,$P$2)=0,"-",IF(COUNTIF('Програма-кодове'!$C26:$AD26,$P$2)=1,INDEX('Програма-кодове'!$C$1:$AD$1,1,MATCH($P$2,'Програма-кодове'!$C26:$AD26,0)),"Дублаж"))</f>
        <v>-</v>
      </c>
      <c r="Q27" s="316" t="str">
        <f>IF(COUNTIF('Програма-кодове'!$C26:$AD26,$Q$2)=0,"-",IF(COUNTIF('Програма-кодове'!$C26:$AD26,$Q$2)=1,INDEX('Програма-кодове'!$C$1:$AD$1,1,MATCH($Q$2,'Програма-кодове'!$C26:$AD26,0)),"Дублаж"))</f>
        <v>9в</v>
      </c>
      <c r="R27" s="193" t="str">
        <f t="shared" si="0"/>
        <v>9а, д</v>
      </c>
      <c r="S27" s="316" t="str">
        <f t="shared" si="3"/>
        <v>-</v>
      </c>
      <c r="T27" s="339" t="str">
        <f t="shared" si="4"/>
        <v>9а, д</v>
      </c>
      <c r="U27" s="20" t="str">
        <f>IF(COUNTIF('Програма-кодове'!$C26:$AD26,$U$2)=0,"-",IF(COUNTIF('Програма-кодове'!$C26:$AD26,$U$2)=1,INDEX('Програма-кодове'!$C$1:$AD$1,1,MATCH($U$2,'Програма-кодове'!$C26:$AD26,0)),"Дублаж"))</f>
        <v>12а</v>
      </c>
      <c r="V27" s="20">
        <f>IF(COUNTIF('Програма-кодове'!$C26:$AD26,$V$2)=0,"-",IF(COUNTIF('Програма-кодове'!$C26:$AD26,$V$2)=1,INDEX('Програма-кодове'!$C$1:$AD$1,1,MATCH($V$2,'Програма-кодове'!$C26:$AD26,0)),"Дублаж"))</f>
        <v>5</v>
      </c>
      <c r="W27" s="317" t="str">
        <f>IF(COUNTIF('Програма-кодове'!$C26:$AD26,$W$2)=0,"-",IF(COUNTIF('Програма-кодове'!$C26:$AD26,$W$2)=1,INDEX('Програма-кодове'!$C$1:$AD$1,1,MATCH($W$2,'Програма-кодове'!$C26:$AD26,0)),"Дублаж"))</f>
        <v>-</v>
      </c>
      <c r="X27" s="332" t="str">
        <f>IF(COUNTIF('Програма-кодове'!$C26:$AD26,$X$2)=0,"-",IF(COUNTIF('Програма-кодове'!$C26:$AD26,$X$2)=1,INDEX('Програма-кодове'!$C$1:$AD$1,1,MATCH($X$2,'Програма-кодове'!$C26:$AD26,0)),"Дублаж"))</f>
        <v>12д</v>
      </c>
      <c r="Y27" s="341" t="str">
        <f>IF(COUNTIF('Програма-кодове'!$C26:$AD26,$Y$2)=0,"-",IF(COUNTIF('Програма-кодове'!$C26:$AD26,$Y$2)=1,INDEX('Програма-кодове'!$C$1:$AD$1,1,MATCH($Y$2,'Програма-кодове'!$C26:$AD26,0)),"Дублаж"))</f>
        <v>-</v>
      </c>
      <c r="Z27" s="332" t="str">
        <f>IF(COUNTIF('Програма-кодове'!$C26:$AD26,$Z$2)=0,"-",IF(COUNTIF('Програма-кодове'!$C26:$AD26,$Z$2)=1,INDEX('Програма-кодове'!$C$1:$AD$1,1,MATCH($Z$2,'Програма-кодове'!$C26:$AD26,0)),"Дублаж"))</f>
        <v>10г</v>
      </c>
      <c r="AA27" s="193" t="str">
        <f t="shared" si="5"/>
        <v>12б</v>
      </c>
      <c r="AB27" s="193" t="str">
        <f t="shared" si="6"/>
        <v>-</v>
      </c>
      <c r="AC27" s="193" t="str">
        <f t="shared" si="7"/>
        <v>10в</v>
      </c>
      <c r="AD27" s="193" t="str">
        <f t="shared" si="8"/>
        <v>10в</v>
      </c>
      <c r="AE27" s="193" t="str">
        <f t="shared" si="9"/>
        <v>12б</v>
      </c>
      <c r="AF27" s="193" t="str">
        <f t="shared" si="10"/>
        <v>-</v>
      </c>
      <c r="AG27" s="193" t="str">
        <f>IF(BA27&lt;&gt;"-",IF(AND(BC27="-",BG27="-",BF27="-",BM27="-",BI27="-"),BA27,"Дублаж"),IF(BC27&lt;&gt;"-",IF(AND(BG27="-",BF27="-",BM27="-",BI27="-"),BC27,"Дублаж"),IF(BG27&lt;&gt;"-",IF(AND(BF27="-",BM27="-",BI27="-"),BG27,"Дублаж"),IF(BF27&lt;&gt;"-",IF(AND(BM27="-",BI27="-"),BF27,"Дублаж"),IF(BM27&lt;&gt;"-",IF(BI27="-",BM27,BI27),BI27)))))</f>
        <v>8г</v>
      </c>
      <c r="AH27" s="193" t="str">
        <f t="shared" si="12"/>
        <v>8г</v>
      </c>
      <c r="AI27" s="20">
        <f>IF(AND(BZ27&lt;&gt;"-",BY27&lt;&gt;"-"),"Дублаж",IF(BZ27&lt;&gt;"-",BZ27,BY27))</f>
        <v>6</v>
      </c>
      <c r="AJ27" s="193" t="str">
        <f t="shared" si="14"/>
        <v>9б</v>
      </c>
      <c r="AK27" s="20" t="str">
        <f>IF(COUNTIF('Програма-кодове'!$C26:$AD26,$AK$2)=0,"-",IF(COUNTIF('Програма-кодове'!$C26:$AD26,$AK$2)=1,INDEX('Програма-кодове'!$C$1:$AD$1,1,MATCH($AK$2,'Програма-кодове'!$C26:$AD26,0)),"Дублаж"))</f>
        <v>11г</v>
      </c>
      <c r="AL27" s="20" t="str">
        <f>IF(COUNTIF('Програма-кодове'!$C26:$AD26,$AL$2)=0,"-",IF(COUNTIF('Програма-кодове'!$C26:$AD26,$AL$2)=1,INDEX('Програма-кодове'!$C$1:$AD$1,1,MATCH($AL$2,'Програма-кодове'!$C26:$AD26,0)),"Дублаж"))</f>
        <v>-</v>
      </c>
      <c r="AM27" s="20" t="str">
        <f>IF(COUNTIF('Програма-кодове'!$C26:$AD26,$AM$2)=0,"-",IF(COUNTIF('Програма-кодове'!$C26:$AD26,$AM$2)=1,INDEX('Програма-кодове'!$C$1:$AD$1,1,MATCH($AM$2,'Програма-кодове'!$C26:$AD26,0)),"Дублаж"))</f>
        <v>10б</v>
      </c>
      <c r="AN27" s="193" t="str">
        <f>IF(COUNTIF('Програма-кодове'!$C26:$AD26,$AN$2)=0,"-",IF(COUNTIF('Програма-кодове'!$C26:$AD26,$AN$2)=1,INDEX('Програма-кодове'!$C$1:$AD$1,1,MATCH($AN$2,'Програма-кодове'!$C26:$AD26,0)),"Дублаж"))</f>
        <v>-</v>
      </c>
      <c r="AO27" s="193" t="str">
        <f>IF(COUNTIF('Програма-кодове'!$C26:$AD26,$AO$2)=0,"-",IF(COUNTIF('Програма-кодове'!$C26:$AD26,$AO$2)=1,INDEX('Програма-кодове'!$C$1:$AD$1,1,MATCH($AO$2,'Програма-кодове'!$C26:$AD26,0)),"Дублаж"))</f>
        <v>-</v>
      </c>
      <c r="AP27" s="193" t="str">
        <f>IF(COUNTIF('Програма-кодове'!$C26:$AD26,$AP$2)=0,"-",IF(COUNTIF('Програма-кодове'!$C26:$AD26,$AP$2)=1,INDEX('Програма-кодове'!$C$1:$AD$1,1,MATCH($AP$2,'Програма-кодове'!$C26:$AD26,0)),"Дублаж"))</f>
        <v>-</v>
      </c>
      <c r="AQ27" s="193" t="str">
        <f t="shared" si="15"/>
        <v>-</v>
      </c>
      <c r="AR27" s="193" t="str">
        <f>IF(COUNTIF('Програма-кодове'!$C26:$AD26,$AR$2)=0,"-",IF(COUNTIF('Програма-кодове'!$C26:$AD26,$AR$2)=1,INDEX('Програма-кодове'!$C$1:$AD$1,1,MATCH($AR$2,'Програма-кодове'!$C26:$AD26,0)),"Дублаж"))</f>
        <v>10а</v>
      </c>
      <c r="AS27" s="193" t="str">
        <f>IF(COUNTIF('Програма-кодове'!$C26:$AD26,$AS$2)=0,"-",IF(COUNTIF('Програма-кодове'!$C26:$AD26,$AS$2)=1,INDEX('Програма-кодове'!$C$1:$AD$1,1,MATCH($AS$2,'Програма-кодове'!$C26:$AD26,0)),"Дублаж"))</f>
        <v>11б</v>
      </c>
      <c r="AT27" s="193" t="str">
        <f>IF(COUNTIF('Програма-кодове'!$C26:$AD26,$AT$2)=0,"-",IF(COUNTIF('Програма-кодове'!$C26:$AD26,$AT$2)=1,INDEX('Програма-кодове'!$C$1:$AD$1,1,MATCH($AT$2,'Програма-кодове'!$C26:$AD26,0)),"Дублаж"))</f>
        <v>9г</v>
      </c>
      <c r="AU27" s="194" t="str">
        <f t="shared" si="25"/>
        <v>10д</v>
      </c>
      <c r="AV27" s="194" t="str">
        <f t="shared" si="2"/>
        <v>-</v>
      </c>
      <c r="AW27" s="196" t="str">
        <f>IF(COUNTIF('Програма-кодове'!$C26:$AD26,$AW$2)=0,"-",IF(COUNTIF('Програма-кодове'!$C26:$AD26,$AW$2)=1,INDEX('Програма-кодове'!$C$1:$AD$1,1,MATCH($AW$2,'Програма-кодове'!$C26:$AD26,0)),"Дублаж"))</f>
        <v>-</v>
      </c>
      <c r="AX27" s="250" t="str">
        <f>IF(COUNTIF('Програма-кодове'!$C26:$AD26,$AX$2)=0,"-",IF(COUNTIF('Програма-кодове'!$C26:$AD26,$AX$2)=1,INDEX('Програма-кодове'!$C$1:$AD$1,1,MATCH($AX$2,'Програма-кодове'!$C26:$AD26,0)),"Дублаж"))</f>
        <v>8a</v>
      </c>
      <c r="AY27" s="196" t="str">
        <f>IF(COUNTIF('Програма-кодове'!$C26:$AD26,$AY$2)=0,"-",IF(COUNTIF('Програма-кодове'!$C26:$AD26,$AY$2)=1,INDEX('Програма-кодове'!$C$1:$AD$1,1,MATCH($AY$2,'Програма-кодове'!$C26:$AD26,0)),"Дублаж"))</f>
        <v>-</v>
      </c>
      <c r="AZ27" s="317" t="str">
        <f t="shared" si="16"/>
        <v>12г</v>
      </c>
      <c r="BA27" s="30" t="str">
        <f>IF(COUNTIF('Програма-кодове'!$C26:$AD26,$BA$2)=0,"-",IF(COUNTIF('Програма-кодове'!$C26:$AD26,$BA$2)=1,INDEX('Програма-кодове'!$C$1:$AD$1,1,MATCH($BA$2,'Програма-кодове'!$C26:$AD26,0)),"Дублаж"))</f>
        <v>-</v>
      </c>
      <c r="BB27" s="30" t="str">
        <f>IF(COUNTIF('Програма-кодове'!$C26:$AD26,$BB$2)=0,"-",IF(COUNTIF('Програма-кодове'!$C26:$AD26,$BB$2)=1,INDEX('Програма-кодове'!$C$1:$AD$1,1,MATCH($BB$2,'Програма-кодове'!$C26:$AD26,0)),"Дублаж"))</f>
        <v>-</v>
      </c>
      <c r="BC27" s="30" t="str">
        <f>IF(COUNTIF('Програма-кодове'!$C26:$AD26,$BC$2)=0,"-",IF(COUNTIF('Програма-кодове'!$C26:$AD26,$BC$2)=1,INDEX('Програма-кодове'!$C$1:$AD$1,1,MATCH($BC$2,'Програма-кодове'!$C26:$AD26,0)),"Дублаж"))</f>
        <v>-</v>
      </c>
      <c r="BD27" s="30" t="str">
        <f>IF(COUNTIF('Програма-кодове'!$C26:$AD26,$BD$2)=0,"-",IF(COUNTIF('Програма-кодове'!$C26:$AD26,$BD$2)=1,INDEX('Програма-кодове'!$C$1:$AD$1,1,MATCH($BD$2,'Програма-кодове'!$C26:$AD26,0)),"Дублаж"))</f>
        <v>10в</v>
      </c>
      <c r="BE27" s="30" t="str">
        <f>IF(COUNTIF('Програма-кодове'!$C26:$AD26,$BE$2)=0,"-",IF(COUNTIF('Програма-кодове'!$C26:$AD26,$BE$2)=1,INDEX('Програма-кодове'!$C$1:$AD$1,1,MATCH($BE$2,'Програма-кодове'!$C26:$AD26,0)),"Дублаж"))</f>
        <v>-</v>
      </c>
      <c r="BF27" s="30" t="str">
        <f>IF(COUNTIF('Програма-кодове'!$C26:$AD26,$BF$2)=0,"-",IF(COUNTIF('Програма-кодове'!$C26:$AD26,$BF$2)=1,INDEX('Програма-кодове'!$C$1:$AD$1,1,MATCH($BF$2,'Програма-кодове'!$C26:$AD26,0)),"Дублаж"))</f>
        <v>-</v>
      </c>
      <c r="BG27" s="30" t="str">
        <f>IF(COUNTIF('Програма-кодове'!$C26:$AD26,$BG$2)=0,"-",IF(COUNTIF('Програма-кодове'!$C26:$AD26,$BG$2)=1,INDEX('Програма-кодове'!$C$1:$AD$1,1,MATCH($BG$2,'Програма-кодове'!$C26:$AD26,0)),"Дублаж"))</f>
        <v>8г</v>
      </c>
      <c r="BH27" s="30" t="str">
        <f>IF(COUNTIF('Програма-кодове'!$C26:$AD26,$BH$2)=0,"-",IF(COUNTIF('Програма-кодове'!$C26:$AD26,$BH$2)=1,INDEX('Програма-кодове'!$C$1:$AD$1,1,MATCH($BH$2,'Програма-кодове'!$C26:$AD26,0)),"Дублаж"))</f>
        <v>12б</v>
      </c>
      <c r="BI27" s="94" t="str">
        <f>IF(COUNTIF('Програма-кодове'!$C26:$AD26,$BI$2)=0,"-",IF(COUNTIF('Програма-кодове'!$C26:$AD26,$BI$2)=1,INDEX('Програма-кодове'!$C$1:$AD$1,1,MATCH($BI$2,'Програма-кодове'!$C26:$AD26,0)),IF('Програма-кодове'!Z26='Програма-кодове'!AA26,"12а,б","Дублаж")))</f>
        <v>-</v>
      </c>
      <c r="BJ27" s="94" t="str">
        <f>IF(COUNTIF('Програма-кодове'!$C26:$AD26,$BJ$2)=0,"-",IF(COUNTIF('Програма-кодове'!$C26:$AD26,$BJ$2)=1,INDEX('Програма-кодове'!$C$1:$AD$1,1,MATCH($BJ$2,'Програма-кодове'!$C26:$AD26,0)),"Дублаж"))</f>
        <v>-</v>
      </c>
      <c r="BK27" s="94" t="str">
        <f>IF(COUNTIF('Програма-кодове'!$C26:$AD26,$BK$2)=0,"-",IF(COUNTIF('Програма-кодове'!$C26:$AD26,$BK$2)=1,INDEX('Програма-кодове'!$C$1:$AD$1,1,MATCH($BK$2,'Програма-кодове'!$C26:$AD26,0)),IF('Програма-кодове'!K26='Програма-кодове'!O26,"9а,д",IF('Програма-кодове'!L26='Програма-кодове'!M26,"9б,в","Дублаж"))))</f>
        <v>-</v>
      </c>
      <c r="BL27" s="30" t="str">
        <f>IF(COUNTIF('Програма-кодове'!$C26:$AD26,$BL$2)=0,"-",IF(COUNTIF('Програма-кодове'!$C26:$AD26,$BL$2)=1,INDEX('Програма-кодове'!$C$1:$AD$1,1,MATCH($BL$2,'Програма-кодове'!$C26:$AD26,0)),"Дублаж"))</f>
        <v>-</v>
      </c>
      <c r="BM27" s="30" t="str">
        <f>IF(COUNTIF('Програма-кодове'!$C26:$AD26,$BM$2)=0,"-",IF(COUNTIF('Програма-кодове'!$C26:$AD26,$BM$2)=1,INDEX('Програма-кодове'!$C$1:$AD$1,1,MATCH($BM$2,'Програма-кодове'!$C26:$AD26,0)),"Дублаж"))</f>
        <v>-</v>
      </c>
      <c r="BN27" s="77" t="str">
        <f>IF(COUNTIF('Програма-кодове'!$C26:$AD26,$BN$2)=0,"-",IF(COUNTIF('Програма-кодове'!$C26:$AD26,$BN$2)=1,INDEX('Програма-кодове'!$C$1:$AD$1,1,MATCH($BN$2,'Програма-кодове'!$C26:$AD26,0)),IF(AND('Програма-кодове'!K26='Програма-кодове'!O26,'Програма-кодове'!K26&lt;&gt;""),"9а, д", IF(AND('Програма-кодове'!U26='Програма-кодове'!W26,'Програма-кодове'!U26&lt;&gt;""),"11а,в", "Дублаж"))))</f>
        <v>9а, д</v>
      </c>
      <c r="BO27" s="77" t="str">
        <f>IF(COUNTIF('Програма-кодове'!$C26:$AD26,$BO$2)=0,"-",IF(COUNTIF('Програма-кодове'!$C26:$AD26,$BO$2)=1,INDEX('Програма-кодове'!$C$1:$AD$1,1,MATCH($BO$2,'Програма-кодове'!$C26:$AD26,0)),IF(AND('Програма-кодове'!U26='Програма-кодове'!W26,'Програма-кодове'!U26&lt;&gt;"" ),"11a,в","Дублаж")))</f>
        <v>-</v>
      </c>
      <c r="BP27" s="30" t="str">
        <f>IF(COUNTIF('Програма-кодове'!$C26:$AD26,$BP$2)=0,"-",IF(COUNTIF('Програма-кодове'!$C26:$AD26,$BP$2)=1,"9б,в,г","Дублаж"))</f>
        <v>-</v>
      </c>
      <c r="BQ27" s="30" t="str">
        <f>IF(COUNTIF('Програма-кодове'!$C26:$AD26,$BQ$2)=0,"-",IF(COUNTIF('Програма-кодове'!$C26:$AD26,$BQ$2)=1,INDEX('Програма-кодове'!$C$1:$AD$1,1,MATCH($BQ$2,'Програма-кодове'!$C26:$AD26,0)),"Дублаж"))</f>
        <v>-</v>
      </c>
      <c r="BR27" s="30" t="str">
        <f>IF(COUNTIF('Програма-кодове'!$C26:$AD26,$BR$2)=0,"-",IF(COUNTIF('Програма-кодове'!$C26:$AD26,$BR$2)=1,INDEX('Програма-кодове'!$C$1:$AD$1,1,MATCH($BR$2,'Програма-кодове'!$C26:$AD26,0)),IF('Програма-кодове'!W26='Програма-кодове'!X26,"11б,в","Дублаж")))</f>
        <v>-</v>
      </c>
      <c r="BS27" s="30" t="str">
        <f>IF(COUNTIF('Програма-кодове'!$C26:$AD26,$BS$2)=0,"-",IF(COUNTIF('Програма-кодове'!$C26:$AD26,$BS$2)=1,INDEX('Програма-кодове'!$C$1:$AD$1,1,MATCH($BS$2,'Програма-кодове'!$C26:$AD26,0)),"Дублаж"))</f>
        <v>12г</v>
      </c>
      <c r="BT27" s="193" t="str">
        <f t="shared" si="17"/>
        <v>-</v>
      </c>
      <c r="BU27" s="30" t="str">
        <f>IF(COUNTIF('Програма-кодове'!$C26:$AD26,$BU$2)=0,"-",IF(COUNTIF('Програма-кодове'!$C26:$AD26,$BU$2)=1,INDEX('Програма-кодове'!$C$1:$AD$1,1,MATCH($BU$2,'Програма-кодове'!$C26:$AD26,0)),"Дублаж"))</f>
        <v>-</v>
      </c>
      <c r="BV27" s="30" t="str">
        <f>IF(COUNTIF('Програма-кодове'!$C26:$AD26,$BV$2)=0,"-",IF(COUNTIF('Програма-кодове'!$C26:$AD26,$BV$2)=1,INDEX('Програма-кодове'!$C$1:$AD$1,1,MATCH($BV$2,'Програма-кодове'!$C26:$AD26,0)),"Дублаж"))</f>
        <v>10д</v>
      </c>
      <c r="BW27" s="30" t="str">
        <f>IF(COUNTIF('Програма-кодове'!$C26:$AD26,$BW$2)=0,"-",IF(COUNTIF('Програма-кодове'!$C26:$AD26,$BW$2)=1,INDEX('Програма-кодове'!$C$1:$AD$1,1,MATCH($BW$2,'Програма-кодове'!$C26:$AD26,0)),"Дублаж"))</f>
        <v>-</v>
      </c>
      <c r="BX27" s="30" t="str">
        <f>IF(COUNTIF('Програма-кодове'!$C26:$AD26,$BX$2)=0,"-",IF(COUNTIF('Програма-кодове'!$C26:$AD26,$BX$2)=1,INDEX('Програма-кодове'!$C$1:$AD$1,1,MATCH($BX$2,'Програма-кодове'!$C26:$AD26,0)),"Дублаж"))</f>
        <v>-</v>
      </c>
      <c r="BY27" s="30">
        <f>IF(COUNTIF('Програма-кодове'!$C26:$AD26,$BY$2)=0,"-",IF(COUNTIF('Програма-кодове'!$C26:$AD26,$BY$2)=1,INDEX('Програма-кодове'!$C$1:$AD$1,1,MATCH($BY$2,'Програма-кодове'!$C26:$AD26,0)),"Дублаж"))</f>
        <v>6</v>
      </c>
      <c r="BZ27" s="30" t="str">
        <f>IF(COUNTIF('Програма-кодове'!$C26:$AD26,$BZ$2)=0,"-",IF(COUNTIF('Програма-кодове'!$C26:$AD26,$BZ$2)=1,INDEX('Програма-кодове'!$C$1:$AD$1,1,MATCH($BZ$2,'Програма-кодове'!$C26:$AD26,0)),"Дублаж"))</f>
        <v>-</v>
      </c>
      <c r="CA27" s="30" t="str">
        <f>IF(COUNTIF('Програма-кодове'!$C26:$AD26,$CA$2)=0,"-",IF(COUNTIF('Програма-кодове'!$C26:$AD26,$CA$2)=1,INDEX('Програма-кодове'!$C$1:$AD$1,1,MATCH($CA$2,'Програма-кодове'!$C26:$AD26,0)),"Дублаж"))</f>
        <v>-</v>
      </c>
      <c r="CB27" s="30" t="str">
        <f>IF(COUNTIF('Програма-кодове'!$C26:$AD26,$CB$2)=0,"-",IF(COUNTIF('Програма-кодове'!$C26:$AD26,$CB$2)=1,INDEX('Програма-кодове'!$C$1:$AD$1,1,MATCH($CB$2,'Програма-кодове'!$C26:$AD26,0)),"Дублаж"))</f>
        <v>-</v>
      </c>
      <c r="CC27" s="30" t="str">
        <f>IF(COUNTIF('Програма-кодове'!$C26:$AD26,$CC$2)=0,"-",IF(COUNTIF('Програма-кодове'!$C26:$AD26,$CC$2)=1,INDEX('Програма-кодове'!$C$1:$AD$1,1,MATCH($CC$2,'Програма-кодове'!$C26:$AD26,0)),"Дублаж"))</f>
        <v>9б</v>
      </c>
      <c r="CD27" s="30" t="str">
        <f>IF(COUNTIF('Програма-кодове'!$C26:$AD26,$CD$2)=0,"-",IF(COUNTIF('Програма-кодове'!$C26:$AD26,$CD$2)=1,INDEX('Програма-кодове'!$C$1:$AD$1,1,MATCH($CD$2,'Програма-кодове'!$C26:$AD26,0)),"Дублаж"))</f>
        <v>-</v>
      </c>
      <c r="CE27" s="30" t="str">
        <f>IF(COUNTIF('Програма-кодове'!$C26:$AD26,$CE$2)=0,"-",IF(COUNTIF('Програма-кодове'!$C26:$AD26,$CE$2)=1,INDEX('Програма-кодове'!$C$1:$AD$1,1,MATCH($CE$2,'Програма-кодове'!$C26:$AD26,0)),"Дублаж"))</f>
        <v>-</v>
      </c>
    </row>
    <row r="28" spans="1:83" ht="13.5" customHeight="1">
      <c r="A28" s="369"/>
      <c r="B28" s="351">
        <v>5</v>
      </c>
      <c r="C28" s="20" t="str">
        <f>IF(COUNTIF('Програма-кодове'!$C27:$AD27,$C$2)=0,"-",IF(COUNTIF('Програма-кодове'!$C27:$AD27,$C$2)=1,INDEX('Програма-кодове'!$C$1:$AD$1,1,MATCH($C$2,'Програма-кодове'!$C27:$AD27,0)),"Дублаж"))</f>
        <v>-</v>
      </c>
      <c r="D28" s="319" t="str">
        <f>IF(COUNTIF('Програма-кодове'!$C27:$AD27,$D$2)=0,"-",IF(COUNTIF('Програма-кодове'!$C27:$AD27,$D$2)=1,INDEX('Програма-кодове'!$C$1:$AD$1,1,MATCH($D$2,'Програма-кодове'!$C27:$AD27,0)),"Дублаж"))</f>
        <v>11д</v>
      </c>
      <c r="E28" s="20">
        <f>IF(COUNTIF('Програма-кодове'!$C27:$AD27,$E$2)=0,"-",IF(COUNTIF('Програма-кодове'!$C27:$AD27,$E$2)=1,INDEX('Програма-кодове'!$C$1:$AD$1,1,MATCH($E$2,'Програма-кодове'!$C27:$AD27,0)),"Дублаж"))</f>
        <v>6</v>
      </c>
      <c r="F28" s="20" t="str">
        <f>IF(COUNTIF('Програма-кодове'!$C27:$AD27,$F$2)=0,"-",IF(COUNTIF('Програма-кодове'!$C27:$AD27,$F$2)=1,INDEX('Програма-кодове'!$C$1:$AD$1,1,MATCH($F$2,'Програма-кодове'!$C27:$AD27,0)),"Дублаж"))</f>
        <v>10б</v>
      </c>
      <c r="G28" s="20" t="str">
        <f>IF(COUNTIF('Програма-кодове'!$C27:$AD27,$G$2)=0,"-",IF(COUNTIF('Програма-кодове'!$C27:$AD27,$G$2)=1,INDEX('Програма-кодове'!$C$1:$AD$1,1,MATCH($G$2,'Програма-кодове'!$C27:$AD27,0)),"Дублаж"))</f>
        <v>12а</v>
      </c>
      <c r="H28" s="319" t="str">
        <f>IF(COUNTIF('Програма-кодове'!$C27:$AD27,$H$2)=0,"-",IF(COUNTIF('Програма-кодове'!$C27:$AD27,$H$2)=1,INDEX('Програма-кодове'!$C$1:$AD$1,1,MATCH($H$2,'Програма-кодове'!$C27:$AD27,0)),"Дублаж"))</f>
        <v>-</v>
      </c>
      <c r="I28" s="20" t="str">
        <f>IF(COUNTIF('Програма-кодове'!$C27:$AD27,$I$2)=0,"-",IF(COUNTIF('Програма-кодове'!$C27:$AD27,$I$2)=1,INDEX('Програма-кодове'!$C$1:$AD$1,1,MATCH($I$2,'Програма-кодове'!$C27:$AD27,0)),"Дублаж"))</f>
        <v>-</v>
      </c>
      <c r="J28" s="20" t="str">
        <f>IF(COUNTIF('Програма-кодове'!$C27:$AD27,$J$2)=0,"-",IF(COUNTIF('Програма-кодове'!$C27:$AD27,$J$2)=1,INDEX('Програма-кодове'!$C$1:$AD$1,1,MATCH($J$2,'Програма-кодове'!$C27:$AD27,0)),"Дублаж"))</f>
        <v>-</v>
      </c>
      <c r="K28" s="20" t="str">
        <f>IF(COUNTIF('Програма-кодове'!$C27:$AD27,$K$2)=0,"-",IF(COUNTIF('Програма-кодове'!$C27:$AD27,$K$2)=1,INDEX('Програма-кодове'!$C$1:$AD$1,1,MATCH($K$2,'Програма-кодове'!$C27:$AD27,0)),"Дублаж"))</f>
        <v>12г</v>
      </c>
      <c r="L28" s="346" t="str">
        <f>IF(COUNTIF('Програма-кодове'!$C27:$AD27,$L$2)=0,"-",IF(COUNTIF('Програма-кодове'!$C27:$AD27,$L$2)=1,INDEX('Програма-кодове'!$C$1:$AD$1,1,MATCH($L$2,'Програма-кодове'!$C27:$AD27,0)),"Дублаж"))</f>
        <v>-</v>
      </c>
      <c r="M28" s="346" t="str">
        <f>IF(COUNTIF('Програма-кодове'!$C27:$AD27,$M$2)=0,"-",IF(COUNTIF('Програма-кодове'!$C27:$AD27,$M$2)=1,INDEX('Програма-кодове'!$C$1:$AD$1,1,MATCH($M$2,'Програма-кодове'!$C27:$AD27,0)),"Дублаж"))</f>
        <v>-</v>
      </c>
      <c r="N28" s="20" t="str">
        <f>IF(COUNTIF('Програма-кодове'!$C27:$AD27,$N$2)=0,"-",IF(COUNTIF('Програма-кодове'!$C27:$AD27,$N$2)=1,INDEX('Програма-кодове'!$C$1:$AD$1,1,MATCH($N$2,'Програма-кодове'!$C27:$AD27,0)),"Дублаж"))</f>
        <v>-</v>
      </c>
      <c r="O28" s="332" t="str">
        <f>IF(COUNTIF('Програма-кодове'!$C27:$AD27,$O$2)=0,"-",IF(COUNTIF('Програма-кодове'!$C27:$AD27,$O$2)=1,INDEX('Програма-кодове'!$C$1:$AD$1,1,MATCH($O$2,'Програма-кодове'!$C27:$AD27,0)),"Дублаж"))</f>
        <v>8д</v>
      </c>
      <c r="P28" s="332" t="str">
        <f>IF(COUNTIF('Програма-кодове'!$C27:$AD27,$P$2)=0,"-",IF(COUNTIF('Програма-кодове'!$C27:$AD27,$P$2)=1,INDEX('Програма-кодове'!$C$1:$AD$1,1,MATCH($P$2,'Програма-кодове'!$C27:$AD27,0)),"Дублаж"))</f>
        <v>8a</v>
      </c>
      <c r="Q28" s="316" t="str">
        <f>IF(COUNTIF('Програма-кодове'!$C27:$AD27,$Q$2)=0,"-",IF(COUNTIF('Програма-кодове'!$C27:$AD27,$Q$2)=1,INDEX('Програма-кодове'!$C$1:$AD$1,1,MATCH($Q$2,'Програма-кодове'!$C27:$AD27,0)),"Дублаж"))</f>
        <v>9в</v>
      </c>
      <c r="R28" s="193" t="str">
        <f t="shared" si="0"/>
        <v>10а</v>
      </c>
      <c r="S28" s="316" t="str">
        <f t="shared" si="3"/>
        <v>-</v>
      </c>
      <c r="T28" s="339" t="str">
        <f t="shared" si="4"/>
        <v>10а</v>
      </c>
      <c r="U28" s="20" t="str">
        <f>IF(COUNTIF('Програма-кодове'!$C27:$AD27,$U$2)=0,"-",IF(COUNTIF('Програма-кодове'!$C27:$AD27,$U$2)=1,INDEX('Програма-кодове'!$C$1:$AD$1,1,MATCH($U$2,'Програма-кодове'!$C27:$AD27,0)),"Дублаж"))</f>
        <v>12в</v>
      </c>
      <c r="V28" s="20" t="str">
        <f>IF(COUNTIF('Програма-кодове'!$C27:$AD27,$V$2)=0,"-",IF(COUNTIF('Програма-кодове'!$C27:$AD27,$V$2)=1,INDEX('Програма-кодове'!$C$1:$AD$1,1,MATCH($V$2,'Програма-кодове'!$C27:$AD27,0)),"Дублаж"))</f>
        <v>8в</v>
      </c>
      <c r="W28" s="317" t="str">
        <f>IF(COUNTIF('Програма-кодове'!$C27:$AD27,$W$2)=0,"-",IF(COUNTIF('Програма-кодове'!$C27:$AD27,$W$2)=1,INDEX('Програма-кодове'!$C$1:$AD$1,1,MATCH($W$2,'Програма-кодове'!$C27:$AD27,0)),"Дублаж"))</f>
        <v>-</v>
      </c>
      <c r="X28" s="332" t="str">
        <f>IF(COUNTIF('Програма-кодове'!$C27:$AD27,$X$2)=0,"-",IF(COUNTIF('Програма-кодове'!$C27:$AD27,$X$2)=1,INDEX('Програма-кодове'!$C$1:$AD$1,1,MATCH($X$2,'Програма-кодове'!$C27:$AD27,0)),"Дублаж"))</f>
        <v>12б</v>
      </c>
      <c r="Y28" s="341" t="str">
        <f>IF(COUNTIF('Програма-кодове'!$C27:$AD27,$Y$2)=0,"-",IF(COUNTIF('Програма-кодове'!$C27:$AD27,$Y$2)=1,INDEX('Програма-кодове'!$C$1:$AD$1,1,MATCH($Y$2,'Програма-кодове'!$C27:$AD27,0)),"Дублаж"))</f>
        <v>-</v>
      </c>
      <c r="Z28" s="332" t="str">
        <f>IF(COUNTIF('Програма-кодове'!$C27:$AD27,$Z$2)=0,"-",IF(COUNTIF('Програма-кодове'!$C27:$AD27,$Z$2)=1,INDEX('Програма-кодове'!$C$1:$AD$1,1,MATCH($Z$2,'Програма-кодове'!$C27:$AD27,0)),"Дублаж"))</f>
        <v>-</v>
      </c>
      <c r="AA28" s="193" t="str">
        <f>IF(BH28&lt;&gt;"-",IF(AND(BL28="-",BI28="-"),BH28,"Дублаж"),IF(BL28&lt;&gt;"-",IF(BI28="-",BL28,"Дублаж"),BI28))</f>
        <v>-</v>
      </c>
      <c r="AB28" s="193" t="str">
        <f t="shared" si="6"/>
        <v>-</v>
      </c>
      <c r="AC28" s="193" t="str">
        <f t="shared" si="7"/>
        <v>10г</v>
      </c>
      <c r="AD28" s="193" t="str">
        <f t="shared" si="8"/>
        <v>10г</v>
      </c>
      <c r="AE28" s="193" t="str">
        <f t="shared" si="9"/>
        <v>8б</v>
      </c>
      <c r="AF28" s="193" t="str">
        <f t="shared" si="10"/>
        <v>11а</v>
      </c>
      <c r="AG28" s="193" t="str">
        <f t="shared" ref="AG28" si="27">IF(BA28&lt;&gt;"-",IF(AND(BC28="-",BG28="-",BF28="-",BM28="-",BI28="-"),BA28,"Дублаж"),IF(BC28&lt;&gt;"-",IF(AND(BG28="-",BF28="-",BM28="-",BI28="-"),BC28,"Дублаж"),IF(BG28&lt;&gt;"-",IF(AND(BF28="-",BM28="-",BI28="-"),BG28,"Дублаж"),IF(BF28&lt;&gt;"-",IF(AND(BM28="-",BI28="-"),BF28,"Дублаж"),IF(BM28&lt;&gt;"-",IF(BI28="-",BM28,BI28),BI28)))))</f>
        <v>8б</v>
      </c>
      <c r="AH28" s="193" t="str">
        <f t="shared" si="12"/>
        <v>11а</v>
      </c>
      <c r="AI28" s="20" t="str">
        <f>IF(AND(BZ28&lt;&gt;"-",BY28&lt;&gt;"-"),"Дублаж",IF(BZ28&lt;&gt;"-",BZ28,BY28))</f>
        <v>11г</v>
      </c>
      <c r="AJ28" s="193" t="str">
        <f t="shared" si="14"/>
        <v>9а</v>
      </c>
      <c r="AK28" s="20" t="str">
        <f>IF(COUNTIF('Програма-кодове'!$C27:$AD27,$AK$2)=0,"-",IF(COUNTIF('Програма-кодове'!$C27:$AD27,$AK$2)=1,INDEX('Програма-кодове'!$C$1:$AD$1,1,MATCH($AK$2,'Програма-кодове'!$C27:$AD27,0)),"Дублаж"))</f>
        <v>-</v>
      </c>
      <c r="AL28" s="20">
        <f>IF(COUNTIF('Програма-кодове'!$C27:$AD27,$AL$2)=0,"-",IF(COUNTIF('Програма-кодове'!$C27:$AD27,$AL$2)=1,INDEX('Програма-кодове'!$C$1:$AD$1,1,MATCH($AL$2,'Програма-кодове'!$C27:$AD27,0)),"Дублаж"))</f>
        <v>5</v>
      </c>
      <c r="AM28" s="20" t="str">
        <f>IF(COUNTIF('Програма-кодове'!$C27:$AD27,$AM$2)=0,"-",IF(COUNTIF('Програма-кодове'!$C27:$AD27,$AM$2)=1,INDEX('Програма-кодове'!$C$1:$AD$1,1,MATCH($AM$2,'Програма-кодове'!$C27:$AD27,0)),"Дублаж"))</f>
        <v>10в</v>
      </c>
      <c r="AN28" s="346" t="str">
        <f>IF(COUNTIF('Програма-кодове'!$C27:$AD27,$AN$2)=0,"-",IF(COUNTIF('Програма-кодове'!$C27:$AD27,$AN$2)=1,INDEX('Програма-кодове'!$C$1:$AD$1,1,MATCH($AN$2,'Програма-кодове'!$C27:$AD27,0)),"Дублаж"))</f>
        <v>11в</v>
      </c>
      <c r="AO28" s="346" t="str">
        <f>IF(COUNTIF('Програма-кодове'!$C27:$AD27,$AO$2)=0,"-",IF(COUNTIF('Програма-кодове'!$C27:$AD27,$AO$2)=1,INDEX('Програма-кодове'!$C$1:$AD$1,1,MATCH($AO$2,'Програма-кодове'!$C27:$AD27,0)),"Дублаж"))</f>
        <v>-</v>
      </c>
      <c r="AP28" s="346" t="str">
        <f>IF(COUNTIF('Програма-кодове'!$C27:$AD27,$AP$2)=0,"-",IF(COUNTIF('Програма-кодове'!$C27:$AD27,$AP$2)=1,INDEX('Програма-кодове'!$C$1:$AD$1,1,MATCH($AP$2,'Програма-кодове'!$C27:$AD27,0)),"Дублаж"))</f>
        <v>11б</v>
      </c>
      <c r="AQ28" s="346" t="str">
        <f t="shared" si="15"/>
        <v>9г</v>
      </c>
      <c r="AR28" s="346" t="str">
        <f>IF(COUNTIF('Програма-кодове'!$C27:$AD27,$AR$2)=0,"-",IF(COUNTIF('Програма-кодове'!$C27:$AD27,$AR$2)=1,INDEX('Програма-кодове'!$C$1:$AD$1,1,MATCH($AR$2,'Програма-кодове'!$C27:$AD27,0)),"Дублаж"))</f>
        <v>9д</v>
      </c>
      <c r="AS28" s="346" t="str">
        <f>IF(COUNTIF('Програма-кодове'!$C27:$AD27,$AS$2)=0,"-",IF(COUNTIF('Програма-кодове'!$C27:$AD27,$AS$2)=1,INDEX('Програма-кодове'!$C$1:$AD$1,1,MATCH($AS$2,'Програма-кодове'!$C27:$AD27,0)),"Дублаж"))</f>
        <v>10д</v>
      </c>
      <c r="AT28" s="346" t="str">
        <f>IF(COUNTIF('Програма-кодове'!$C27:$AD27,$AT$2)=0,"-",IF(COUNTIF('Програма-кодове'!$C27:$AD27,$AT$2)=1,INDEX('Програма-кодове'!$C$1:$AD$1,1,MATCH($AT$2,'Програма-кодове'!$C27:$AD27,0)),"Дублаж"))</f>
        <v>9б</v>
      </c>
      <c r="AU28" s="194">
        <f t="shared" si="25"/>
        <v>7</v>
      </c>
      <c r="AV28" s="194" t="str">
        <f t="shared" si="2"/>
        <v>-</v>
      </c>
      <c r="AW28" s="196" t="str">
        <f>IF(COUNTIF('Програма-кодове'!$C27:$AD27,$AW$2)=0,"-",IF(COUNTIF('Програма-кодове'!$C27:$AD27,$AW$2)=1,INDEX('Програма-кодове'!$C$1:$AD$1,1,MATCH($AW$2,'Програма-кодове'!$C27:$AD27,0)),"Дублаж"))</f>
        <v>-</v>
      </c>
      <c r="AX28" s="250" t="str">
        <f>IF(COUNTIF('Програма-кодове'!$C27:$AD27,$AX$2)=0,"-",IF(COUNTIF('Програма-кодове'!$C27:$AD27,$AX$2)=1,INDEX('Програма-кодове'!$C$1:$AD$1,1,MATCH($AX$2,'Програма-кодове'!$C27:$AD27,0)),"Дублаж"))</f>
        <v>8г</v>
      </c>
      <c r="AY28" s="196" t="str">
        <f>IF(COUNTIF('Програма-кодове'!$C27:$AD27,$AY$2)=0,"-",IF(COUNTIF('Програма-кодове'!$C27:$AD27,$AY$2)=1,INDEX('Програма-кодове'!$C$1:$AD$1,1,MATCH($AY$2,'Програма-кодове'!$C27:$AD27,0)),"Дублаж"))</f>
        <v>-</v>
      </c>
      <c r="AZ28" s="317" t="str">
        <f t="shared" si="16"/>
        <v>12д</v>
      </c>
      <c r="BA28" s="30" t="str">
        <f>IF(COUNTIF('Програма-кодове'!$C27:$AD27,$BA$2)=0,"-",IF(COUNTIF('Програма-кодове'!$C27:$AD27,$BA$2)=1,INDEX('Програма-кодове'!$C$1:$AD$1,1,MATCH($BA$2,'Програма-кодове'!$C27:$AD27,0)),"Дублаж"))</f>
        <v>-</v>
      </c>
      <c r="BB28" s="30" t="str">
        <f>IF(COUNTIF('Програма-кодове'!$C27:$AD27,$BB$2)=0,"-",IF(COUNTIF('Програма-кодове'!$C27:$AD27,$BB$2)=1,INDEX('Програма-кодове'!$C$1:$AD$1,1,MATCH($BB$2,'Програма-кодове'!$C27:$AD27,0)),"Дублаж"))</f>
        <v>-</v>
      </c>
      <c r="BC28" s="30" t="str">
        <f>IF(COUNTIF('Програма-кодове'!$C27:$AD27,$BC$2)=0,"-",IF(COUNTIF('Програма-кодове'!$C27:$AD27,$BC$2)=1,INDEX('Програма-кодове'!$C$1:$AD$1,1,MATCH($BC$2,'Програма-кодове'!$C27:$AD27,0)),"Дублаж"))</f>
        <v>8б</v>
      </c>
      <c r="BD28" s="30" t="str">
        <f>IF(COUNTIF('Програма-кодове'!$C27:$AD27,$BD$2)=0,"-",IF(COUNTIF('Програма-кодове'!$C27:$AD27,$BD$2)=1,INDEX('Програма-кодове'!$C$1:$AD$1,1,MATCH($BD$2,'Програма-кодове'!$C27:$AD27,0)),"Дублаж"))</f>
        <v>10г</v>
      </c>
      <c r="BE28" s="30" t="str">
        <f>IF(COUNTIF('Програма-кодове'!$C27:$AD27,$BE$2)=0,"-",IF(COUNTIF('Програма-кодове'!$C27:$AD27,$BE$2)=1,INDEX('Програма-кодове'!$C$1:$AD$1,1,MATCH($BE$2,'Програма-кодове'!$C27:$AD27,0)),"Дублаж"))</f>
        <v>11а</v>
      </c>
      <c r="BF28" s="30" t="str">
        <f>IF(COUNTIF('Програма-кодове'!$C27:$AD27,$BF$2)=0,"-",IF(COUNTIF('Програма-кодове'!$C27:$AD27,$BF$2)=1,INDEX('Програма-кодове'!$C$1:$AD$1,1,MATCH($BF$2,'Програма-кодове'!$C27:$AD27,0)),"Дублаж"))</f>
        <v>-</v>
      </c>
      <c r="BG28" s="30" t="str">
        <f>IF(COUNTIF('Програма-кодове'!$C27:$AD27,$BG$2)=0,"-",IF(COUNTIF('Програма-кодове'!$C27:$AD27,$BG$2)=1,INDEX('Програма-кодове'!$C$1:$AD$1,1,MATCH($BG$2,'Програма-кодове'!$C27:$AD27,0)),"Дублаж"))</f>
        <v>-</v>
      </c>
      <c r="BH28" s="30" t="str">
        <f>IF(COUNTIF('Програма-кодове'!$C27:$AD27,$BH$2)=0,"-",IF(COUNTIF('Програма-кодове'!$C27:$AD27,$BH$2)=1,INDEX('Програма-кодове'!$C$1:$AD$1,1,MATCH($BH$2,'Програма-кодове'!$C27:$AD27,0)),"Дублаж"))</f>
        <v>-</v>
      </c>
      <c r="BI28" s="94" t="str">
        <f>IF(COUNTIF('Програма-кодове'!$C27:$AD27,$BI$2)=0,"-",IF(COUNTIF('Програма-кодове'!$C27:$AD27,$BI$2)=1,INDEX('Програма-кодове'!$C$1:$AD$1,1,MATCH($BI$2,'Програма-кодове'!$C27:$AD27,0)),IF('Програма-кодове'!Z27='Програма-кодове'!AA27,"12а,б","Дублаж")))</f>
        <v>-</v>
      </c>
      <c r="BJ28" s="94" t="str">
        <f>IF(COUNTIF('Програма-кодове'!$C27:$AD27,$BJ$2)=0,"-",IF(COUNTIF('Програма-кодове'!$C27:$AD27,$BJ$2)=1,INDEX('Програма-кодове'!$C$1:$AD$1,1,MATCH($BJ$2,'Програма-кодове'!$C27:$AD27,0)),"Дублаж"))</f>
        <v>-</v>
      </c>
      <c r="BK28" s="94" t="str">
        <f>IF(COUNTIF('Програма-кодове'!$C27:$AD27,$BK$2)=0,"-",IF(COUNTIF('Програма-кодове'!$C27:$AD27,$BK$2)=1,INDEX('Програма-кодове'!$C$1:$AD$1,1,MATCH($BK$2,'Програма-кодове'!$C27:$AD27,0)),IF('Програма-кодове'!K27='Програма-кодове'!O27,"9а,д",IF('Програма-кодове'!L27='Програма-кодове'!M27,"9б,в","Дублаж"))))</f>
        <v>-</v>
      </c>
      <c r="BL28" s="30" t="str">
        <f>IF(COUNTIF('Програма-кодове'!$C27:$AD27,$BL$2)=0,"-",IF(COUNTIF('Програма-кодове'!$C27:$AD27,$BL$2)=1,INDEX('Програма-кодове'!$C$1:$AD$1,1,MATCH($BL$2,'Програма-кодове'!$C27:$AD27,0)),"Дублаж"))</f>
        <v>-</v>
      </c>
      <c r="BM28" s="30" t="str">
        <f>IF(COUNTIF('Програма-кодове'!$C27:$AD27,$BM$2)=0,"-",IF(COUNTIF('Програма-кодове'!$C27:$AD27,$BM$2)=1,INDEX('Програма-кодове'!$C$1:$AD$1,1,MATCH($BM$2,'Програма-кодове'!$C27:$AD27,0)),"Дублаж"))</f>
        <v>-</v>
      </c>
      <c r="BN28" s="77" t="str">
        <f>IF(COUNTIF('Програма-кодове'!$C27:$AD27,$BN$2)=0,"-",IF(COUNTIF('Програма-кодове'!$C27:$AD27,$BN$2)=1,INDEX('Програма-кодове'!$C$1:$AD$1,1,MATCH($BN$2,'Програма-кодове'!$C27:$AD27,0)),IF(AND('Програма-кодове'!K27='Програма-кодове'!O27,'Програма-кодове'!K27&lt;&gt;""),"9а, д", IF(AND('Програма-кодове'!U27='Програма-кодове'!W27,'Програма-кодове'!U27&lt;&gt;""),"11а,в", "Дублаж"))))</f>
        <v>10а</v>
      </c>
      <c r="BO28" s="77" t="str">
        <f>IF(COUNTIF('Програма-кодове'!$C27:$AD27,$BO$2)=0,"-",IF(COUNTIF('Програма-кодове'!$C27:$AD27,$BO$2)=1,INDEX('Програма-кодове'!$C$1:$AD$1,1,MATCH($BO$2,'Програма-кодове'!$C27:$AD27,0)),IF(AND('Програма-кодове'!U27='Програма-кодове'!W27,'Програма-кодове'!U27&lt;&gt;"" ),"11a,в","Дублаж")))</f>
        <v>-</v>
      </c>
      <c r="BP28" s="30" t="str">
        <f>IF(COUNTIF('Програма-кодове'!$C27:$AD27,$BP$2)=0,"-",IF(COUNTIF('Програма-кодове'!$C27:$AD27,$BP$2)=1,"9б,в,г","Дублаж"))</f>
        <v>-</v>
      </c>
      <c r="BQ28" s="30" t="str">
        <f>IF(COUNTIF('Програма-кодове'!$C27:$AD27,$BQ$2)=0,"-",IF(COUNTIF('Програма-кодове'!$C27:$AD27,$BQ$2)=1,INDEX('Програма-кодове'!$C$1:$AD$1,1,MATCH($BQ$2,'Програма-кодове'!$C27:$AD27,0)),"Дублаж"))</f>
        <v>-</v>
      </c>
      <c r="BR28" s="30" t="str">
        <f>IF(COUNTIF('Програма-кодове'!$C27:$AD27,$BR$2)=0,"-",IF(COUNTIF('Програма-кодове'!$C27:$AD27,$BR$2)=1,INDEX('Програма-кодове'!$C$1:$AD$1,1,MATCH($BR$2,'Програма-кодове'!$C27:$AD27,0)),IF('Програма-кодове'!W27='Програма-кодове'!X27,"11б,в","Дублаж")))</f>
        <v>-</v>
      </c>
      <c r="BS28" s="30" t="str">
        <f>IF(COUNTIF('Програма-кодове'!$C27:$AD27,$BS$2)=0,"-",IF(COUNTIF('Програма-кодове'!$C27:$AD27,$BS$2)=1,INDEX('Програма-кодове'!$C$1:$AD$1,1,MATCH($BS$2,'Програма-кодове'!$C27:$AD27,0)),"Дублаж"))</f>
        <v>12д</v>
      </c>
      <c r="BT28" s="193" t="str">
        <f t="shared" si="17"/>
        <v>-</v>
      </c>
      <c r="BU28" s="30" t="str">
        <f>IF(COUNTIF('Програма-кодове'!$C27:$AD27,$BU$2)=0,"-",IF(COUNTIF('Програма-кодове'!$C27:$AD27,$BU$2)=1,INDEX('Програма-кодове'!$C$1:$AD$1,1,MATCH($BU$2,'Програма-кодове'!$C27:$AD27,0)),"Дублаж"))</f>
        <v>-</v>
      </c>
      <c r="BV28" s="30">
        <f>IF(COUNTIF('Програма-кодове'!$C27:$AD27,$BV$2)=0,"-",IF(COUNTIF('Програма-кодове'!$C27:$AD27,$BV$2)=1,INDEX('Програма-кодове'!$C$1:$AD$1,1,MATCH($BV$2,'Програма-кодове'!$C27:$AD27,0)),"Дублаж"))</f>
        <v>7</v>
      </c>
      <c r="BW28" s="30" t="str">
        <f>IF(COUNTIF('Програма-кодове'!$C27:$AD27,$BW$2)=0,"-",IF(COUNTIF('Програма-кодове'!$C27:$AD27,$BW$2)=1,INDEX('Програма-кодове'!$C$1:$AD$1,1,MATCH($BW$2,'Програма-кодове'!$C27:$AD27,0)),"Дублаж"))</f>
        <v>-</v>
      </c>
      <c r="BX28" s="30" t="str">
        <f>IF(COUNTIF('Програма-кодове'!$C27:$AD27,$BX$2)=0,"-",IF(COUNTIF('Програма-кодове'!$C27:$AD27,$BX$2)=1,INDEX('Програма-кодове'!$C$1:$AD$1,1,MATCH($BX$2,'Програма-кодове'!$C27:$AD27,0)),"Дублаж"))</f>
        <v>-</v>
      </c>
      <c r="BY28" s="30" t="str">
        <f>IF(COUNTIF('Програма-кодове'!$C27:$AD27,$BY$2)=0,"-",IF(COUNTIF('Програма-кодове'!$C27:$AD27,$BY$2)=1,INDEX('Програма-кодове'!$C$1:$AD$1,1,MATCH($BY$2,'Програма-кодове'!$C27:$AD27,0)),"Дублаж"))</f>
        <v>11г</v>
      </c>
      <c r="BZ28" s="30" t="str">
        <f>IF(COUNTIF('Програма-кодове'!$C27:$AD27,$BZ$2)=0,"-",IF(COUNTIF('Програма-кодове'!$C27:$AD27,$BZ$2)=1,INDEX('Програма-кодове'!$C$1:$AD$1,1,MATCH($BZ$2,'Програма-кодове'!$C27:$AD27,0)),"Дублаж"))</f>
        <v>-</v>
      </c>
      <c r="CA28" s="30" t="str">
        <f>IF(COUNTIF('Програма-кодове'!$C27:$AD27,$CA$2)=0,"-",IF(COUNTIF('Програма-кодове'!$C27:$AD27,$CA$2)=1,INDEX('Програма-кодове'!$C$1:$AD$1,1,MATCH($CA$2,'Програма-кодове'!$C27:$AD27,0)),"Дублаж"))</f>
        <v>-</v>
      </c>
      <c r="CB28" s="30" t="str">
        <f>IF(COUNTIF('Програма-кодове'!$C27:$AD27,$CB$2)=0,"-",IF(COUNTIF('Програма-кодове'!$C27:$AD27,$CB$2)=1,INDEX('Програма-кодове'!$C$1:$AD$1,1,MATCH($CB$2,'Програма-кодове'!$C27:$AD27,0)),"Дублаж"))</f>
        <v>9г</v>
      </c>
      <c r="CC28" s="30" t="str">
        <f>IF(COUNTIF('Програма-кодове'!$C27:$AD27,$CC$2)=0,"-",IF(COUNTIF('Програма-кодове'!$C27:$AD27,$CC$2)=1,INDEX('Програма-кодове'!$C$1:$AD$1,1,MATCH($CC$2,'Програма-кодове'!$C27:$AD27,0)),"Дублаж"))</f>
        <v>9а</v>
      </c>
      <c r="CD28" s="30" t="str">
        <f>IF(COUNTIF('Програма-кодове'!$C27:$AD27,$CD$2)=0,"-",IF(COUNTIF('Програма-кодове'!$C27:$AD27,$CD$2)=1,INDEX('Програма-кодове'!$C$1:$AD$1,1,MATCH($CD$2,'Програма-кодове'!$C27:$AD27,0)),"Дублаж"))</f>
        <v>-</v>
      </c>
      <c r="CE28" s="30" t="str">
        <f>IF(COUNTIF('Програма-кодове'!$C27:$AD27,$CE$2)=0,"-",IF(COUNTIF('Програма-кодове'!$C27:$AD27,$CE$2)=1,INDEX('Програма-кодове'!$C$1:$AD$1,1,MATCH($CE$2,'Програма-кодове'!$C27:$AD27,0)),"Дублаж"))</f>
        <v>-</v>
      </c>
    </row>
    <row r="29" spans="1:83" ht="13.5" customHeight="1">
      <c r="A29" s="369"/>
      <c r="B29" s="351">
        <v>6</v>
      </c>
      <c r="C29" s="20" t="str">
        <f>IF(COUNTIF('Програма-кодове'!$C28:$AD28,$C$2)=0,"-",IF(COUNTIF('Програма-кодове'!$C28:$AD28,$C$2)=1,INDEX('Програма-кодове'!$C$1:$AD$1,1,MATCH($C$2,'Програма-кодове'!$C28:$AD28,0)),"Дублаж"))</f>
        <v>-</v>
      </c>
      <c r="D29" s="319" t="str">
        <f>IF(COUNTIF('Програма-кодове'!$C28:$AD28,$D$2)=0,"-",IF(COUNTIF('Програма-кодове'!$C28:$AD28,$D$2)=1,INDEX('Програма-кодове'!$C$1:$AD$1,1,MATCH($D$2,'Програма-кодове'!$C28:$AD28,0)),"Дублаж"))</f>
        <v>11д</v>
      </c>
      <c r="E29" s="20">
        <f>IF(COUNTIF('Програма-кодове'!$C28:$AD28,$E$2)=0,"-",IF(COUNTIF('Програма-кодове'!$C28:$AD28,$E$2)=1,INDEX('Програма-кодове'!$C$1:$AD$1,1,MATCH($E$2,'Програма-кодове'!$C28:$AD28,0)),"Дублаж"))</f>
        <v>6</v>
      </c>
      <c r="F29" s="20" t="str">
        <f>IF(COUNTIF('Програма-кодове'!$C28:$AD28,$F$2)=0,"-",IF(COUNTIF('Програма-кодове'!$C28:$AD28,$F$2)=1,INDEX('Програма-кодове'!$C$1:$AD$1,1,MATCH($F$2,'Програма-кодове'!$C28:$AD28,0)),"Дублаж"))</f>
        <v>10г</v>
      </c>
      <c r="G29" s="20" t="str">
        <f>IF(COUNTIF('Програма-кодове'!$C28:$AD28,$G$2)=0,"-",IF(COUNTIF('Програма-кодове'!$C28:$AD28,$G$2)=1,INDEX('Програма-кодове'!$C$1:$AD$1,1,MATCH($G$2,'Програма-кодове'!$C28:$AD28,0)),"Дублаж"))</f>
        <v>12в</v>
      </c>
      <c r="H29" s="319" t="str">
        <f>IF(COUNTIF('Програма-кодове'!$C28:$AD28,$H$2)=0,"-",IF(COUNTIF('Програма-кодове'!$C28:$AD28,$H$2)=1,INDEX('Програма-кодове'!$C$1:$AD$1,1,MATCH($H$2,'Програма-кодове'!$C28:$AD28,0)),"Дублаж"))</f>
        <v>-</v>
      </c>
      <c r="I29" s="20" t="str">
        <f>IF(COUNTIF('Програма-кодове'!$C28:$AD28,$I$2)=0,"-",IF(COUNTIF('Програма-кодове'!$C28:$AD28,$I$2)=1,INDEX('Програма-кодове'!$C$1:$AD$1,1,MATCH($I$2,'Програма-кодове'!$C28:$AD28,0)),"Дублаж"))</f>
        <v>-</v>
      </c>
      <c r="J29" s="20" t="str">
        <f>IF(COUNTIF('Програма-кодове'!$C28:$AD28,$J$2)=0,"-",IF(COUNTIF('Програма-кодове'!$C28:$AD28,$J$2)=1,INDEX('Програма-кодове'!$C$1:$AD$1,1,MATCH($J$2,'Програма-кодове'!$C28:$AD28,0)),"Дублаж"))</f>
        <v>8г</v>
      </c>
      <c r="K29" s="20" t="str">
        <f>IF(COUNTIF('Програма-кодове'!$C28:$AD28,$K$2)=0,"-",IF(COUNTIF('Програма-кодове'!$C28:$AD28,$K$2)=1,INDEX('Програма-кодове'!$C$1:$AD$1,1,MATCH($K$2,'Програма-кодове'!$C28:$AD28,0)),"Дублаж"))</f>
        <v>12б</v>
      </c>
      <c r="L29" s="346" t="str">
        <f>IF(COUNTIF('Програма-кодове'!$C28:$AD28,$L$2)=0,"-",IF(COUNTIF('Програма-кодове'!$C28:$AD28,$L$2)=1,INDEX('Програма-кодове'!$C$1:$AD$1,1,MATCH($L$2,'Програма-кодове'!$C28:$AD28,0)),"Дублаж"))</f>
        <v>-</v>
      </c>
      <c r="M29" s="346" t="str">
        <f>IF(COUNTIF('Програма-кодове'!$C28:$AD28,$M$2)=0,"-",IF(COUNTIF('Програма-кодове'!$C28:$AD28,$M$2)=1,INDEX('Програма-кодове'!$C$1:$AD$1,1,MATCH($M$2,'Програма-кодове'!$C28:$AD28,0)),"Дублаж"))</f>
        <v>-</v>
      </c>
      <c r="N29" s="318" t="str">
        <f>IF(COUNTIF('Програма-кодове'!$C28:$AD28,$N$2)=0,"-",IF(COUNTIF('Програма-кодове'!$C28:$AD28,$N$2)=1,INDEX('Програма-кодове'!$C$1:$AD$1,1,MATCH($N$2,'Програма-кодове'!$C28:$AD28,0)),"Дублаж"))</f>
        <v>-</v>
      </c>
      <c r="O29" s="20" t="str">
        <f>IF(COUNTIF('Програма-кодове'!$C28:$AD28,$O$2)=0,"-",IF(COUNTIF('Програма-кодове'!$C28:$AD28,$O$2)=1,INDEX('Програма-кодове'!$C$1:$AD$1,1,MATCH($O$2,'Програма-кодове'!$C28:$AD28,0)),"Дублаж"))</f>
        <v>8д</v>
      </c>
      <c r="P29" s="20" t="str">
        <f>IF(COUNTIF('Програма-кодове'!$C28:$AD28,$P$2)=0,"-",IF(COUNTIF('Програма-кодове'!$C28:$AD28,$P$2)=1,INDEX('Програма-кодове'!$C$1:$AD$1,1,MATCH($P$2,'Програма-кодове'!$C28:$AD28,0)),"Дублаж"))</f>
        <v>8a</v>
      </c>
      <c r="Q29" s="20" t="str">
        <f>IF(COUNTIF('Програма-кодове'!$C28:$AD28,$Q$2)=0,"-",IF(COUNTIF('Програма-кодове'!$C28:$AD28,$Q$2)=1,INDEX('Програма-кодове'!$C$1:$AD$1,1,MATCH($Q$2,'Програма-кодове'!$C28:$AD28,0)),"Дублаж"))</f>
        <v>-</v>
      </c>
      <c r="R29" s="193" t="str">
        <f t="shared" si="0"/>
        <v>10а</v>
      </c>
      <c r="S29" s="193" t="str">
        <f t="shared" si="3"/>
        <v>-</v>
      </c>
      <c r="T29" s="339" t="str">
        <f t="shared" si="4"/>
        <v>10а</v>
      </c>
      <c r="U29" s="20" t="str">
        <f>IF(COUNTIF('Програма-кодове'!$C28:$AD28,$U$2)=0,"-",IF(COUNTIF('Програма-кодове'!$C28:$AD28,$U$2)=1,INDEX('Програма-кодове'!$C$1:$AD$1,1,MATCH($U$2,'Програма-кодове'!$C28:$AD28,0)),"Дублаж"))</f>
        <v>11а</v>
      </c>
      <c r="V29" s="20" t="str">
        <f>IF(COUNTIF('Програма-кодове'!$C28:$AD28,$V$2)=0,"-",IF(COUNTIF('Програма-кодове'!$C28:$AD28,$V$2)=1,INDEX('Програма-кодове'!$C$1:$AD$1,1,MATCH($V$2,'Програма-кодове'!$C28:$AD28,0)),"Дублаж"))</f>
        <v>9г</v>
      </c>
      <c r="W29" s="317" t="str">
        <f>IF(COUNTIF('Програма-кодове'!$C28:$AD28,$W$2)=0,"-",IF(COUNTIF('Програма-кодове'!$C28:$AD28,$W$2)=1,INDEX('Програма-кодове'!$C$1:$AD$1,1,MATCH($W$2,'Програма-кодове'!$C28:$AD28,0)),"Дублаж"))</f>
        <v>-</v>
      </c>
      <c r="X29" s="332" t="str">
        <f>IF(COUNTIF('Програма-кодове'!$C28:$AD28,$X$2)=0,"-",IF(COUNTIF('Програма-кодове'!$C28:$AD28,$X$2)=1,INDEX('Програма-кодове'!$C$1:$AD$1,1,MATCH($X$2,'Програма-кодове'!$C28:$AD28,0)),"Дублаж"))</f>
        <v>9б</v>
      </c>
      <c r="Y29" s="341" t="str">
        <f>IF(COUNTIF('Програма-кодове'!$C28:$AD28,$Y$2)=0,"-",IF(COUNTIF('Програма-кодове'!$C28:$AD28,$Y$2)=1,INDEX('Програма-кодове'!$C$1:$AD$1,1,MATCH($Y$2,'Програма-кодове'!$C28:$AD28,0)),"Дублаж"))</f>
        <v>-</v>
      </c>
      <c r="Z29" s="332" t="str">
        <f>IF(COUNTIF('Програма-кодове'!$C28:$AD28,$Z$2)=0,"-",IF(COUNTIF('Програма-кодове'!$C28:$AD28,$Z$2)=1,INDEX('Програма-кодове'!$C$1:$AD$1,1,MATCH($Z$2,'Програма-кодове'!$C28:$AD28,0)),"Дублаж"))</f>
        <v>-</v>
      </c>
      <c r="AA29" s="193" t="str">
        <f t="shared" si="5"/>
        <v>-</v>
      </c>
      <c r="AB29" s="193" t="str">
        <f t="shared" si="6"/>
        <v>-</v>
      </c>
      <c r="AC29" s="193" t="str">
        <f t="shared" si="7"/>
        <v>-</v>
      </c>
      <c r="AD29" s="193">
        <f t="shared" si="8"/>
        <v>5</v>
      </c>
      <c r="AE29" s="193">
        <f t="shared" si="9"/>
        <v>5</v>
      </c>
      <c r="AF29" s="193" t="str">
        <f t="shared" si="10"/>
        <v>11б</v>
      </c>
      <c r="AG29" s="193" t="str">
        <f>IF(BA29&lt;&gt;"-",IF(AND(BC29="-",BG29="-",BF29="-",BM29="-",BI29="-"),BA29,"Дублаж"),IF(BC29&lt;&gt;"-",IF(AND(BG29="-",BF29="-",BM29="-",BI29="-"),BC29,"Дублаж"),IF(BG29&lt;&gt;"-",IF(AND(BF29="-",BM29="-",BI29="-"),BG29,"Дублаж"),IF(BF29&lt;&gt;"-",IF(AND(BM29="-",BI29="-"),BF29,"Дублаж"),IF(BM29&lt;&gt;"-",IF(BI29="-",BM29,BI29),BI29)))))</f>
        <v>-</v>
      </c>
      <c r="AH29" s="193" t="str">
        <f t="shared" si="12"/>
        <v>11б</v>
      </c>
      <c r="AI29" s="318" t="str">
        <f>IF(AND(BZ29&lt;&gt;"-",BY29&lt;&gt;"-"),"Дублаж",IF(BZ29&lt;&gt;"-",BZ29,BY29))</f>
        <v>10в</v>
      </c>
      <c r="AJ29" s="193" t="str">
        <f t="shared" si="14"/>
        <v>9д</v>
      </c>
      <c r="AK29" s="20" t="str">
        <f>IF(COUNTIF('Програма-кодове'!$C28:$AD28,$AK$2)=0,"-",IF(COUNTIF('Програма-кодове'!$C28:$AD28,$AK$2)=1,INDEX('Програма-кодове'!$C$1:$AD$1,1,MATCH($AK$2,'Програма-кодове'!$C28:$AD28,0)),"Дублаж"))</f>
        <v>12г</v>
      </c>
      <c r="AL29" s="20">
        <f>IF(COUNTIF('Програма-кодове'!$C28:$AD28,$AL$2)=0,"-",IF(COUNTIF('Програма-кодове'!$C28:$AD28,$AL$2)=1,INDEX('Програма-кодове'!$C$1:$AD$1,1,MATCH($AL$2,'Програма-кодове'!$C28:$AD28,0)),"Дублаж"))</f>
        <v>7</v>
      </c>
      <c r="AM29" s="20" t="str">
        <f>IF(COUNTIF('Програма-кодове'!$C28:$AD28,$AM$2)=0,"-",IF(COUNTIF('Програма-кодове'!$C28:$AD28,$AM$2)=1,INDEX('Програма-кодове'!$C$1:$AD$1,1,MATCH($AM$2,'Програма-кодове'!$C28:$AD28,0)),"Дублаж"))</f>
        <v>10д</v>
      </c>
      <c r="AN29" s="346" t="str">
        <f>IF(COUNTIF('Програма-кодове'!$C28:$AD28,$AN$2)=0,"-",IF(COUNTIF('Програма-кодове'!$C28:$AD28,$AN$2)=1,INDEX('Програма-кодове'!$C$1:$AD$1,1,MATCH($AN$2,'Програма-кодове'!$C28:$AD28,0)),"Дублаж"))</f>
        <v>11г</v>
      </c>
      <c r="AO29" s="346" t="str">
        <f>IF(COUNTIF('Програма-кодове'!$C28:$AD28,$AO$2)=0,"-",IF(COUNTIF('Програма-кодове'!$C28:$AD28,$AO$2)=1,INDEX('Програма-кодове'!$C$1:$AD$1,1,MATCH($AO$2,'Програма-кодове'!$C28:$AD28,0)),"Дублаж"))</f>
        <v>-</v>
      </c>
      <c r="AP29" s="346" t="str">
        <f>IF(COUNTIF('Програма-кодове'!$C28:$AD28,$AP$2)=0,"-",IF(COUNTIF('Програма-кодове'!$C28:$AD28,$AP$2)=1,INDEX('Програма-кодове'!$C$1:$AD$1,1,MATCH($AP$2,'Програма-кодове'!$C28:$AD28,0)),"Дублаж"))</f>
        <v>11в</v>
      </c>
      <c r="AQ29" s="346" t="str">
        <f t="shared" si="15"/>
        <v>9а</v>
      </c>
      <c r="AR29" s="346" t="str">
        <f>IF(COUNTIF('Програма-кодове'!$C28:$AD28,$AR$2)=0,"-",IF(COUNTIF('Програма-кодове'!$C28:$AD28,$AR$2)=1,INDEX('Програма-кодове'!$C$1:$AD$1,1,MATCH($AR$2,'Програма-кодове'!$C28:$AD28,0)),"Дублаж"))</f>
        <v>12д</v>
      </c>
      <c r="AS29" s="346" t="str">
        <f>IF(COUNTIF('Програма-кодове'!$C28:$AD28,$AS$2)=0,"-",IF(COUNTIF('Програма-кодове'!$C28:$AD28,$AS$2)=1,INDEX('Програма-кодове'!$C$1:$AD$1,1,MATCH($AS$2,'Програма-кодове'!$C28:$AD28,0)),"Дублаж"))</f>
        <v>10б</v>
      </c>
      <c r="AT29" s="346" t="str">
        <f>IF(COUNTIF('Програма-кодове'!$C28:$AD28,$AT$2)=0,"-",IF(COUNTIF('Програма-кодове'!$C28:$AD28,$AT$2)=1,INDEX('Програма-кодове'!$C$1:$AD$1,1,MATCH($AT$2,'Програма-кодове'!$C28:$AD28,0)),"Дублаж"))</f>
        <v>9в</v>
      </c>
      <c r="AU29" s="194" t="str">
        <f t="shared" si="25"/>
        <v>8в</v>
      </c>
      <c r="AV29" s="194" t="str">
        <f t="shared" si="2"/>
        <v>-</v>
      </c>
      <c r="AW29" s="196" t="str">
        <f>IF(COUNTIF('Програма-кодове'!$C28:$AD28,$AW$2)=0,"-",IF(COUNTIF('Програма-кодове'!$C28:$AD28,$AW$2)=1,INDEX('Програма-кодове'!$C$1:$AD$1,1,MATCH($AW$2,'Програма-кодове'!$C28:$AD28,0)),"Дублаж"))</f>
        <v>-</v>
      </c>
      <c r="AX29" s="250" t="str">
        <f>IF(COUNTIF('Програма-кодове'!$C28:$AD28,$AX$2)=0,"-",IF(COUNTIF('Програма-кодове'!$C28:$AD28,$AX$2)=1,INDEX('Програма-кодове'!$C$1:$AD$1,1,MATCH($AX$2,'Програма-кодове'!$C28:$AD28,0)),"Дублаж"))</f>
        <v>8б</v>
      </c>
      <c r="AY29" s="196" t="str">
        <f>IF(COUNTIF('Програма-кодове'!$C28:$AD28,$AY$2)=0,"-",IF(COUNTIF('Програма-кодове'!$C28:$AD28,$AY$2)=1,INDEX('Програма-кодове'!$C$1:$AD$1,1,MATCH($AY$2,'Програма-кодове'!$C28:$AD28,0)),"Дублаж"))</f>
        <v>-</v>
      </c>
      <c r="AZ29" s="317" t="str">
        <f>IF(AND(BS29&lt;&gt;"-",BT29&lt;&gt;"-"),"Дублаж",IF(BS29&lt;&gt;"-",BS29,BT29))</f>
        <v>12а</v>
      </c>
      <c r="BA29" s="30" t="str">
        <f>IF(COUNTIF('Програма-кодове'!$C28:$AD28,$BA$2)=0,"-",IF(COUNTIF('Програма-кодове'!$C28:$AD28,$BA$2)=1,INDEX('Програма-кодове'!$C$1:$AD$1,1,MATCH($BA$2,'Програма-кодове'!$C28:$AD28,0)),"Дублаж"))</f>
        <v>-</v>
      </c>
      <c r="BB29" s="30">
        <f>IF(COUNTIF('Програма-кодове'!$C28:$AD28,$BB$2)=0,"-",IF(COUNTIF('Програма-кодове'!$C28:$AD28,$BB$2)=1,INDEX('Програма-кодове'!$C$1:$AD$1,1,MATCH($BB$2,'Програма-кодове'!$C28:$AD28,0)),"Дублаж"))</f>
        <v>5</v>
      </c>
      <c r="BC29" s="30" t="str">
        <f>IF(COUNTIF('Програма-кодове'!$C28:$AD28,$BC$2)=0,"-",IF(COUNTIF('Програма-кодове'!$C28:$AD28,$BC$2)=1,INDEX('Програма-кодове'!$C$1:$AD$1,1,MATCH($BC$2,'Програма-кодове'!$C28:$AD28,0)),"Дублаж"))</f>
        <v>-</v>
      </c>
      <c r="BD29" s="30" t="str">
        <f>IF(COUNTIF('Програма-кодове'!$C28:$AD28,$BD$2)=0,"-",IF(COUNTIF('Програма-кодове'!$C28:$AD28,$BD$2)=1,INDEX('Програма-кодове'!$C$1:$AD$1,1,MATCH($BD$2,'Програма-кодове'!$C28:$AD28,0)),"Дублаж"))</f>
        <v>-</v>
      </c>
      <c r="BE29" s="30" t="str">
        <f>IF(COUNTIF('Програма-кодове'!$C28:$AD28,$BE$2)=0,"-",IF(COUNTIF('Програма-кодове'!$C28:$AD28,$BE$2)=1,INDEX('Програма-кодове'!$C$1:$AD$1,1,MATCH($BE$2,'Програма-кодове'!$C28:$AD28,0)),"Дублаж"))</f>
        <v>11б</v>
      </c>
      <c r="BF29" s="30" t="str">
        <f>IF(COUNTIF('Програма-кодове'!$C28:$AD28,$BF$2)=0,"-",IF(COUNTIF('Програма-кодове'!$C28:$AD28,$BF$2)=1,INDEX('Програма-кодове'!$C$1:$AD$1,1,MATCH($BF$2,'Програма-кодове'!$C28:$AD28,0)),"Дублаж"))</f>
        <v>-</v>
      </c>
      <c r="BG29" s="30" t="str">
        <f>IF(COUNTIF('Програма-кодове'!$C28:$AD28,$BG$2)=0,"-",IF(COUNTIF('Програма-кодове'!$C28:$AD28,$BG$2)=1,INDEX('Програма-кодове'!$C$1:$AD$1,1,MATCH($BG$2,'Програма-кодове'!$C28:$AD28,0)),"Дублаж"))</f>
        <v>-</v>
      </c>
      <c r="BH29" s="30" t="str">
        <f>IF(COUNTIF('Програма-кодове'!$C28:$AD28,$BH$2)=0,"-",IF(COUNTIF('Програма-кодове'!$C28:$AD28,$BH$2)=1,INDEX('Програма-кодове'!$C$1:$AD$1,1,MATCH($BH$2,'Програма-кодове'!$C28:$AD28,0)),"Дублаж"))</f>
        <v>-</v>
      </c>
      <c r="BI29" s="94" t="str">
        <f>IF(COUNTIF('Програма-кодове'!$C28:$AD28,$BI$2)=0,"-",IF(COUNTIF('Програма-кодове'!$C28:$AD28,$BI$2)=1,INDEX('Програма-кодове'!$C$1:$AD$1,1,MATCH($BI$2,'Програма-кодове'!$C28:$AD28,0)),IF('Програма-кодове'!Z28='Програма-кодове'!AA28,"12а,б","Дублаж")))</f>
        <v>-</v>
      </c>
      <c r="BJ29" s="94" t="str">
        <f>IF(COUNTIF('Програма-кодове'!$C28:$AD28,$BJ$2)=0,"-",IF(COUNTIF('Програма-кодове'!$C28:$AD28,$BJ$2)=1,INDEX('Програма-кодове'!$C$1:$AD$1,1,MATCH($BJ$2,'Програма-кодове'!$C28:$AD28,0)),"Дублаж"))</f>
        <v>-</v>
      </c>
      <c r="BK29" s="94" t="str">
        <f>IF(COUNTIF('Програма-кодове'!$C28:$AD28,$BK$2)=0,"-",IF(COUNTIF('Програма-кодове'!$C28:$AD28,$BK$2)=1,INDEX('Програма-кодове'!$C$1:$AD$1,1,MATCH($BK$2,'Програма-кодове'!$C28:$AD28,0)),IF('Програма-кодове'!K28='Програма-кодове'!O28,"9а,д",IF('Програма-кодове'!L28='Програма-кодове'!M28,"9б,в","Дублаж"))))</f>
        <v>-</v>
      </c>
      <c r="BL29" s="30" t="str">
        <f>IF(COUNTIF('Програма-кодове'!$C28:$AD28,$BL$2)=0,"-",IF(COUNTIF('Програма-кодове'!$C28:$AD28,$BL$2)=1,INDEX('Програма-кодове'!$C$1:$AD$1,1,MATCH($BL$2,'Програма-кодове'!$C28:$AD28,0)),"Дублаж"))</f>
        <v>-</v>
      </c>
      <c r="BM29" s="30" t="str">
        <f>IF(COUNTIF('Програма-кодове'!$C28:$AD28,$BM$2)=0,"-",IF(COUNTIF('Програма-кодове'!$C28:$AD28,$BM$2)=1,INDEX('Програма-кодове'!$C$1:$AD$1,1,MATCH($BM$2,'Програма-кодове'!$C28:$AD28,0)),"Дублаж"))</f>
        <v>-</v>
      </c>
      <c r="BN29" s="77" t="str">
        <f>IF(COUNTIF('Програма-кодове'!$C28:$AD28,$BN$2)=0,"-",IF(COUNTIF('Програма-кодове'!$C28:$AD28,$BN$2)=1,INDEX('Програма-кодове'!$C$1:$AD$1,1,MATCH($BN$2,'Програма-кодове'!$C28:$AD28,0)),IF(AND('Програма-кодове'!K28='Програма-кодове'!O28,'Програма-кодове'!K28&lt;&gt;""),"9а, д", IF(AND('Програма-кодове'!U28='Програма-кодове'!W28,'Програма-кодове'!U28&lt;&gt;""),"11а,в", "Дублаж"))))</f>
        <v>10а</v>
      </c>
      <c r="BO29" s="77" t="str">
        <f>IF(COUNTIF('Програма-кодове'!$C28:$AD28,$BO$2)=0,"-",IF(COUNTIF('Програма-кодове'!$C28:$AD28,$BO$2)=1,INDEX('Програма-кодове'!$C$1:$AD$1,1,MATCH($BO$2,'Програма-кодове'!$C28:$AD28,0)),IF(AND('Програма-кодове'!U28='Програма-кодове'!W28,'Програма-кодове'!U28&lt;&gt;"" ),"11a,в","Дублаж")))</f>
        <v>-</v>
      </c>
      <c r="BP29" s="30" t="str">
        <f>IF(COUNTIF('Програма-кодове'!$C28:$AD28,$BP$2)=0,"-",IF(COUNTIF('Програма-кодове'!$C28:$AD28,$BP$2)=1,"9б,в,г","Дублаж"))</f>
        <v>-</v>
      </c>
      <c r="BQ29" s="30" t="str">
        <f>IF(COUNTIF('Програма-кодове'!$C28:$AD28,$BQ$2)=0,"-",IF(COUNTIF('Програма-кодове'!$C28:$AD28,$BQ$2)=1,INDEX('Програма-кодове'!$C$1:$AD$1,1,MATCH($BQ$2,'Програма-кодове'!$C28:$AD28,0)),"Дублаж"))</f>
        <v>-</v>
      </c>
      <c r="BR29" s="30" t="str">
        <f>IF(COUNTIF('Програма-кодове'!$C28:$AD28,$BR$2)=0,"-",IF(COUNTIF('Програма-кодове'!$C28:$AD28,$BR$2)=1,INDEX('Програма-кодове'!$C$1:$AD$1,1,MATCH($BR$2,'Програма-кодове'!$C28:$AD28,0)),IF('Програма-кодове'!W28='Програма-кодове'!X28,"11б,в","Дублаж")))</f>
        <v>-</v>
      </c>
      <c r="BS29" s="30" t="str">
        <f>IF(COUNTIF('Програма-кодове'!$C28:$AD28,$BS$2)=0,"-",IF(COUNTIF('Програма-кодове'!$C28:$AD28,$BS$2)=1,INDEX('Програма-кодове'!$C$1:$AD$1,1,MATCH($BS$2,'Програма-кодове'!$C28:$AD28,0)),"Дублаж"))</f>
        <v>12а</v>
      </c>
      <c r="BT29" s="193" t="str">
        <f t="shared" si="17"/>
        <v>-</v>
      </c>
      <c r="BU29" s="30" t="str">
        <f>IF(COUNTIF('Програма-кодове'!$C28:$AD28,$BU$2)=0,"-",IF(COUNTIF('Програма-кодове'!$C28:$AD28,$BU$2)=1,INDEX('Програма-кодове'!$C$1:$AD$1,1,MATCH($BU$2,'Програма-кодове'!$C28:$AD28,0)),"Дублаж"))</f>
        <v>-</v>
      </c>
      <c r="BV29" s="30" t="str">
        <f>IF(COUNTIF('Програма-кодове'!$C28:$AD28,$BV$2)=0,"-",IF(COUNTIF('Програма-кодове'!$C28:$AD28,$BV$2)=1,INDEX('Програма-кодове'!$C$1:$AD$1,1,MATCH($BV$2,'Програма-кодове'!$C28:$AD28,0)),"Дублаж"))</f>
        <v>-</v>
      </c>
      <c r="BW29" s="30" t="str">
        <f>IF(COUNTIF('Програма-кодове'!$C28:$AD28,$BW$2)=0,"-",IF(COUNTIF('Програма-кодове'!$C28:$AD28,$BW$2)=1,INDEX('Програма-кодове'!$C$1:$AD$1,1,MATCH($BW$2,'Програма-кодове'!$C28:$AD28,0)),"Дублаж"))</f>
        <v>8в</v>
      </c>
      <c r="BX29" s="30" t="str">
        <f>IF(COUNTIF('Програма-кодове'!$C28:$AD28,$BX$2)=0,"-",IF(COUNTIF('Програма-кодове'!$C28:$AD28,$BX$2)=1,INDEX('Програма-кодове'!$C$1:$AD$1,1,MATCH($BX$2,'Програма-кодове'!$C28:$AD28,0)),"Дублаж"))</f>
        <v>-</v>
      </c>
      <c r="BY29" s="30" t="str">
        <f>IF(COUNTIF('Програма-кодове'!$C28:$AD28,$BY$2)=0,"-",IF(COUNTIF('Програма-кодове'!$C28:$AD28,$BY$2)=1,INDEX('Програма-кодове'!$C$1:$AD$1,1,MATCH($BY$2,'Програма-кодове'!$C28:$AD28,0)),"Дублаж"))</f>
        <v>10в</v>
      </c>
      <c r="BZ29" s="30" t="str">
        <f>IF(COUNTIF('Програма-кодове'!$C28:$AD28,$BZ$2)=0,"-",IF(COUNTIF('Програма-кодове'!$C28:$AD28,$BZ$2)=1,INDEX('Програма-кодове'!$C$1:$AD$1,1,MATCH($BZ$2,'Програма-кодове'!$C28:$AD28,0)),"Дублаж"))</f>
        <v>-</v>
      </c>
      <c r="CA29" s="30" t="str">
        <f>IF(COUNTIF('Програма-кодове'!$C28:$AD28,$CA$2)=0,"-",IF(COUNTIF('Програма-кодове'!$C28:$AD28,$CA$2)=1,INDEX('Програма-кодове'!$C$1:$AD$1,1,MATCH($CA$2,'Програма-кодове'!$C28:$AD28,0)),"Дублаж"))</f>
        <v>-</v>
      </c>
      <c r="CB29" s="30" t="str">
        <f>IF(COUNTIF('Програма-кодове'!$C28:$AD28,$CB$2)=0,"-",IF(COUNTIF('Програма-кодове'!$C28:$AD28,$CB$2)=1,INDEX('Програма-кодове'!$C$1:$AD$1,1,MATCH($CB$2,'Програма-кодове'!$C28:$AD28,0)),"Дублаж"))</f>
        <v>9а</v>
      </c>
      <c r="CC29" s="30" t="str">
        <f>IF(COUNTIF('Програма-кодове'!$C28:$AD28,$CC$2)=0,"-",IF(COUNTIF('Програма-кодове'!$C28:$AD28,$CC$2)=1,INDEX('Програма-кодове'!$C$1:$AD$1,1,MATCH($CC$2,'Програма-кодове'!$C28:$AD28,0)),"Дублаж"))</f>
        <v>9д</v>
      </c>
      <c r="CD29" s="30" t="str">
        <f>IF(COUNTIF('Програма-кодове'!$C28:$AD28,$CD$2)=0,"-",IF(COUNTIF('Програма-кодове'!$C28:$AD28,$CD$2)=1,INDEX('Програма-кодове'!$C$1:$AD$1,1,MATCH($CD$2,'Програма-кодове'!$C28:$AD28,0)),"Дублаж"))</f>
        <v>-</v>
      </c>
      <c r="CE29" s="30" t="str">
        <f>IF(COUNTIF('Програма-кодове'!$C28:$AD28,$CE$2)=0,"-",IF(COUNTIF('Програма-кодове'!$C28:$AD28,$CE$2)=1,INDEX('Програма-кодове'!$C$1:$AD$1,1,MATCH($CE$2,'Програма-кодове'!$C28:$AD28,0)),"Дублаж"))</f>
        <v>-</v>
      </c>
    </row>
    <row r="30" spans="1:83" ht="13.5" customHeight="1" thickBot="1">
      <c r="A30" s="370"/>
      <c r="B30" s="352">
        <v>7</v>
      </c>
      <c r="C30" s="325" t="str">
        <f>IF(COUNTIF('Програма-кодове'!$C29:$AD29,$C$2)=0,"-",IF(COUNTIF('Програма-кодове'!$C29:$AD29,$C$2)=1,INDEX('Програма-кодове'!$C$1:$AD$1,1,MATCH($C$2,'Програма-кодове'!$C29:$AD29,0)),"Дублаж"))</f>
        <v>-</v>
      </c>
      <c r="D30" s="325" t="str">
        <f>IF(COUNTIF('Програма-кодове'!$C29:$AD29,$D$2)=0,"-",IF(COUNTIF('Програма-кодове'!$C29:$AD29,$D$2)=1,INDEX('Програма-кодове'!$C$1:$AD$1,1,MATCH($D$2,'Програма-кодове'!$C29:$AD29,0)),"Дублаж"))</f>
        <v>-</v>
      </c>
      <c r="E30" s="325" t="str">
        <f>IF(COUNTIF('Програма-кодове'!$C29:$AD29,$E$2)=0,"-",IF(COUNTIF('Програма-кодове'!$C29:$AD29,$E$2)=1,INDEX('Програма-кодове'!$C$1:$AD$1,1,MATCH($E$2,'Програма-кодове'!$C29:$AD29,0)),"Дублаж"))</f>
        <v>-</v>
      </c>
      <c r="F30" s="325" t="str">
        <f>IF(COUNTIF('Програма-кодове'!$C29:$AD29,$F$2)=0,"-",IF(COUNTIF('Програма-кодове'!$C29:$AD29,$F$2)=1,INDEX('Програма-кодове'!$C$1:$AD$1,1,MATCH($F$2,'Програма-кодове'!$C29:$AD29,0)),"Дублаж"))</f>
        <v>-</v>
      </c>
      <c r="G30" s="325" t="str">
        <f>IF(COUNTIF('Програма-кодове'!$C29:$AD29,$G$2)=0,"-",IF(COUNTIF('Програма-кодове'!$C29:$AD29,$G$2)=1,INDEX('Програма-кодове'!$C$1:$AD$1,1,MATCH($G$2,'Програма-кодове'!$C29:$AD29,0)),"Дублаж"))</f>
        <v>-</v>
      </c>
      <c r="H30" s="325" t="str">
        <f>IF(COUNTIF('Програма-кодове'!$C29:$AD29,$H$2)=0,"-",IF(COUNTIF('Програма-кодове'!$C29:$AD29,$H$2)=1,INDEX('Програма-кодове'!$C$1:$AD$1,1,MATCH($H$2,'Програма-кодове'!$C29:$AD29,0)),"Дублаж"))</f>
        <v>-</v>
      </c>
      <c r="I30" s="325" t="str">
        <f>IF(COUNTIF('Програма-кодове'!$C29:$AD29,$I$2)=0,"-",IF(COUNTIF('Програма-кодове'!$C29:$AD29,$I$2)=1,INDEX('Програма-кодове'!$C$1:$AD$1,1,MATCH($I$2,'Програма-кодове'!$C29:$AD29,0)),"Дублаж"))</f>
        <v>-</v>
      </c>
      <c r="J30" s="325" t="str">
        <f>IF(COUNTIF('Програма-кодове'!$C29:$AD29,$J$2)=0,"-",IF(COUNTIF('Програма-кодове'!$C29:$AD29,$J$2)=1,INDEX('Програма-кодове'!$C$1:$AD$1,1,MATCH($J$2,'Програма-кодове'!$C29:$AD29,0)),"Дублаж"))</f>
        <v>-</v>
      </c>
      <c r="K30" s="325" t="str">
        <f>IF(COUNTIF('Програма-кодове'!$C29:$AD29,$K$2)=0,"-",IF(COUNTIF('Програма-кодове'!$C29:$AD29,$K$2)=1,INDEX('Програма-кодове'!$C$1:$AD$1,1,MATCH($K$2,'Програма-кодове'!$C29:$AD29,0)),"Дублаж"))</f>
        <v>-</v>
      </c>
      <c r="L30" s="325" t="str">
        <f>IF(COUNTIF('Програма-кодове'!$C29:$AD29,$L$2)=0,"-",IF(COUNTIF('Програма-кодове'!$C29:$AD29,$L$2)=1,INDEX('Програма-кодове'!$C$1:$AD$1,1,MATCH($L$2,'Програма-кодове'!$C29:$AD29,0)),"Дублаж"))</f>
        <v>-</v>
      </c>
      <c r="M30" s="325" t="str">
        <f>IF(COUNTIF('Програма-кодове'!$C29:$AD29,$M$2)=0,"-",IF(COUNTIF('Програма-кодове'!$C29:$AD29,$M$2)=1,INDEX('Програма-кодове'!$C$1:$AD$1,1,MATCH($M$2,'Програма-кодове'!$C29:$AD29,0)),"Дублаж"))</f>
        <v>-</v>
      </c>
      <c r="N30" s="325" t="str">
        <f>IF(COUNTIF('Програма-кодове'!$C29:$AD29,$N$2)=0,"-",IF(COUNTIF('Програма-кодове'!$C29:$AD29,$N$2)=1,INDEX('Програма-кодове'!$C$1:$AD$1,1,MATCH($N$2,'Програма-кодове'!$C29:$AD29,0)),"Дублаж"))</f>
        <v>-</v>
      </c>
      <c r="O30" s="325" t="str">
        <f>IF(COUNTIF('Програма-кодове'!$C29:$AD29,$O$2)=0,"-",IF(COUNTIF('Програма-кодове'!$C29:$AD29,$O$2)=1,INDEX('Програма-кодове'!$C$1:$AD$1,1,MATCH($O$2,'Програма-кодове'!$C29:$AD29,0)),"Дублаж"))</f>
        <v>-</v>
      </c>
      <c r="P30" s="325" t="str">
        <f>IF(COUNTIF('Програма-кодове'!$C29:$AD29,$P$2)=0,"-",IF(COUNTIF('Програма-кодове'!$C29:$AD29,$P$2)=1,INDEX('Програма-кодове'!$C$1:$AD$1,1,MATCH($P$2,'Програма-кодове'!$C29:$AD29,0)),"Дублаж"))</f>
        <v>-</v>
      </c>
      <c r="Q30" s="325" t="str">
        <f>IF(COUNTIF('Програма-кодове'!$C29:$AD29,$Q$2)=0,"-",IF(COUNTIF('Програма-кодове'!$C29:$AD29,$Q$2)=1,INDEX('Програма-кодове'!$C$1:$AD$1,1,MATCH($Q$2,'Програма-кодове'!$C29:$AD29,0)),"Дублаж"))</f>
        <v>-</v>
      </c>
      <c r="R30" s="322" t="str">
        <f t="shared" si="0"/>
        <v>-</v>
      </c>
      <c r="S30" s="322" t="str">
        <f t="shared" si="3"/>
        <v>-</v>
      </c>
      <c r="T30" s="322" t="str">
        <f>IF(BN30&lt;&gt;"-",IF(AND(BO30="-",BT30="-"),BN30,IF(AND(BN30="11б",BO30="11д"),"11б,д",IF(AND(BN30="12д",BO30="12а"),"12а,д",IF(AND(BN30="12в",BO30="12б"),"12б,в",IF(AND(BN30="10в",BO30="10б"),"10б,в",IF(AND(BN30="9д",BO30="9в"),"9в,д","Дублаж")))))),IF(BO30&lt;&gt;"-",IF(BT30="-",BO30,"Дублаж"),BT30))</f>
        <v>-</v>
      </c>
      <c r="U30" s="325" t="str">
        <f>IF(COUNTIF('Програма-кодове'!$C29:$AD29,$U$2)=0,"-",IF(COUNTIF('Програма-кодове'!$C29:$AD29,$U$2)=1,INDEX('Програма-кодове'!$C$1:$AD$1,1,MATCH($U$2,'Програма-кодове'!$C29:$AD29,0)),"Дублаж"))</f>
        <v>-</v>
      </c>
      <c r="V30" s="325" t="str">
        <f>IF(COUNTIF('Програма-кодове'!$C29:$AD29,$V$2)=0,"-",IF(COUNTIF('Програма-кодове'!$C29:$AD29,$V$2)=1,INDEX('Програма-кодове'!$C$1:$AD$1,1,MATCH($V$2,'Програма-кодове'!$C29:$AD29,0)),"Дублаж"))</f>
        <v>-</v>
      </c>
      <c r="W30" s="325" t="str">
        <f>IF(COUNTIF('Програма-кодове'!$C29:$AD29,$W$2)=0,"-",IF(COUNTIF('Програма-кодове'!$C29:$AD29,$W$2)=1,INDEX('Програма-кодове'!$C$1:$AD$1,1,MATCH($W$2,'Програма-кодове'!$C29:$AD29,0)),"Дублаж"))</f>
        <v>-</v>
      </c>
      <c r="X30" s="325" t="str">
        <f>IF(COUNTIF('Програма-кодове'!$C29:$AD29,$X$2)=0,"-",IF(COUNTIF('Програма-кодове'!$C29:$AD29,$X$2)=1,INDEX('Програма-кодове'!$C$1:$AD$1,1,MATCH($X$2,'Програма-кодове'!$C29:$AD29,0)),"Дублаж"))</f>
        <v>-</v>
      </c>
      <c r="Y30" s="325" t="str">
        <f>IF(COUNTIF('Програма-кодове'!$C29:$AD29,$Y$2)=0,"-",IF(COUNTIF('Програма-кодове'!$C29:$AD29,$Y$2)=1,INDEX('Програма-кодове'!$C$1:$AD$1,1,MATCH($Y$2,'Програма-кодове'!$C29:$AD29,0)),"Дублаж"))</f>
        <v>-</v>
      </c>
      <c r="Z30" s="325" t="str">
        <f>IF(COUNTIF('Програма-кодове'!$C29:$AD29,$Z$2)=0,"-",IF(COUNTIF('Програма-кодове'!$C29:$AD29,$Z$2)=1,INDEX('Програма-кодове'!$C$1:$AD$1,1,MATCH($Z$2,'Програма-кодове'!$C29:$AD29,0)),"Дублаж"))</f>
        <v>-</v>
      </c>
      <c r="AA30" s="322" t="str">
        <f t="shared" si="5"/>
        <v>-</v>
      </c>
      <c r="AB30" s="322" t="str">
        <f t="shared" si="6"/>
        <v>-</v>
      </c>
      <c r="AC30" s="322" t="str">
        <f t="shared" si="7"/>
        <v>-</v>
      </c>
      <c r="AD30" s="322" t="str">
        <f t="shared" si="8"/>
        <v>-</v>
      </c>
      <c r="AE30" s="322" t="str">
        <f t="shared" si="9"/>
        <v>-</v>
      </c>
      <c r="AF30" s="322" t="str">
        <f t="shared" si="10"/>
        <v>-</v>
      </c>
      <c r="AG30" s="322" t="str">
        <f t="shared" ref="AG30:AG31" si="28">IF(BA30&lt;&gt;"-",IF(AND(BC30="-",BG30="-",BF30="-",BM30="-",BI30="-"),BA30,"Дублаж"),IF(BC30&lt;&gt;"-",IF(AND(BG30="-",BF30="-",BM30="-",BI30="-"),BC30,"Дублаж"),IF(BG30&lt;&gt;"-",IF(AND(BF30="-",BM30="-",BI30="-"),BG30,"Дублаж"),IF(BF30&lt;&gt;"-",IF(AND(BM30="-",BI30="-"),BF30,"Дублаж"),IF(BM30&lt;&gt;"-",IF(BI30="-",BM30,BI30),BI30)))))</f>
        <v>-</v>
      </c>
      <c r="AH30" s="322" t="str">
        <f t="shared" si="12"/>
        <v>-</v>
      </c>
      <c r="AI30" s="325" t="str">
        <f t="shared" si="13"/>
        <v>-</v>
      </c>
      <c r="AJ30" s="322" t="str">
        <f>IF(CC30&lt;&gt;"-",IF(AND(CD30="-",CE30="-"),CC30,"Дублаж"),IF(AND(CD30&lt;&gt;"-",CE30&lt;&gt;"-"),"Дублаж",IF(CD30&lt;&gt;"-",CD30,CE30)))</f>
        <v>-</v>
      </c>
      <c r="AK30" s="325" t="str">
        <f>IF(COUNTIF('Програма-кодове'!$C29:$AD29,$AK$2)=0,"-",IF(COUNTIF('Програма-кодове'!$C29:$AD29,$AK$2)=1,INDEX('Програма-кодове'!$C$1:$AD$1,1,MATCH($AK$2,'Програма-кодове'!$C29:$AD29,0)),"Дублаж"))</f>
        <v>-</v>
      </c>
      <c r="AL30" s="325" t="str">
        <f>IF(COUNTIF('Програма-кодове'!$C29:$AD29,$AL$2)=0,"-",IF(COUNTIF('Програма-кодове'!$C29:$AD29,$AL$2)=1,INDEX('Програма-кодове'!$C$1:$AD$1,1,MATCH($AL$2,'Програма-кодове'!$C29:$AD29,0)),"Дублаж"))</f>
        <v>-</v>
      </c>
      <c r="AM30" s="325" t="str">
        <f>IF(COUNTIF('Програма-кодове'!$C29:$AD29,$AM$2)=0,"-",IF(COUNTIF('Програма-кодове'!$C29:$AD29,$AM$2)=1,INDEX('Програма-кодове'!$C$1:$AD$1,1,MATCH($AM$2,'Програма-кодове'!$C29:$AD29,0)),"Дублаж"))</f>
        <v>-</v>
      </c>
      <c r="AN30" s="322" t="str">
        <f>IF(COUNTIF('Програма-кодове'!$C29:$AD29,$AN$2)=0,"-",IF(COUNTIF('Програма-кодове'!$C29:$AD29,$AN$2)=1,INDEX('Програма-кодове'!$C$1:$AD$1,1,MATCH($AN$2,'Програма-кодове'!$C29:$AD29,0)),"Дублаж"))</f>
        <v>-</v>
      </c>
      <c r="AO30" s="322" t="str">
        <f>IF(COUNTIF('Програма-кодове'!$C29:$AD29,$AO$2)=0,"-",IF(COUNTIF('Програма-кодове'!$C29:$AD29,$AO$2)=1,INDEX('Програма-кодове'!$C$1:$AD$1,1,MATCH($AO$2,'Програма-кодове'!$C29:$AD29,0)),"Дублаж"))</f>
        <v>-</v>
      </c>
      <c r="AP30" s="322" t="str">
        <f>IF(COUNTIF('Програма-кодове'!$C29:$AD29,$AP$2)=0,"-",IF(COUNTIF('Програма-кодове'!$C29:$AD29,$AP$2)=1,INDEX('Програма-кодове'!$C$1:$AD$1,1,MATCH($AP$2,'Програма-кодове'!$C29:$AD29,0)),"Дублаж"))</f>
        <v>-</v>
      </c>
      <c r="AQ30" s="322" t="str">
        <f t="shared" si="15"/>
        <v>-</v>
      </c>
      <c r="AR30" s="322" t="str">
        <f>IF(COUNTIF('Програма-кодове'!$C29:$AD29,$AR$2)=0,"-",IF(COUNTIF('Програма-кодове'!$C29:$AD29,$AR$2)=1,INDEX('Програма-кодове'!$C$1:$AD$1,1,MATCH($AR$2,'Програма-кодове'!$C29:$AD29,0)),"Дублаж"))</f>
        <v>-</v>
      </c>
      <c r="AS30" s="322" t="str">
        <f>IF(COUNTIF('Програма-кодове'!$C29:$AD29,$AS$2)=0,"-",IF(COUNTIF('Програма-кодове'!$C29:$AD29,$AS$2)=1,INDEX('Програма-кодове'!$C$1:$AD$1,1,MATCH($AS$2,'Програма-кодове'!$C29:$AD29,0)),"Дублаж"))</f>
        <v>-</v>
      </c>
      <c r="AT30" s="322" t="str">
        <f>IF(COUNTIF('Програма-кодове'!$C29:$AD29,$AT$2)=0,"-",IF(COUNTIF('Програма-кодове'!$C29:$AD29,$AT$2)=1,INDEX('Програма-кодове'!$C$1:$AD$1,1,MATCH($AT$2,'Програма-кодове'!$C29:$AD29,0)),"Дублаж"))</f>
        <v>-</v>
      </c>
      <c r="AU30" s="195" t="str">
        <f t="shared" si="25"/>
        <v>-</v>
      </c>
      <c r="AV30" s="195" t="str">
        <f t="shared" si="2"/>
        <v>-</v>
      </c>
      <c r="AW30" s="195" t="str">
        <f>IF(COUNTIF('Програма-кодове'!$C29:$AD29,$AW$2)=0,"-",IF(COUNTIF('Програма-кодове'!$C29:$AD29,$AW$2)=1,INDEX('Програма-кодове'!$C$1:$AD$1,1,MATCH($AW$2,'Програма-кодове'!$C29:$AD29,0)),"Дублаж"))</f>
        <v>-</v>
      </c>
      <c r="AX30" s="195" t="str">
        <f>IF(COUNTIF('Програма-кодове'!$C29:$AD29,$AX$2)=0,"-",IF(COUNTIF('Програма-кодове'!$C29:$AD29,$AX$2)=1,INDEX('Програма-кодове'!$C$1:$AD$1,1,MATCH($AX$2,'Програма-кодове'!$C29:$AD29,0)),"Дублаж"))</f>
        <v>-</v>
      </c>
      <c r="AY30" s="195" t="str">
        <f>IF(COUNTIF('Програма-кодове'!$C29:$AD29,$AY$2)=0,"-",IF(COUNTIF('Програма-кодове'!$C29:$AD29,$AY$2)=1,INDEX('Програма-кодове'!$C$1:$AD$1,1,MATCH($AY$2,'Програма-кодове'!$C29:$AD29,0)),"Дублаж"))</f>
        <v>-</v>
      </c>
      <c r="AZ30" s="325" t="str">
        <f>IF(COUNTIF('Програма-кодове'!$C29:$AD29,$AY$2)=0,"-",IF(COUNTIF('Програма-кодове'!$C29:$AD29,$AY$2)=1,INDEX('Програма-кодове'!$C$1:$AD$1,1,MATCH($AY$2,'Програма-кодове'!$C29:$AD29,0)),"Дублаж"))</f>
        <v>-</v>
      </c>
      <c r="BA30" s="30" t="str">
        <f>IF(COUNTIF('Програма-кодове'!$C29:$AD29,$BA$2)=0,"-",IF(COUNTIF('Програма-кодове'!$C29:$AD29,$BA$2)=1,INDEX('Програма-кодове'!$C$1:$AD$1,1,MATCH($BA$2,'Програма-кодове'!$C29:$AD29,0)),"Дублаж"))</f>
        <v>-</v>
      </c>
      <c r="BB30" s="30" t="str">
        <f>IF(COUNTIF('Програма-кодове'!$C29:$AD29,$BB$2)=0,"-",IF(COUNTIF('Програма-кодове'!$C29:$AD29,$BB$2)=1,INDEX('Програма-кодове'!$C$1:$AD$1,1,MATCH($BB$2,'Програма-кодове'!$C29:$AD29,0)),"Дублаж"))</f>
        <v>-</v>
      </c>
      <c r="BC30" s="30" t="str">
        <f>IF(COUNTIF('Програма-кодове'!$C29:$AD29,$BC$2)=0,"-",IF(COUNTIF('Програма-кодове'!$C29:$AD29,$BC$2)=1,INDEX('Програма-кодове'!$C$1:$AD$1,1,MATCH($BC$2,'Програма-кодове'!$C29:$AD29,0)),"Дублаж"))</f>
        <v>-</v>
      </c>
      <c r="BD30" s="30" t="str">
        <f>IF(COUNTIF('Програма-кодове'!$C29:$AD29,$BD$2)=0,"-",IF(COUNTIF('Програма-кодове'!$C29:$AD29,$BD$2)=1,INDEX('Програма-кодове'!$C$1:$AD$1,1,MATCH($BD$2,'Програма-кодове'!$C29:$AD29,0)),"Дублаж"))</f>
        <v>-</v>
      </c>
      <c r="BE30" s="30" t="str">
        <f>IF(COUNTIF('Програма-кодове'!$C29:$AD29,$BE$2)=0,"-",IF(COUNTIF('Програма-кодове'!$C29:$AD29,$BE$2)=1,INDEX('Програма-кодове'!$C$1:$AD$1,1,MATCH($BE$2,'Програма-кодове'!$C29:$AD29,0)),"Дублаж"))</f>
        <v>-</v>
      </c>
      <c r="BF30" s="30" t="str">
        <f>IF(COUNTIF('Програма-кодове'!$C29:$AD29,$BF$2)=0,"-",IF(COUNTIF('Програма-кодове'!$C29:$AD29,$BF$2)=1,INDEX('Програма-кодове'!$C$1:$AD$1,1,MATCH($BF$2,'Програма-кодове'!$C29:$AD29,0)),"Дублаж"))</f>
        <v>-</v>
      </c>
      <c r="BG30" s="30" t="str">
        <f>IF(COUNTIF('Програма-кодове'!$C29:$AD29,$BG$2)=0,"-",IF(COUNTIF('Програма-кодове'!$C29:$AD29,$BG$2)=1,INDEX('Програма-кодове'!$C$1:$AD$1,1,MATCH($BG$2,'Програма-кодове'!$C29:$AD29,0)),"Дублаж"))</f>
        <v>-</v>
      </c>
      <c r="BH30" s="30" t="str">
        <f>IF(COUNTIF('Програма-кодове'!$C29:$AD29,$BH$2)=0,"-",IF(COUNTIF('Програма-кодове'!$C29:$AD29,$BH$2)=1,INDEX('Програма-кодове'!$C$1:$AD$1,1,MATCH($BH$2,'Програма-кодове'!$C29:$AD29,0)),"Дублаж"))</f>
        <v>-</v>
      </c>
      <c r="BI30" s="94" t="str">
        <f>IF(COUNTIF('Програма-кодове'!$C29:$AD29,$BI$2)=0,"-",IF(COUNTIF('Програма-кодове'!$C29:$AD29,$BI$2)=1,INDEX('Програма-кодове'!$C$1:$AD$1,1,MATCH($BI$2,'Програма-кодове'!$C29:$AD29,0)),IF('Програма-кодове'!Z29='Програма-кодове'!AA29,"12а,б","Дублаж")))</f>
        <v>-</v>
      </c>
      <c r="BJ30" s="94" t="str">
        <f>IF(COUNTIF('Програма-кодове'!$C29:$AD29,$BJ$2)=0,"-",IF(COUNTIF('Програма-кодове'!$C29:$AD29,$BJ$2)=1,INDEX('Програма-кодове'!$C$1:$AD$1,1,MATCH($BJ$2,'Програма-кодове'!$C29:$AD29,0)),"Дублаж"))</f>
        <v>-</v>
      </c>
      <c r="BK30" s="94" t="str">
        <f>IF(COUNTIF('Програма-кодове'!$C29:$AD29,$BK$2)=0,"-",IF(COUNTIF('Програма-кодове'!$C29:$AD29,$BK$2)=1,INDEX('Програма-кодове'!$C$1:$AD$1,1,MATCH($BK$2,'Програма-кодове'!$C29:$AD29,0)),IF('Програма-кодове'!K29='Програма-кодове'!O29,"9а,д",IF('Програма-кодове'!L29='Програма-кодове'!M29,"9б,в","Дублаж"))))</f>
        <v>-</v>
      </c>
      <c r="BL30" s="30" t="str">
        <f>IF(COUNTIF('Програма-кодове'!$C29:$AD29,$BL$2)=0,"-",IF(COUNTIF('Програма-кодове'!$C29:$AD29,$BL$2)=1,INDEX('Програма-кодове'!$C$1:$AD$1,1,MATCH($BL$2,'Програма-кодове'!$C29:$AD29,0)),"Дублаж"))</f>
        <v>-</v>
      </c>
      <c r="BM30" s="30" t="str">
        <f>IF(COUNTIF('Програма-кодове'!$C29:$AD29,$BM$2)=0,"-",IF(COUNTIF('Програма-кодове'!$C29:$AD29,$BM$2)=1,INDEX('Програма-кодове'!$C$1:$AD$1,1,MATCH($BM$2,'Програма-кодове'!$C29:$AD29,0)),"Дублаж"))</f>
        <v>-</v>
      </c>
      <c r="BN30" s="77" t="str">
        <f>IF(COUNTIF('Програма-кодове'!$C29:$AD29,$BN$2)=0,"-",IF(COUNTIF('Програма-кодове'!$C29:$AD29,$BN$2)=1,INDEX('Програма-кодове'!$C$1:$AD$1,1,MATCH($BN$2,'Програма-кодове'!$C29:$AD29,0)),IF(AND('Програма-кодове'!K29='Програма-кодове'!O29,'Програма-кодове'!K29&lt;&gt;""),"9а, д", IF(AND('Програма-кодове'!U29='Програма-кодове'!W29,'Програма-кодове'!U29&lt;&gt;""),"11а,в", "Дублаж"))))</f>
        <v>-</v>
      </c>
      <c r="BO30" s="77" t="str">
        <f>IF(COUNTIF('Програма-кодове'!$C29:$AD29,$BO$2)=0,"-",IF(COUNTIF('Програма-кодове'!$C29:$AD29,$BO$2)=1,INDEX('Програма-кодове'!$C$1:$AD$1,1,MATCH($BO$2,'Програма-кодове'!$C29:$AD29,0)),IF(AND('Програма-кодове'!U29='Програма-кодове'!W29,'Програма-кодове'!U29&lt;&gt;"" ),"11a,в","Дублаж")))</f>
        <v>-</v>
      </c>
      <c r="BP30" s="30" t="str">
        <f>IF(COUNTIF('Програма-кодове'!$C29:$AD29,$BP$2)=0,"-",IF(COUNTIF('Програма-кодове'!$C29:$AD29,$BP$2)=1,"9б,в,г","Дублаж"))</f>
        <v>-</v>
      </c>
      <c r="BQ30" s="30" t="str">
        <f>IF(COUNTIF('Програма-кодове'!$C29:$AD29,$BQ$2)=0,"-",IF(COUNTIF('Програма-кодове'!$C29:$AD29,$BQ$2)=1,INDEX('Програма-кодове'!$C$1:$AD$1,1,MATCH($BQ$2,'Програма-кодове'!$C29:$AD29,0)),"Дублаж"))</f>
        <v>-</v>
      </c>
      <c r="BR30" s="30" t="str">
        <f>IF(COUNTIF('Програма-кодове'!$C29:$AD29,$BR$2)=0,"-",IF(COUNTIF('Програма-кодове'!$C29:$AD29,$BR$2)=1,INDEX('Програма-кодове'!$C$1:$AD$1,1,MATCH($BR$2,'Програма-кодове'!$C29:$AD29,0)),IF('Програма-кодове'!W29='Програма-кодове'!X29,"11б,в","Дублаж")))</f>
        <v>-</v>
      </c>
      <c r="BS30" s="30" t="str">
        <f>IF(COUNTIF('Програма-кодове'!$C29:$AD29,$BS$2)=0,"-",IF(COUNTIF('Програма-кодове'!$C29:$AD29,$BS$2)=1,INDEX('Програма-кодове'!$C$1:$AD$1,1,MATCH($BS$2,'Програма-кодове'!$C29:$AD29,0)),"Дублаж"))</f>
        <v>-</v>
      </c>
      <c r="BT30" s="193" t="str">
        <f t="shared" si="17"/>
        <v>-</v>
      </c>
      <c r="BU30" s="30" t="str">
        <f>IF(COUNTIF('Програма-кодове'!$C29:$AD29,$BU$2)=0,"-",IF(COUNTIF('Програма-кодове'!$C29:$AD29,$BU$2)=1,INDEX('Програма-кодове'!$C$1:$AD$1,1,MATCH($BU$2,'Програма-кодове'!$C29:$AD29,0)),"Дублаж"))</f>
        <v>-</v>
      </c>
      <c r="BV30" s="30" t="str">
        <f>IF(COUNTIF('Програма-кодове'!$C29:$AD29,$BV$2)=0,"-",IF(COUNTIF('Програма-кодове'!$C29:$AD29,$BV$2)=1,INDEX('Програма-кодове'!$C$1:$AD$1,1,MATCH($BV$2,'Програма-кодове'!$C29:$AD29,0)),"Дублаж"))</f>
        <v>-</v>
      </c>
      <c r="BW30" s="30" t="str">
        <f>IF(COUNTIF('Програма-кодове'!$C29:$AD29,$BW$2)=0,"-",IF(COUNTIF('Програма-кодове'!$C29:$AD29,$BW$2)=1,INDEX('Програма-кодове'!$C$1:$AD$1,1,MATCH($BW$2,'Програма-кодове'!$C29:$AD29,0)),"Дублаж"))</f>
        <v>-</v>
      </c>
      <c r="BX30" s="30" t="str">
        <f>IF(COUNTIF('Програма-кодове'!$C29:$AD29,$BX$2)=0,"-",IF(COUNTIF('Програма-кодове'!$C29:$AD29,$BX$2)=1,INDEX('Програма-кодове'!$C$1:$AD$1,1,MATCH($BX$2,'Програма-кодове'!$C29:$AD29,0)),"Дублаж"))</f>
        <v>-</v>
      </c>
      <c r="BY30" s="30" t="str">
        <f>IF(COUNTIF('Програма-кодове'!$C29:$AD29,$BY$2)=0,"-",IF(COUNTIF('Програма-кодове'!$C29:$AD29,$BY$2)=1,INDEX('Програма-кодове'!$C$1:$AD$1,1,MATCH($BY$2,'Програма-кодове'!$C29:$AD29,0)),"Дублаж"))</f>
        <v>-</v>
      </c>
      <c r="BZ30" s="30" t="str">
        <f>IF(COUNTIF('Програма-кодове'!$C29:$AD29,$BZ$2)=0,"-",IF(COUNTIF('Програма-кодове'!$C29:$AD29,$BZ$2)=1,INDEX('Програма-кодове'!$C$1:$AD$1,1,MATCH($BZ$2,'Програма-кодове'!$C29:$AD29,0)),"Дублаж"))</f>
        <v>-</v>
      </c>
      <c r="CA30" s="30" t="str">
        <f>IF(COUNTIF('Програма-кодове'!$C29:$AD29,$CA$2)=0,"-",IF(COUNTIF('Програма-кодове'!$C29:$AD29,$CA$2)=1,INDEX('Програма-кодове'!$C$1:$AD$1,1,MATCH($CA$2,'Програма-кодове'!$C29:$AD29,0)),"Дублаж"))</f>
        <v>-</v>
      </c>
      <c r="CB30" s="30" t="str">
        <f>IF(COUNTIF('Програма-кодове'!$C29:$AD29,$CB$2)=0,"-",IF(COUNTIF('Програма-кодове'!$C29:$AD29,$CB$2)=1,INDEX('Програма-кодове'!$C$1:$AD$1,1,MATCH($CB$2,'Програма-кодове'!$C29:$AD29,0)),"Дублаж"))</f>
        <v>-</v>
      </c>
      <c r="CC30" s="30" t="str">
        <f>IF(COUNTIF('Програма-кодове'!$C29:$AD29,$CC$2)=0,"-",IF(COUNTIF('Програма-кодове'!$C29:$AD29,$CC$2)=1,INDEX('Програма-кодове'!$C$1:$AD$1,1,MATCH($CC$2,'Програма-кодове'!$C29:$AD29,0)),"Дублаж"))</f>
        <v>-</v>
      </c>
      <c r="CD30" s="30" t="str">
        <f>IF(COUNTIF('Програма-кодове'!$C29:$AD29,$CD$2)=0,"-",IF(COUNTIF('Програма-кодове'!$C29:$AD29,$CD$2)=1,INDEX('Програма-кодове'!$C$1:$AD$1,1,MATCH($CD$2,'Програма-кодове'!$C29:$AD29,0)),"Дублаж"))</f>
        <v>-</v>
      </c>
      <c r="CE30" s="30" t="str">
        <f>IF(COUNTIF('Програма-кодове'!$C29:$AD29,$CE$2)=0,"-",IF(COUNTIF('Програма-кодове'!$C29:$AD29,$CE$2)=1,INDEX('Програма-кодове'!$C$1:$AD$1,1,MATCH($CE$2,'Програма-кодове'!$C29:$AD29,0)),"Дублаж"))</f>
        <v>-</v>
      </c>
    </row>
    <row r="31" spans="1:83" ht="12.75" customHeight="1">
      <c r="A31" s="371" t="s">
        <v>28</v>
      </c>
      <c r="B31" s="327">
        <v>1</v>
      </c>
      <c r="C31" s="196" t="str">
        <f>IF(COUNTIF('Програма-кодове'!$C30:$AD30,$C$2)=0,"-",IF(COUNTIF('Програма-кодове'!$C30:$AD30,$C$2)=1,INDEX('Програма-кодове'!$C$1:$AD$1,1,MATCH($C$2,'Програма-кодове'!$C30:$AD30,0)),"Дублаж"))</f>
        <v>-</v>
      </c>
      <c r="D31" s="328" t="str">
        <f>IF(COUNTIF('Програма-кодове'!$C30:$AD30,$D$2)=0,"-",IF(COUNTIF('Програма-кодове'!$C30:$AD30,$D$2)=1,INDEX('Програма-кодове'!$C$1:$AD$1,1,MATCH($D$2,'Програма-кодове'!$C30:$AD30,0)),"Дублаж"))</f>
        <v>11а</v>
      </c>
      <c r="E31" s="196" t="str">
        <f>IF(COUNTIF('Програма-кодове'!$C30:$AD30,$E$2)=0,"-",IF(COUNTIF('Програма-кодове'!$C30:$AD30,$E$2)=1,INDEX('Програма-кодове'!$C$1:$AD$1,1,MATCH($E$2,'Програма-кодове'!$C30:$AD30,0)),"Дублаж"))</f>
        <v>8a</v>
      </c>
      <c r="F31" s="196" t="str">
        <f>IF(COUNTIF('Програма-кодове'!$C30:$AD30,$F$2)=0,"-",IF(COUNTIF('Програма-кодове'!$C30:$AD30,$F$2)=1,INDEX('Програма-кодове'!$C$1:$AD$1,1,MATCH($F$2,'Програма-кодове'!$C30:$AD30,0)),"Дублаж"))</f>
        <v>8б</v>
      </c>
      <c r="G31" s="196" t="str">
        <f>IF(COUNTIF('Програма-кодове'!$C30:$AD30,$G$2)=0,"-",IF(COUNTIF('Програма-кодове'!$C30:$AD30,$G$2)=1,INDEX('Програма-кодове'!$C$1:$AD$1,1,MATCH($G$2,'Програма-кодове'!$C30:$AD30,0)),"Дублаж"))</f>
        <v>8д</v>
      </c>
      <c r="H31" s="196" t="str">
        <f>IF(COUNTIF('Програма-кодове'!$C30:$AD30,$H$2)=0,"-",IF(COUNTIF('Програма-кодове'!$C30:$AD30,$H$2)=1,INDEX('Програма-кодове'!$C$1:$AD$1,1,MATCH($H$2,'Програма-кодове'!$C30:$AD30,0)),"Дублаж"))</f>
        <v>9д</v>
      </c>
      <c r="I31" s="196" t="str">
        <f>IF(COUNTIF('Програма-кодове'!$C30:$AD30,$I$2)=0,"-",IF(COUNTIF('Програма-кодове'!$C30:$AD30,$I$2)=1,INDEX('Програма-кодове'!$C$1:$AD$1,1,MATCH($I$2,'Програма-кодове'!$C30:$AD30,0)),"Дублаж"))</f>
        <v>-</v>
      </c>
      <c r="J31" s="196" t="str">
        <f>IF(COUNTIF('Програма-кодове'!$C30:$AD30,$J$2)=0,"-",IF(COUNTIF('Програма-кодове'!$C30:$AD30,$J$2)=1,INDEX('Програма-кодове'!$C$1:$AD$1,1,MATCH($J$2,'Програма-кодове'!$C30:$AD30,0)),"Дублаж"))</f>
        <v>8г</v>
      </c>
      <c r="K31" s="196" t="str">
        <f>IF(COUNTIF('Програма-кодове'!$C30:$AD30,$K$2)=0,"-",IF(COUNTIF('Програма-кодове'!$C30:$AD30,$K$2)=1,INDEX('Програма-кодове'!$C$1:$AD$1,1,MATCH($K$2,'Програма-кодове'!$C30:$AD30,0)),"Дублаж"))</f>
        <v>12а</v>
      </c>
      <c r="L31" s="196" t="str">
        <f>IF(COUNTIF('Програма-кодове'!$C30:$AD30,$L$2)=0,"-",IF(COUNTIF('Програма-кодове'!$C30:$AD30,$L$2)=1,INDEX('Програма-кодове'!$C$1:$AD$1,1,MATCH($L$2,'Програма-кодове'!$C30:$AD30,0)),"Дублаж"))</f>
        <v>10а</v>
      </c>
      <c r="M31" s="328" t="str">
        <f>IF(COUNTIF('Програма-кодове'!$C30:$AD30,$M$2)=0,"-",IF(COUNTIF('Програма-кодове'!$C30:$AD30,$M$2)=1,INDEX('Програма-кодове'!$C$1:$AD$1,1,MATCH($M$2,'Програма-кодове'!$C30:$AD30,0)),"Дублаж"))</f>
        <v>-</v>
      </c>
      <c r="N31" s="196" t="str">
        <f>IF(COUNTIF('Програма-кодове'!$C30:$AD30,$N$2)=0,"-",IF(COUNTIF('Програма-кодове'!$C30:$AD30,$N$2)=1,INDEX('Програма-кодове'!$C$1:$AD$1,1,MATCH($N$2,'Програма-кодове'!$C30:$AD30,0)),"Дублаж"))</f>
        <v>8в</v>
      </c>
      <c r="O31" s="196">
        <f>IF(COUNTIF('Програма-кодове'!$C30:$AD30,$O$2)=0,"-",IF(COUNTIF('Програма-кодове'!$C30:$AD30,$O$2)=1,INDEX('Програма-кодове'!$C$1:$AD$1,1,MATCH($O$2,'Програма-кодове'!$C30:$AD30,0)),"Дублаж"))</f>
        <v>5</v>
      </c>
      <c r="P31" s="346" t="str">
        <f>IF(COUNTIF('Програма-кодове'!$C30:$AD30,$P$2)=0,"-",IF(COUNTIF('Програма-кодове'!$C30:$AD30,$P$2)=1,INDEX('Програма-кодове'!$C$1:$AD$1,1,MATCH($P$2,'Програма-кодове'!$C30:$AD30,0)),"Дублаж"))</f>
        <v>-</v>
      </c>
      <c r="Q31" s="329" t="str">
        <f>IF(COUNTIF('Програма-кодове'!$C30:$AD30,$Q$2)=0,"-",IF(COUNTIF('Програма-кодове'!$C30:$AD30,$Q$2)=1,INDEX('Програма-кодове'!$C$1:$AD$1,1,MATCH($Q$2,'Програма-кодове'!$C30:$AD30,0)),"Дублаж"))</f>
        <v>9г</v>
      </c>
      <c r="R31" s="329" t="str">
        <f t="shared" si="0"/>
        <v>-</v>
      </c>
      <c r="S31" s="324" t="str">
        <f>IF(BO31&lt;&gt;"-",IF(AND(BQ31="-",BP31="-"),BO31,"Дублаж"),IF(AND(BQ31&lt;&gt;"-",BP31&lt;&gt;"-"),"Дублаж",IF(BQ31&lt;&gt;"-",BQ31,BP31)))</f>
        <v>-</v>
      </c>
      <c r="T31" s="324" t="str">
        <f t="shared" si="4"/>
        <v>-</v>
      </c>
      <c r="U31" s="196" t="str">
        <f>IF(COUNTIF('Програма-кодове'!$C30:$AD30,$U$2)=0,"-",IF(COUNTIF('Програма-кодове'!$C30:$AD30,$U$2)=1,INDEX('Програма-кодове'!$C$1:$AD$1,1,MATCH($U$2,'Програма-кодове'!$C30:$AD30,0)),"Дублаж"))</f>
        <v>12в</v>
      </c>
      <c r="V31" s="196" t="str">
        <f>IF(COUNTIF('Програма-кодове'!$C30:$AD30,$V$2)=0,"-",IF(COUNTIF('Програма-кодове'!$C30:$AD30,$V$2)=1,INDEX('Програма-кодове'!$C$1:$AD$1,1,MATCH($V$2,'Програма-кодове'!$C30:$AD30,0)),"Дублаж"))</f>
        <v>-</v>
      </c>
      <c r="W31" s="317" t="str">
        <f>IF(COUNTIF('Програма-кодове'!$C30:$AD30,$W$2)=0,"-",IF(COUNTIF('Програма-кодове'!$C30:$AD30,$W$2)=1,INDEX('Програма-кодове'!$C$1:$AD$1,1,MATCH($W$2,'Програма-кодове'!$C30:$AD30,0)),"Дублаж"))</f>
        <v>-</v>
      </c>
      <c r="X31" s="196" t="str">
        <f>IF(COUNTIF('Програма-кодове'!$C30:$AD30,$X$2)=0,"-",IF(COUNTIF('Програма-кодове'!$C30:$AD30,$X$2)=1,INDEX('Програма-кодове'!$C$1:$AD$1,1,MATCH($X$2,'Програма-кодове'!$C30:$AD30,0)),"Дублаж"))</f>
        <v>-</v>
      </c>
      <c r="Y31" s="196" t="str">
        <f>IF(COUNTIF('Програма-кодове'!$C30:$AD30,$Y$2)=0,"-",IF(COUNTIF('Програма-кодове'!$C30:$AD30,$Y$2)=1,INDEX('Програма-кодове'!$C$1:$AD$1,1,MATCH($Y$2,'Програма-кодове'!$C30:$AD30,0)),"Дублаж"))</f>
        <v>-</v>
      </c>
      <c r="Z31" s="196">
        <f>IF(COUNTIF('Програма-кодове'!$C30:$AD30,$Z$2)=0,"-",IF(COUNTIF('Програма-кодове'!$C30:$AD30,$Z$2)=1,INDEX('Програма-кодове'!$C$1:$AD$1,1,MATCH($Z$2,'Програма-кодове'!$C30:$AD30,0)),"Дублаж"))</f>
        <v>6</v>
      </c>
      <c r="AA31" s="324" t="str">
        <f>IF(BH31&lt;&gt;"-",IF(AND(BL31="-",BI31="-"),BH31,"Дублаж"),IF(BL31&lt;&gt;"-",IF(BI31="-",BL31,"Дублаж"),BI31))</f>
        <v>12г</v>
      </c>
      <c r="AB31" s="324" t="str">
        <f t="shared" si="6"/>
        <v>-</v>
      </c>
      <c r="AC31" s="324" t="str">
        <f t="shared" si="7"/>
        <v>10б</v>
      </c>
      <c r="AD31" s="324" t="str">
        <f t="shared" si="8"/>
        <v>10б</v>
      </c>
      <c r="AE31" s="324" t="str">
        <f t="shared" si="9"/>
        <v>12г</v>
      </c>
      <c r="AF31" s="324" t="str">
        <f t="shared" si="10"/>
        <v>11в</v>
      </c>
      <c r="AG31" s="324" t="str">
        <f t="shared" si="28"/>
        <v>-</v>
      </c>
      <c r="AH31" s="324" t="str">
        <f t="shared" si="12"/>
        <v>11в</v>
      </c>
      <c r="AI31" s="196" t="str">
        <f t="shared" si="13"/>
        <v>-</v>
      </c>
      <c r="AJ31" s="324" t="str">
        <f t="shared" si="14"/>
        <v>9в</v>
      </c>
      <c r="AK31" s="196" t="str">
        <f>IF(COUNTIF('Програма-кодове'!$C30:$AD30,$AK$2)=0,"-",IF(COUNTIF('Програма-кодове'!$C30:$AD30,$AK$2)=1,INDEX('Програма-кодове'!$C$1:$AD$1,1,MATCH($AK$2,'Програма-кодове'!$C30:$AD30,0)),"Дублаж"))</f>
        <v>11д</v>
      </c>
      <c r="AL31" s="196" t="str">
        <f>IF(COUNTIF('Програма-кодове'!$C30:$AD30,$AL$2)=0,"-",IF(COUNTIF('Програма-кодове'!$C30:$AD30,$AL$2)=1,INDEX('Програма-кодове'!$C$1:$AD$1,1,MATCH($AL$2,'Програма-кодове'!$C30:$AD30,0)),"Дублаж"))</f>
        <v>9а</v>
      </c>
      <c r="AM31" s="194" t="str">
        <f>IF(COUNTIF('Програма-кодове'!$C30:$AD30,$AM$2)=0,"-",IF(COUNTIF('Програма-кодове'!$C30:$AD30,$AM$2)=1,INDEX('Програма-кодове'!$C$1:$AD$1,1,MATCH($AM$2,'Програма-кодове'!$C30:$AD30,0)),"Дублаж"))</f>
        <v>-</v>
      </c>
      <c r="AN31" s="346" t="str">
        <f>IF(COUNTIF('Програма-кодове'!$C30:$AD30,$AN$2)=0,"-",IF(COUNTIF('Програма-кодове'!$C30:$AD30,$AN$2)=1,INDEX('Програма-кодове'!$C$1:$AD$1,1,MATCH($AN$2,'Програма-кодове'!$C30:$AD30,0)),"Дублаж"))</f>
        <v>10д</v>
      </c>
      <c r="AO31" s="346" t="str">
        <f>IF(COUNTIF('Програма-кодове'!$C30:$AD30,$AO$2)=0,"-",IF(COUNTIF('Програма-кодове'!$C30:$AD30,$AO$2)=1,INDEX('Програма-кодове'!$C$1:$AD$1,1,MATCH($AO$2,'Програма-кодове'!$C30:$AD30,0)),"Дублаж"))</f>
        <v>10в</v>
      </c>
      <c r="AP31" s="346" t="str">
        <f>IF(COUNTIF('Програма-кодове'!$C30:$AD30,$AP$2)=0,"-",IF(COUNTIF('Програма-кодове'!$C30:$AD30,$AP$2)=1,INDEX('Програма-кодове'!$C$1:$AD$1,1,MATCH($AP$2,'Програма-кодове'!$C30:$AD30,0)),"Дублаж"))</f>
        <v>-</v>
      </c>
      <c r="AQ31" s="346" t="str">
        <f t="shared" si="15"/>
        <v>11г</v>
      </c>
      <c r="AR31" s="346" t="str">
        <f>IF(COUNTIF('Програма-кодове'!$C30:$AD30,$AR$2)=0,"-",IF(COUNTIF('Програма-кодове'!$C30:$AD30,$AR$2)=1,INDEX('Програма-кодове'!$C$1:$AD$1,1,MATCH($AR$2,'Програма-кодове'!$C30:$AD30,0)),"Дублаж"))</f>
        <v>12д</v>
      </c>
      <c r="AS31" s="346" t="str">
        <f>IF(COUNTIF('Програма-кодове'!$C30:$AD30,$AS$2)=0,"-",IF(COUNTIF('Програма-кодове'!$C30:$AD30,$AS$2)=1,INDEX('Програма-кодове'!$C$1:$AD$1,1,MATCH($AS$2,'Програма-кодове'!$C30:$AD30,0)),"Дублаж"))</f>
        <v>-</v>
      </c>
      <c r="AT31" s="346">
        <f>IF(COUNTIF('Програма-кодове'!$C30:$AD30,$AT$2)=0,"-",IF(COUNTIF('Програма-кодове'!$C30:$AD30,$AT$2)=1,INDEX('Програма-кодове'!$C$1:$AD$1,1,MATCH($AT$2,'Програма-кодове'!$C30:$AD30,0)),"Дублаж"))</f>
        <v>7</v>
      </c>
      <c r="AU31" s="196" t="str">
        <f t="shared" si="25"/>
        <v>10г</v>
      </c>
      <c r="AV31" s="194" t="str">
        <f t="shared" si="2"/>
        <v>9б</v>
      </c>
      <c r="AW31" s="196" t="str">
        <f>IF(COUNTIF('Програма-кодове'!$C30:$AD30,$AW$2)=0,"-",IF(COUNTIF('Програма-кодове'!$C30:$AD30,$AW$2)=1,INDEX('Програма-кодове'!$C$1:$AD$1,1,MATCH($AW$2,'Програма-кодове'!$C30:$AD30,0)),"Дублаж"))</f>
        <v>11б</v>
      </c>
      <c r="AX31" s="196" t="str">
        <f>IF(COUNTIF('Програма-кодове'!$C30:$AD30,$AX$2)=0,"-",IF(COUNTIF('Програма-кодове'!$C30:$AD30,$AX$2)=1,INDEX('Програма-кодове'!$C$1:$AD$1,1,MATCH($AX$2,'Програма-кодове'!$C30:$AD30,0)),"Дублаж"))</f>
        <v>-</v>
      </c>
      <c r="AY31" s="196" t="str">
        <f>IF(COUNTIF('Програма-кодове'!$C30:$AD30,$AY$2)=0,"-",IF(COUNTIF('Програма-кодове'!$C30:$AD30,$AY$2)=1,INDEX('Програма-кодове'!$C$1:$AD$1,1,MATCH($AY$2,'Програма-кодове'!$C30:$AD30,0)),"Дублаж"))</f>
        <v>-</v>
      </c>
      <c r="AZ31" s="333" t="str">
        <f t="shared" si="16"/>
        <v>12б</v>
      </c>
      <c r="BA31" s="30" t="str">
        <f>IF(COUNTIF('Програма-кодове'!$C30:$AD30,$BA$2)=0,"-",IF(COUNTIF('Програма-кодове'!$C30:$AD30,$BA$2)=1,INDEX('Програма-кодове'!$C$1:$AD$1,1,MATCH($BA$2,'Програма-кодове'!$C30:$AD30,0)),"Дублаж"))</f>
        <v>-</v>
      </c>
      <c r="BB31" s="30" t="str">
        <f>IF(COUNTIF('Програма-кодове'!$C30:$AD30,$BB$2)=0,"-",IF(COUNTIF('Програма-кодове'!$C30:$AD30,$BB$2)=1,INDEX('Програма-кодове'!$C$1:$AD$1,1,MATCH($BB$2,'Програма-кодове'!$C30:$AD30,0)),"Дублаж"))</f>
        <v>-</v>
      </c>
      <c r="BC31" s="30" t="str">
        <f>IF(COUNTIF('Програма-кодове'!$C30:$AD30,$BC$2)=0,"-",IF(COUNTIF('Програма-кодове'!$C30:$AD30,$BC$2)=1,INDEX('Програма-кодове'!$C$1:$AD$1,1,MATCH($BC$2,'Програма-кодове'!$C30:$AD30,0)),"Дублаж"))</f>
        <v>-</v>
      </c>
      <c r="BD31" s="30" t="str">
        <f>IF(COUNTIF('Програма-кодове'!$C30:$AD30,$BD$2)=0,"-",IF(COUNTIF('Програма-кодове'!$C30:$AD30,$BD$2)=1,INDEX('Програма-кодове'!$C$1:$AD$1,1,MATCH($BD$2,'Програма-кодове'!$C30:$AD30,0)),"Дублаж"))</f>
        <v>10б</v>
      </c>
      <c r="BE31" s="30" t="str">
        <f>IF(COUNTIF('Програма-кодове'!$C30:$AD30,$BE$2)=0,"-",IF(COUNTIF('Програма-кодове'!$C30:$AD30,$BE$2)=1,INDEX('Програма-кодове'!$C$1:$AD$1,1,MATCH($BE$2,'Програма-кодове'!$C30:$AD30,0)),"Дублаж"))</f>
        <v>11в</v>
      </c>
      <c r="BF31" s="30" t="str">
        <f>IF(COUNTIF('Програма-кодове'!$C30:$AD30,$BF$2)=0,"-",IF(COUNTIF('Програма-кодове'!$C30:$AD30,$BF$2)=1,INDEX('Програма-кодове'!$C$1:$AD$1,1,MATCH($BF$2,'Програма-кодове'!$C30:$AD30,0)),"Дублаж"))</f>
        <v>-</v>
      </c>
      <c r="BG31" s="30" t="str">
        <f>IF(COUNTIF('Програма-кодове'!$C30:$AD30,$BG$2)=0,"-",IF(COUNTIF('Програма-кодове'!$C30:$AD30,$BG$2)=1,INDEX('Програма-кодове'!$C$1:$AD$1,1,MATCH($BG$2,'Програма-кодове'!$C30:$AD30,0)),"Дублаж"))</f>
        <v>-</v>
      </c>
      <c r="BH31" s="30" t="str">
        <f>IF(COUNTIF('Програма-кодове'!$C30:$AD30,$BH$2)=0,"-",IF(COUNTIF('Програма-кодове'!$C30:$AD30,$BH$2)=1,INDEX('Програма-кодове'!$C$1:$AD$1,1,MATCH($BH$2,'Програма-кодове'!$C30:$AD30,0)),"Дублаж"))</f>
        <v>12г</v>
      </c>
      <c r="BI31" s="94" t="str">
        <f>IF(COUNTIF('Програма-кодове'!$C30:$AD30,$BI$2)=0,"-",IF(COUNTIF('Програма-кодове'!$C30:$AD30,$BI$2)=1,INDEX('Програма-кодове'!$C$1:$AD$1,1,MATCH($BI$2,'Програма-кодове'!$C30:$AD30,0)),IF('Програма-кодове'!Z30='Програма-кодове'!AA30,"12а,б","Дублаж")))</f>
        <v>-</v>
      </c>
      <c r="BJ31" s="94" t="str">
        <f>IF(COUNTIF('Програма-кодове'!$C30:$AD30,$BJ$2)=0,"-",IF(COUNTIF('Програма-кодове'!$C30:$AD30,$BJ$2)=1,INDEX('Програма-кодове'!$C$1:$AD$1,1,MATCH($BJ$2,'Програма-кодове'!$C30:$AD30,0)),"Дублаж"))</f>
        <v>-</v>
      </c>
      <c r="BK31" s="94" t="str">
        <f>IF(COUNTIF('Програма-кодове'!$C30:$AD30,$BK$2)=0,"-",IF(COUNTIF('Програма-кодове'!$C30:$AD30,$BK$2)=1,INDEX('Програма-кодове'!$C$1:$AD$1,1,MATCH($BK$2,'Програма-кодове'!$C30:$AD30,0)),IF('Програма-кодове'!K30='Програма-кодове'!O30,"9а,д",IF('Програма-кодове'!L30='Програма-кодове'!M30,"9б,в","Дублаж"))))</f>
        <v>-</v>
      </c>
      <c r="BL31" s="30" t="str">
        <f>IF(COUNTIF('Програма-кодове'!$C30:$AD30,$BL$2)=0,"-",IF(COUNTIF('Програма-кодове'!$C30:$AD30,$BL$2)=1,INDEX('Програма-кодове'!$C$1:$AD$1,1,MATCH($BL$2,'Програма-кодове'!$C30:$AD30,0)),"Дублаж"))</f>
        <v>-</v>
      </c>
      <c r="BM31" s="30" t="str">
        <f>IF(COUNTIF('Програма-кодове'!$C30:$AD30,$BM$2)=0,"-",IF(COUNTIF('Програма-кодове'!$C30:$AD30,$BM$2)=1,INDEX('Програма-кодове'!$C$1:$AD$1,1,MATCH($BM$2,'Програма-кодове'!$C30:$AD30,0)),"Дублаж"))</f>
        <v>-</v>
      </c>
      <c r="BN31" s="77" t="str">
        <f>IF(COUNTIF('Програма-кодове'!$C30:$AD30,$BN$2)=0,"-",IF(COUNTIF('Програма-кодове'!$C30:$AD30,$BN$2)=1,INDEX('Програма-кодове'!$C$1:$AD$1,1,MATCH($BN$2,'Програма-кодове'!$C30:$AD30,0)),IF(AND('Програма-кодове'!K30='Програма-кодове'!O30,'Програма-кодове'!K30&lt;&gt;""),"9а, д", IF(AND('Програма-кодове'!U30='Програма-кодове'!W30,'Програма-кодове'!U30&lt;&gt;""),"11а,в", "Дублаж"))))</f>
        <v>-</v>
      </c>
      <c r="BO31" s="77" t="str">
        <f>IF(COUNTIF('Програма-кодове'!$C30:$AD30,$BO$2)=0,"-",IF(COUNTIF('Програма-кодове'!$C30:$AD30,$BO$2)=1,INDEX('Програма-кодове'!$C$1:$AD$1,1,MATCH($BO$2,'Програма-кодове'!$C30:$AD30,0)),IF(AND('Програма-кодове'!U30='Програма-кодове'!W30,'Програма-кодове'!U30&lt;&gt;"" ),"11a,в","Дублаж")))</f>
        <v>-</v>
      </c>
      <c r="BP31" s="30" t="str">
        <f>IF(COUNTIF('Програма-кодове'!$C30:$AD30,$BP$2)=0,"-",IF(COUNTIF('Програма-кодове'!$C30:$AD30,$BP$2)=1,"9б,в,г","Дублаж"))</f>
        <v>-</v>
      </c>
      <c r="BQ31" s="30" t="str">
        <f>IF(COUNTIF('Програма-кодове'!$C30:$AD30,$BQ$2)=0,"-",IF(COUNTIF('Програма-кодове'!$C30:$AD30,$BQ$2)=1,INDEX('Програма-кодове'!$C$1:$AD$1,1,MATCH($BQ$2,'Програма-кодове'!$C30:$AD30,0)),"Дублаж"))</f>
        <v>-</v>
      </c>
      <c r="BR31" s="30" t="str">
        <f>IF(COUNTIF('Програма-кодове'!$C30:$AD30,$BR$2)=0,"-",IF(COUNTIF('Програма-кодове'!$C30:$AD30,$BR$2)=1,INDEX('Програма-кодове'!$C$1:$AD$1,1,MATCH($BR$2,'Програма-кодове'!$C30:$AD30,0)),IF('Програма-кодове'!W30='Програма-кодове'!X30,"11б,в","Дублаж")))</f>
        <v>-</v>
      </c>
      <c r="BS31" s="30" t="str">
        <f>IF(COUNTIF('Програма-кодове'!$C30:$AD30,$BS$2)=0,"-",IF(COUNTIF('Програма-кодове'!$C30:$AD30,$BS$2)=1,INDEX('Програма-кодове'!$C$1:$AD$1,1,MATCH($BS$2,'Програма-кодове'!$C30:$AD30,0)),"Дублаж"))</f>
        <v>12б</v>
      </c>
      <c r="BT31" s="193" t="str">
        <f t="shared" si="17"/>
        <v>-</v>
      </c>
      <c r="BU31" s="30" t="str">
        <f>IF(COUNTIF('Програма-кодове'!$C30:$AD30,$BU$2)=0,"-",IF(COUNTIF('Програма-кодове'!$C30:$AD30,$BU$2)=1,INDEX('Програма-кодове'!$C$1:$AD$1,1,MATCH($BU$2,'Програма-кодове'!$C30:$AD30,0)),"Дублаж"))</f>
        <v>-</v>
      </c>
      <c r="BV31" s="30" t="str">
        <f>IF(COUNTIF('Програма-кодове'!$C30:$AD30,$BV$2)=0,"-",IF(COUNTIF('Програма-кодове'!$C30:$AD30,$BV$2)=1,INDEX('Програма-кодове'!$C$1:$AD$1,1,MATCH($BV$2,'Програма-кодове'!$C30:$AD30,0)),"Дублаж"))</f>
        <v>10г</v>
      </c>
      <c r="BW31" s="30" t="str">
        <f>IF(COUNTIF('Програма-кодове'!$C30:$AD30,$BW$2)=0,"-",IF(COUNTIF('Програма-кодове'!$C30:$AD30,$BW$2)=1,INDEX('Програма-кодове'!$C$1:$AD$1,1,MATCH($BW$2,'Програма-кодове'!$C30:$AD30,0)),"Дублаж"))</f>
        <v>-</v>
      </c>
      <c r="BX31" s="30" t="str">
        <f>IF(COUNTIF('Програма-кодове'!$C30:$AD30,$BX$2)=0,"-",IF(COUNTIF('Програма-кодове'!$C30:$AD30,$BX$2)=1,INDEX('Програма-кодове'!$C$1:$AD$1,1,MATCH($BX$2,'Програма-кодове'!$C30:$AD30,0)),"Дублаж"))</f>
        <v>9б</v>
      </c>
      <c r="BY31" s="30" t="str">
        <f>IF(COUNTIF('Програма-кодове'!$C30:$AD30,$BY$2)=0,"-",IF(COUNTIF('Програма-кодове'!$C30:$AD30,$BY$2)=1,INDEX('Програма-кодове'!$C$1:$AD$1,1,MATCH($BY$2,'Програма-кодове'!$C30:$AD30,0)),"Дублаж"))</f>
        <v>-</v>
      </c>
      <c r="BZ31" s="30" t="str">
        <f>IF(COUNTIF('Програма-кодове'!$C30:$AD30,$BZ$2)=0,"-",IF(COUNTIF('Програма-кодове'!$C30:$AD30,$BZ$2)=1,INDEX('Програма-кодове'!$C$1:$AD$1,1,MATCH($BZ$2,'Програма-кодове'!$C30:$AD30,0)),"Дублаж"))</f>
        <v>-</v>
      </c>
      <c r="CA31" s="30" t="str">
        <f>IF(COUNTIF('Програма-кодове'!$C30:$AD30,$CA$2)=0,"-",IF(COUNTIF('Програма-кодове'!$C30:$AD30,$CA$2)=1,INDEX('Програма-кодове'!$C$1:$AD$1,1,MATCH($CA$2,'Програма-кодове'!$C30:$AD30,0)),"Дублаж"))</f>
        <v>-</v>
      </c>
      <c r="CB31" s="30" t="str">
        <f>IF(COUNTIF('Програма-кодове'!$C30:$AD30,$CB$2)=0,"-",IF(COUNTIF('Програма-кодове'!$C30:$AD30,$CB$2)=1,INDEX('Програма-кодове'!$C$1:$AD$1,1,MATCH($CB$2,'Програма-кодове'!$C30:$AD30,0)),"Дублаж"))</f>
        <v>11г</v>
      </c>
      <c r="CC31" s="30" t="str">
        <f>IF(COUNTIF('Програма-кодове'!$C30:$AD30,$CC$2)=0,"-",IF(COUNTIF('Програма-кодове'!$C30:$AD30,$CC$2)=1,INDEX('Програма-кодове'!$C$1:$AD$1,1,MATCH($CC$2,'Програма-кодове'!$C30:$AD30,0)),"Дублаж"))</f>
        <v>9в</v>
      </c>
      <c r="CD31" s="30" t="str">
        <f>IF(COUNTIF('Програма-кодове'!$C30:$AD30,$CD$2)=0,"-",IF(COUNTIF('Програма-кодове'!$C30:$AD30,$CD$2)=1,INDEX('Програма-кодове'!$C$1:$AD$1,1,MATCH($CD$2,'Програма-кодове'!$C30:$AD30,0)),"Дублаж"))</f>
        <v>-</v>
      </c>
      <c r="CE31" s="30" t="str">
        <f>IF(COUNTIF('Програма-кодове'!$C30:$AD30,$CE$2)=0,"-",IF(COUNTIF('Програма-кодове'!$C30:$AD30,$CE$2)=1,INDEX('Програма-кодове'!$C$1:$AD$1,1,MATCH($CE$2,'Програма-кодове'!$C30:$AD30,0)),"Дублаж"))</f>
        <v>-</v>
      </c>
    </row>
    <row r="32" spans="1:83" ht="13.5" customHeight="1">
      <c r="A32" s="367"/>
      <c r="B32" s="330">
        <v>2</v>
      </c>
      <c r="C32" s="194" t="str">
        <f>IF(COUNTIF('Програма-кодове'!$C31:$AD31,$C$2)=0,"-",IF(COUNTIF('Програма-кодове'!$C31:$AD31,$C$2)=1,INDEX('Програма-кодове'!$C$1:$AD$1,1,MATCH($C$2,'Програма-кодове'!$C31:$AD31,0)),"Дублаж"))</f>
        <v>-</v>
      </c>
      <c r="D32" s="319" t="str">
        <f>IF(COUNTIF('Програма-кодове'!$C31:$AD31,$D$2)=0,"-",IF(COUNTIF('Програма-кодове'!$C31:$AD31,$D$2)=1,INDEX('Програма-кодове'!$C$1:$AD$1,1,MATCH($D$2,'Програма-кодове'!$C31:$AD31,0)),"Дублаж"))</f>
        <v>11а</v>
      </c>
      <c r="E32" s="194" t="str">
        <f>IF(COUNTIF('Програма-кодове'!$C31:$AD31,$E$2)=0,"-",IF(COUNTIF('Програма-кодове'!$C31:$AD31,$E$2)=1,INDEX('Програма-кодове'!$C$1:$AD$1,1,MATCH($E$2,'Програма-кодове'!$C31:$AD31,0)),"Дублаж"))</f>
        <v>8a</v>
      </c>
      <c r="F32" s="196" t="str">
        <f>IF(COUNTIF('Програма-кодове'!$C31:$AD31,$F$2)=0,"-",IF(COUNTIF('Програма-кодове'!$C31:$AD31,$F$2)=1,INDEX('Програма-кодове'!$C$1:$AD$1,1,MATCH($F$2,'Програма-кодове'!$C31:$AD31,0)),"Дублаж"))</f>
        <v>8б</v>
      </c>
      <c r="G32" s="194" t="str">
        <f>IF(COUNTIF('Програма-кодове'!$C31:$AD31,$G$2)=0,"-",IF(COUNTIF('Програма-кодове'!$C31:$AD31,$G$2)=1,INDEX('Програма-кодове'!$C$1:$AD$1,1,MATCH($G$2,'Програма-кодове'!$C31:$AD31,0)),"Дублаж"))</f>
        <v>12д</v>
      </c>
      <c r="H32" s="196" t="str">
        <f>IF(COUNTIF('Програма-кодове'!$C31:$AD31,$H$2)=0,"-",IF(COUNTIF('Програма-кодове'!$C31:$AD31,$H$2)=1,INDEX('Програма-кодове'!$C$1:$AD$1,1,MATCH($H$2,'Програма-кодове'!$C31:$AD31,0)),"Дублаж"))</f>
        <v>9в</v>
      </c>
      <c r="I32" s="194" t="str">
        <f>IF(COUNTIF('Програма-кодове'!$C31:$AD31,$I$2)=0,"-",IF(COUNTIF('Програма-кодове'!$C31:$AD31,$I$2)=1,INDEX('Програма-кодове'!$C$1:$AD$1,1,MATCH($I$2,'Програма-кодове'!$C31:$AD31,0)),"Дублаж"))</f>
        <v>11б</v>
      </c>
      <c r="J32" s="194" t="str">
        <f>IF(COUNTIF('Програма-кодове'!$C31:$AD31,$J$2)=0,"-",IF(COUNTIF('Програма-кодове'!$C31:$AD31,$J$2)=1,INDEX('Програма-кодове'!$C$1:$AD$1,1,MATCH($J$2,'Програма-кодове'!$C31:$AD31,0)),"Дублаж"))</f>
        <v>8г</v>
      </c>
      <c r="K32" s="196" t="str">
        <f>IF(COUNTIF('Програма-кодове'!$C31:$AD31,$K$2)=0,"-",IF(COUNTIF('Програма-кодове'!$C31:$AD31,$K$2)=1,INDEX('Програма-кодове'!$C$1:$AD$1,1,MATCH($K$2,'Програма-кодове'!$C31:$AD31,0)),"Дублаж"))</f>
        <v>12б</v>
      </c>
      <c r="L32" s="194" t="str">
        <f>IF(COUNTIF('Програма-кодове'!$C31:$AD31,$L$2)=0,"-",IF(COUNTIF('Програма-кодове'!$C31:$AD31,$L$2)=1,INDEX('Програма-кодове'!$C$1:$AD$1,1,MATCH($L$2,'Програма-кодове'!$C31:$AD31,0)),"Дублаж"))</f>
        <v>10г</v>
      </c>
      <c r="M32" s="319" t="str">
        <f>IF(COUNTIF('Програма-кодове'!$C31:$AD31,$M$2)=0,"-",IF(COUNTIF('Програма-кодове'!$C31:$AD31,$M$2)=1,INDEX('Програма-кодове'!$C$1:$AD$1,1,MATCH($M$2,'Програма-кодове'!$C31:$AD31,0)),"Дублаж"))</f>
        <v>-</v>
      </c>
      <c r="N32" s="196" t="str">
        <f>IF(COUNTIF('Програма-кодове'!$C31:$AD31,$N$2)=0,"-",IF(COUNTIF('Програма-кодове'!$C31:$AD31,$N$2)=1,INDEX('Програма-кодове'!$C$1:$AD$1,1,MATCH($N$2,'Програма-кодове'!$C31:$AD31,0)),"Дублаж"))</f>
        <v>8в</v>
      </c>
      <c r="O32" s="194" t="str">
        <f>IF(COUNTIF('Програма-кодове'!$C31:$AD31,$O$2)=0,"-",IF(COUNTIF('Програма-кодове'!$C31:$AD31,$O$2)=1,INDEX('Програма-кодове'!$C$1:$AD$1,1,MATCH($O$2,'Програма-кодове'!$C31:$AD31,0)),"Дублаж"))</f>
        <v>-</v>
      </c>
      <c r="P32" s="194" t="str">
        <f>IF(COUNTIF('Програма-кодове'!$C31:$AD31,$P$2)=0,"-",IF(COUNTIF('Програма-кодове'!$C31:$AD31,$P$2)=1,INDEX('Програма-кодове'!$C$1:$AD$1,1,MATCH($P$2,'Програма-кодове'!$C31:$AD31,0)),"Дублаж"))</f>
        <v>-</v>
      </c>
      <c r="Q32" s="316" t="str">
        <f>IF(COUNTIF('Програма-кодове'!$C31:$AD31,$Q$2)=0,"-",IF(COUNTIF('Програма-кодове'!$C31:$AD31,$Q$2)=1,INDEX('Програма-кодове'!$C$1:$AD$1,1,MATCH($Q$2,'Програма-кодове'!$C31:$AD31,0)),"Дублаж"))</f>
        <v>9г</v>
      </c>
      <c r="R32" s="316" t="str">
        <f t="shared" si="0"/>
        <v>-</v>
      </c>
      <c r="S32" s="193" t="str">
        <f t="shared" si="3"/>
        <v>-</v>
      </c>
      <c r="T32" s="193" t="str">
        <f t="shared" si="4"/>
        <v>-</v>
      </c>
      <c r="U32" s="196" t="str">
        <f>IF(COUNTIF('Програма-кодове'!$C31:$AD31,$U$2)=0,"-",IF(COUNTIF('Програма-кодове'!$C31:$AD31,$U$2)=1,INDEX('Програма-кодове'!$C$1:$AD$1,1,MATCH($U$2,'Програма-кодове'!$C31:$AD31,0)),"Дублаж"))</f>
        <v>12в</v>
      </c>
      <c r="V32" s="194" t="str">
        <f>IF(COUNTIF('Програма-кодове'!$C31:$AD31,$V$2)=0,"-",IF(COUNTIF('Програма-кодове'!$C31:$AD31,$V$2)=1,INDEX('Програма-кодове'!$C$1:$AD$1,1,MATCH($V$2,'Програма-кодове'!$C31:$AD31,0)),"Дублаж"))</f>
        <v>-</v>
      </c>
      <c r="W32" s="317" t="str">
        <f>IF(COUNTIF('Програма-кодове'!$C31:$AD31,$W$2)=0,"-",IF(COUNTIF('Програма-кодове'!$C31:$AD31,$W$2)=1,INDEX('Програма-кодове'!$C$1:$AD$1,1,MATCH($W$2,'Програма-кодове'!$C31:$AD31,0)),"Дублаж"))</f>
        <v>-</v>
      </c>
      <c r="X32" s="194" t="str">
        <f>IF(COUNTIF('Програма-кодове'!$C31:$AD31,$X$2)=0,"-",IF(COUNTIF('Програма-кодове'!$C31:$AD31,$X$2)=1,INDEX('Програма-кодове'!$C$1:$AD$1,1,MATCH($X$2,'Програма-кодове'!$C31:$AD31,0)),"Дублаж"))</f>
        <v>-</v>
      </c>
      <c r="Y32" s="194" t="str">
        <f>IF(COUNTIF('Програма-кодове'!$C31:$AD31,$Y$2)=0,"-",IF(COUNTIF('Програма-кодове'!$C31:$AD31,$Y$2)=1,INDEX('Програма-кодове'!$C$1:$AD$1,1,MATCH($Y$2,'Програма-кодове'!$C31:$AD31,0)),"Дублаж"))</f>
        <v>-</v>
      </c>
      <c r="Z32" s="194" t="str">
        <f>IF(COUNTIF('Програма-кодове'!$C31:$AD31,$Z$2)=0,"-",IF(COUNTIF('Програма-кодове'!$C31:$AD31,$Z$2)=1,INDEX('Програма-кодове'!$C$1:$AD$1,1,MATCH($Z$2,'Програма-кодове'!$C31:$AD31,0)),"Дублаж"))</f>
        <v>10б</v>
      </c>
      <c r="AA32" s="193" t="str">
        <f t="shared" si="5"/>
        <v>12г</v>
      </c>
      <c r="AB32" s="193" t="str">
        <f t="shared" si="6"/>
        <v>-</v>
      </c>
      <c r="AC32" s="193" t="str">
        <f t="shared" si="7"/>
        <v>10в</v>
      </c>
      <c r="AD32" s="193" t="str">
        <f t="shared" si="8"/>
        <v>10в</v>
      </c>
      <c r="AE32" s="193" t="str">
        <f t="shared" si="9"/>
        <v>12г</v>
      </c>
      <c r="AF32" s="193" t="str">
        <f t="shared" si="10"/>
        <v>11г</v>
      </c>
      <c r="AG32" s="193" t="str">
        <f>IF(BA32&lt;&gt;"-",IF(AND(BC32="-",BG32="-",BF32="-",BM32="-",BI32="-"),BA32,"Дублаж"),IF(BC32&lt;&gt;"-",IF(AND(BG32="-",BF32="-",BM32="-",BI32="-"),BC32,"Дублаж"),IF(BG32&lt;&gt;"-",IF(AND(BF32="-",BM32="-",BI32="-"),BG32,"Дублаж"),IF(BF32&lt;&gt;"-",IF(AND(BM32="-",BI32="-"),BF32,"Дублаж"),IF(BM32&lt;&gt;"-",IF(BI32="-",BM32,BI32),BI32)))))</f>
        <v>-</v>
      </c>
      <c r="AH32" s="193" t="str">
        <f t="shared" si="12"/>
        <v>11г</v>
      </c>
      <c r="AI32" s="194" t="str">
        <f t="shared" si="13"/>
        <v>-</v>
      </c>
      <c r="AJ32" s="193" t="str">
        <f t="shared" si="14"/>
        <v>9д</v>
      </c>
      <c r="AK32" s="194" t="str">
        <f>IF(COUNTIF('Програма-кодове'!$C31:$AD31,$AK$2)=0,"-",IF(COUNTIF('Програма-кодове'!$C31:$AD31,$AK$2)=1,INDEX('Програма-кодове'!$C$1:$AD$1,1,MATCH($AK$2,'Програма-кодове'!$C31:$AD31,0)),"Дублаж"))</f>
        <v>12а</v>
      </c>
      <c r="AL32" s="196">
        <f>IF(COUNTIF('Програма-кодове'!$C31:$AD31,$AL$2)=0,"-",IF(COUNTIF('Програма-кодове'!$C31:$AD31,$AL$2)=1,INDEX('Програма-кодове'!$C$1:$AD$1,1,MATCH($AL$2,'Програма-кодове'!$C31:$AD31,0)),"Дублаж"))</f>
        <v>5</v>
      </c>
      <c r="AM32" s="94" t="str">
        <f>IF(COUNTIF('Програма-кодове'!$C31:$AD31,$AM$2)=0,"-",IF(COUNTIF('Програма-кодове'!$C31:$AD31,$AM$2)=1,INDEX('Програма-кодове'!$C$1:$AD$1,1,MATCH($AM$2,'Програма-кодове'!$C31:$AD31,0)),"Дублаж"))</f>
        <v>-</v>
      </c>
      <c r="AN32" s="193" t="str">
        <f>IF(COUNTIF('Програма-кодове'!$C31:$AD31,$AN$2)=0,"-",IF(COUNTIF('Програма-кодове'!$C31:$AD31,$AN$2)=1,INDEX('Програма-кодове'!$C$1:$AD$1,1,MATCH($AN$2,'Програма-кодове'!$C31:$AD31,0)),"Дублаж"))</f>
        <v>10а</v>
      </c>
      <c r="AO32" s="193" t="str">
        <f>IF(COUNTIF('Програма-кодове'!$C31:$AD31,$AO$2)=0,"-",IF(COUNTIF('Програма-кодове'!$C31:$AD31,$AO$2)=1,INDEX('Програма-кодове'!$C$1:$AD$1,1,MATCH($AO$2,'Програма-кодове'!$C31:$AD31,0)),"Дублаж"))</f>
        <v>9а</v>
      </c>
      <c r="AP32" s="193" t="str">
        <f>IF(COUNTIF('Програма-кодове'!$C31:$AD31,$AP$2)=0,"-",IF(COUNTIF('Програма-кодове'!$C31:$AD31,$AP$2)=1,INDEX('Програма-кодове'!$C$1:$AD$1,1,MATCH($AP$2,'Програма-кодове'!$C31:$AD31,0)),"Дублаж"))</f>
        <v>-</v>
      </c>
      <c r="AQ32" s="193" t="str">
        <f t="shared" si="15"/>
        <v>-</v>
      </c>
      <c r="AR32" s="193" t="str">
        <f>IF(COUNTIF('Програма-кодове'!$C31:$AD31,$AR$2)=0,"-",IF(COUNTIF('Програма-кодове'!$C31:$AD31,$AR$2)=1,INDEX('Програма-кодове'!$C$1:$AD$1,1,MATCH($AR$2,'Програма-кодове'!$C31:$AD31,0)),"Дублаж"))</f>
        <v>10д</v>
      </c>
      <c r="AS32" s="193" t="str">
        <f>IF(COUNTIF('Програма-кодове'!$C31:$AD31,$AS$2)=0,"-",IF(COUNTIF('Програма-кодове'!$C31:$AD31,$AS$2)=1,INDEX('Програма-кодове'!$C$1:$AD$1,1,MATCH($AS$2,'Програма-кодове'!$C31:$AD31,0)),"Дублаж"))</f>
        <v>-</v>
      </c>
      <c r="AT32" s="193" t="str">
        <f>IF(COUNTIF('Програма-кодове'!$C31:$AD31,$AT$2)=0,"-",IF(COUNTIF('Програма-кодове'!$C31:$AD31,$AT$2)=1,INDEX('Програма-кодове'!$C$1:$AD$1,1,MATCH($AT$2,'Програма-кодове'!$C31:$AD31,0)),"Дублаж"))</f>
        <v>11д</v>
      </c>
      <c r="AU32" s="194">
        <f t="shared" si="25"/>
        <v>6</v>
      </c>
      <c r="AV32" s="94">
        <f t="shared" si="2"/>
        <v>7</v>
      </c>
      <c r="AW32" s="194" t="str">
        <f>IF(COUNTIF('Програма-кодове'!$C31:$AD31,$AW$2)=0,"-",IF(COUNTIF('Програма-кодове'!$C31:$AD31,$AW$2)=1,INDEX('Програма-кодове'!$C$1:$AD$1,1,MATCH($AW$2,'Програма-кодове'!$C31:$AD31,0)),"Дублаж"))</f>
        <v>11в</v>
      </c>
      <c r="AX32" s="194" t="str">
        <f>IF(COUNTIF('Програма-кодове'!$C31:$AD31,$AX$2)=0,"-",IF(COUNTIF('Програма-кодове'!$C31:$AD31,$AX$2)=1,INDEX('Програма-кодове'!$C$1:$AD$1,1,MATCH($AX$2,'Програма-кодове'!$C31:$AD31,0)),"Дублаж"))</f>
        <v>8д</v>
      </c>
      <c r="AY32" s="194" t="str">
        <f>IF(COUNTIF('Програма-кодове'!$C31:$AD31,$AY$2)=0,"-",IF(COUNTIF('Програма-кодове'!$C31:$AD31,$AY$2)=1,INDEX('Програма-кодове'!$C$1:$AD$1,1,MATCH($AY$2,'Програма-кодове'!$C31:$AD31,0)),"Дублаж"))</f>
        <v>-</v>
      </c>
      <c r="AZ32" s="317" t="str">
        <f t="shared" si="16"/>
        <v>9б</v>
      </c>
      <c r="BA32" s="30" t="str">
        <f>IF(COUNTIF('Програма-кодове'!$C31:$AD31,$BA$2)=0,"-",IF(COUNTIF('Програма-кодове'!$C31:$AD31,$BA$2)=1,INDEX('Програма-кодове'!$C$1:$AD$1,1,MATCH($BA$2,'Програма-кодове'!$C31:$AD31,0)),"Дублаж"))</f>
        <v>-</v>
      </c>
      <c r="BB32" s="30" t="str">
        <f>IF(COUNTIF('Програма-кодове'!$C31:$AD31,$BB$2)=0,"-",IF(COUNTIF('Програма-кодове'!$C31:$AD31,$BB$2)=1,INDEX('Програма-кодове'!$C$1:$AD$1,1,MATCH($BB$2,'Програма-кодове'!$C31:$AD31,0)),"Дублаж"))</f>
        <v>-</v>
      </c>
      <c r="BC32" s="30" t="str">
        <f>IF(COUNTIF('Програма-кодове'!$C31:$AD31,$BC$2)=0,"-",IF(COUNTIF('Програма-кодове'!$C31:$AD31,$BC$2)=1,INDEX('Програма-кодове'!$C$1:$AD$1,1,MATCH($BC$2,'Програма-кодове'!$C31:$AD31,0)),"Дублаж"))</f>
        <v>-</v>
      </c>
      <c r="BD32" s="30" t="str">
        <f>IF(COUNTIF('Програма-кодове'!$C31:$AD31,$BD$2)=0,"-",IF(COUNTIF('Програма-кодове'!$C31:$AD31,$BD$2)=1,INDEX('Програма-кодове'!$C$1:$AD$1,1,MATCH($BD$2,'Програма-кодове'!$C31:$AD31,0)),"Дублаж"))</f>
        <v>10в</v>
      </c>
      <c r="BE32" s="30" t="str">
        <f>IF(COUNTIF('Програма-кодове'!$C31:$AD31,$BE$2)=0,"-",IF(COUNTIF('Програма-кодове'!$C31:$AD31,$BE$2)=1,INDEX('Програма-кодове'!$C$1:$AD$1,1,MATCH($BE$2,'Програма-кодове'!$C31:$AD31,0)),"Дублаж"))</f>
        <v>11г</v>
      </c>
      <c r="BF32" s="30" t="str">
        <f>IF(COUNTIF('Програма-кодове'!$C31:$AD31,$BF$2)=0,"-",IF(COUNTIF('Програма-кодове'!$C31:$AD31,$BF$2)=1,INDEX('Програма-кодове'!$C$1:$AD$1,1,MATCH($BF$2,'Програма-кодове'!$C31:$AD31,0)),"Дублаж"))</f>
        <v>-</v>
      </c>
      <c r="BG32" s="30" t="str">
        <f>IF(COUNTIF('Програма-кодове'!$C31:$AD31,$BG$2)=0,"-",IF(COUNTIF('Програма-кодове'!$C31:$AD31,$BG$2)=1,INDEX('Програма-кодове'!$C$1:$AD$1,1,MATCH($BG$2,'Програма-кодове'!$C31:$AD31,0)),"Дублаж"))</f>
        <v>-</v>
      </c>
      <c r="BH32" s="30" t="str">
        <f>IF(COUNTIF('Програма-кодове'!$C31:$AD31,$BH$2)=0,"-",IF(COUNTIF('Програма-кодове'!$C31:$AD31,$BH$2)=1,INDEX('Програма-кодове'!$C$1:$AD$1,1,MATCH($BH$2,'Програма-кодове'!$C31:$AD31,0)),"Дублаж"))</f>
        <v>12г</v>
      </c>
      <c r="BI32" s="94" t="str">
        <f>IF(COUNTIF('Програма-кодове'!$C31:$AD31,$BI$2)=0,"-",IF(COUNTIF('Програма-кодове'!$C31:$AD31,$BI$2)=1,INDEX('Програма-кодове'!$C$1:$AD$1,1,MATCH($BI$2,'Програма-кодове'!$C31:$AD31,0)),IF('Програма-кодове'!Z31='Програма-кодове'!AA31,"12а,б","Дублаж")))</f>
        <v>-</v>
      </c>
      <c r="BJ32" s="94" t="str">
        <f>IF(COUNTIF('Програма-кодове'!$C31:$AD31,$BJ$2)=0,"-",IF(COUNTIF('Програма-кодове'!$C31:$AD31,$BJ$2)=1,INDEX('Програма-кодове'!$C$1:$AD$1,1,MATCH($BJ$2,'Програма-кодове'!$C31:$AD31,0)),"Дублаж"))</f>
        <v>-</v>
      </c>
      <c r="BK32" s="94" t="str">
        <f>IF(COUNTIF('Програма-кодове'!$C31:$AD31,$BK$2)=0,"-",IF(COUNTIF('Програма-кодове'!$C31:$AD31,$BK$2)=1,INDEX('Програма-кодове'!$C$1:$AD$1,1,MATCH($BK$2,'Програма-кодове'!$C31:$AD31,0)),IF('Програма-кодове'!K31='Програма-кодове'!O31,"9а,д",IF('Програма-кодове'!L31='Програма-кодове'!M31,"9б,в","Дублаж"))))</f>
        <v>-</v>
      </c>
      <c r="BL32" s="30" t="str">
        <f>IF(COUNTIF('Програма-кодове'!$C31:$AD31,$BL$2)=0,"-",IF(COUNTIF('Програма-кодове'!$C31:$AD31,$BL$2)=1,INDEX('Програма-кодове'!$C$1:$AD$1,1,MATCH($BL$2,'Програма-кодове'!$C31:$AD31,0)),"Дублаж"))</f>
        <v>-</v>
      </c>
      <c r="BM32" s="30" t="str">
        <f>IF(COUNTIF('Програма-кодове'!$C31:$AD31,$BM$2)=0,"-",IF(COUNTIF('Програма-кодове'!$C31:$AD31,$BM$2)=1,INDEX('Програма-кодове'!$C$1:$AD$1,1,MATCH($BM$2,'Програма-кодове'!$C31:$AD31,0)),"Дублаж"))</f>
        <v>-</v>
      </c>
      <c r="BN32" s="77" t="str">
        <f>IF(COUNTIF('Програма-кодове'!$C31:$AD31,$BN$2)=0,"-",IF(COUNTIF('Програма-кодове'!$C31:$AD31,$BN$2)=1,INDEX('Програма-кодове'!$C$1:$AD$1,1,MATCH($BN$2,'Програма-кодове'!$C31:$AD31,0)),IF(AND('Програма-кодове'!K31='Програма-кодове'!O31,'Програма-кодове'!K31&lt;&gt;""),"9а, д", IF(AND('Програма-кодове'!U31='Програма-кодове'!W31,'Програма-кодове'!U31&lt;&gt;""),"11а,в", "Дублаж"))))</f>
        <v>-</v>
      </c>
      <c r="BO32" s="77" t="str">
        <f>IF(COUNTIF('Програма-кодове'!$C31:$AD31,$BO$2)=0,"-",IF(COUNTIF('Програма-кодове'!$C31:$AD31,$BO$2)=1,INDEX('Програма-кодове'!$C$1:$AD$1,1,MATCH($BO$2,'Програма-кодове'!$C31:$AD31,0)),IF(AND('Програма-кодове'!U31='Програма-кодове'!W31,'Програма-кодове'!U31&lt;&gt;"" ),"11a,в","Дублаж")))</f>
        <v>-</v>
      </c>
      <c r="BP32" s="30" t="str">
        <f>IF(COUNTIF('Програма-кодове'!$C31:$AD31,$BP$2)=0,"-",IF(COUNTIF('Програма-кодове'!$C31:$AD31,$BP$2)=1,"9б,в,г","Дублаж"))</f>
        <v>-</v>
      </c>
      <c r="BQ32" s="30" t="str">
        <f>IF(COUNTIF('Програма-кодове'!$C31:$AD31,$BQ$2)=0,"-",IF(COUNTIF('Програма-кодове'!$C31:$AD31,$BQ$2)=1,INDEX('Програма-кодове'!$C$1:$AD$1,1,MATCH($BQ$2,'Програма-кодове'!$C31:$AD31,0)),"Дублаж"))</f>
        <v>-</v>
      </c>
      <c r="BR32" s="30" t="str">
        <f>IF(COUNTIF('Програма-кодове'!$C31:$AD31,$BR$2)=0,"-",IF(COUNTIF('Програма-кодове'!$C31:$AD31,$BR$2)=1,INDEX('Програма-кодове'!$C$1:$AD$1,1,MATCH($BR$2,'Програма-кодове'!$C31:$AD31,0)),IF('Програма-кодове'!W31='Програма-кодове'!X31,"11б,в","Дублаж")))</f>
        <v>-</v>
      </c>
      <c r="BS32" s="30" t="str">
        <f>IF(COUNTIF('Програма-кодове'!$C31:$AD31,$BS$2)=0,"-",IF(COUNTIF('Програма-кодове'!$C31:$AD31,$BS$2)=1,INDEX('Програма-кодове'!$C$1:$AD$1,1,MATCH($BS$2,'Програма-кодове'!$C31:$AD31,0)),"Дублаж"))</f>
        <v>9б</v>
      </c>
      <c r="BT32" s="193" t="str">
        <f t="shared" si="17"/>
        <v>-</v>
      </c>
      <c r="BU32" s="30" t="str">
        <f>IF(COUNTIF('Програма-кодове'!$C31:$AD31,$BU$2)=0,"-",IF(COUNTIF('Програма-кодове'!$C31:$AD31,$BU$2)=1,INDEX('Програма-кодове'!$C$1:$AD$1,1,MATCH($BU$2,'Програма-кодове'!$C31:$AD31,0)),"Дублаж"))</f>
        <v>-</v>
      </c>
      <c r="BV32" s="30" t="str">
        <f>IF(COUNTIF('Програма-кодове'!$C31:$AD31,$BV$2)=0,"-",IF(COUNTIF('Програма-кодове'!$C31:$AD31,$BV$2)=1,INDEX('Програма-кодове'!$C$1:$AD$1,1,MATCH($BV$2,'Програма-кодове'!$C31:$AD31,0)),"Дублаж"))</f>
        <v>-</v>
      </c>
      <c r="BW32" s="30">
        <f>IF(COUNTIF('Програма-кодове'!$C31:$AD31,$BW$2)=0,"-",IF(COUNTIF('Програма-кодове'!$C31:$AD31,$BW$2)=1,INDEX('Програма-кодове'!$C$1:$AD$1,1,MATCH($BW$2,'Програма-кодове'!$C31:$AD31,0)),"Дублаж"))</f>
        <v>6</v>
      </c>
      <c r="BX32" s="30">
        <f>IF(COUNTIF('Програма-кодове'!$C31:$AD31,$BX$2)=0,"-",IF(COUNTIF('Програма-кодове'!$C31:$AD31,$BX$2)=1,INDEX('Програма-кодове'!$C$1:$AD$1,1,MATCH($BX$2,'Програма-кодове'!$C31:$AD31,0)),"Дублаж"))</f>
        <v>7</v>
      </c>
      <c r="BY32" s="30" t="str">
        <f>IF(COUNTIF('Програма-кодове'!$C31:$AD31,$BY$2)=0,"-",IF(COUNTIF('Програма-кодове'!$C31:$AD31,$BY$2)=1,INDEX('Програма-кодове'!$C$1:$AD$1,1,MATCH($BY$2,'Програма-кодове'!$C31:$AD31,0)),"Дублаж"))</f>
        <v>-</v>
      </c>
      <c r="BZ32" s="30" t="str">
        <f>IF(COUNTIF('Програма-кодове'!$C31:$AD31,$BZ$2)=0,"-",IF(COUNTIF('Програма-кодове'!$C31:$AD31,$BZ$2)=1,INDEX('Програма-кодове'!$C$1:$AD$1,1,MATCH($BZ$2,'Програма-кодове'!$C31:$AD31,0)),"Дублаж"))</f>
        <v>-</v>
      </c>
      <c r="CA32" s="30" t="str">
        <f>IF(COUNTIF('Програма-кодове'!$C31:$AD31,$CA$2)=0,"-",IF(COUNTIF('Програма-кодове'!$C31:$AD31,$CA$2)=1,INDEX('Програма-кодове'!$C$1:$AD$1,1,MATCH($CA$2,'Програма-кодове'!$C31:$AD31,0)),"Дублаж"))</f>
        <v>-</v>
      </c>
      <c r="CB32" s="30" t="str">
        <f>IF(COUNTIF('Програма-кодове'!$C31:$AD31,$CB$2)=0,"-",IF(COUNTIF('Програма-кодове'!$C31:$AD31,$CB$2)=1,INDEX('Програма-кодове'!$C$1:$AD$1,1,MATCH($CB$2,'Програма-кодове'!$C31:$AD31,0)),"Дублаж"))</f>
        <v>-</v>
      </c>
      <c r="CC32" s="30" t="str">
        <f>IF(COUNTIF('Програма-кодове'!$C31:$AD31,$CC$2)=0,"-",IF(COUNTIF('Програма-кодове'!$C31:$AD31,$CC$2)=1,INDEX('Програма-кодове'!$C$1:$AD$1,1,MATCH($CC$2,'Програма-кодове'!$C31:$AD31,0)),"Дублаж"))</f>
        <v>-</v>
      </c>
      <c r="CD32" s="30" t="str">
        <f>IF(COUNTIF('Програма-кодове'!$C31:$AD31,$CD$2)=0,"-",IF(COUNTIF('Програма-кодове'!$C31:$AD31,$CD$2)=1,INDEX('Програма-кодове'!$C$1:$AD$1,1,MATCH($CD$2,'Програма-кодове'!$C31:$AD31,0)),"Дублаж"))</f>
        <v>9д</v>
      </c>
      <c r="CE32" s="30" t="str">
        <f>IF(COUNTIF('Програма-кодове'!$C31:$AD31,$CE$2)=0,"-",IF(COUNTIF('Програма-кодове'!$C31:$AD31,$CE$2)=1,INDEX('Програма-кодове'!$C$1:$AD$1,1,MATCH($CE$2,'Програма-кодове'!$C31:$AD31,0)),"Дублаж"))</f>
        <v>-</v>
      </c>
    </row>
    <row r="33" spans="1:83" ht="13.5" customHeight="1">
      <c r="A33" s="367"/>
      <c r="B33" s="330">
        <v>3</v>
      </c>
      <c r="C33" s="194" t="str">
        <f>IF(COUNTIF('Програма-кодове'!$C32:$AD32,$C$2)=0,"-",IF(COUNTIF('Програма-кодове'!$C32:$AD32,$C$2)=1,INDEX('Програма-кодове'!$C$1:$AD$1,1,MATCH($C$2,'Програма-кодове'!$C32:$AD32,0)),"Дублаж"))</f>
        <v>-</v>
      </c>
      <c r="D33" s="194" t="str">
        <f>IF(COUNTIF('Програма-кодове'!$C32:$AD32,$D$2)=0,"-",IF(COUNTIF('Програма-кодове'!$C32:$AD32,$D$2)=1,INDEX('Програма-кодове'!$C$1:$AD$1,1,MATCH($D$2,'Програма-кодове'!$C32:$AD32,0)),"Дублаж"))</f>
        <v>-</v>
      </c>
      <c r="E33" s="194">
        <f>IF(COUNTIF('Програма-кодове'!$C32:$AD32,$E$2)=0,"-",IF(COUNTIF('Програма-кодове'!$C32:$AD32,$E$2)=1,INDEX('Програма-кодове'!$C$1:$AD$1,1,MATCH($E$2,'Програма-кодове'!$C32:$AD32,0)),"Дублаж"))</f>
        <v>7</v>
      </c>
      <c r="F33" s="196" t="str">
        <f>IF(COUNTIF('Програма-кодове'!$C32:$AD32,$F$2)=0,"-",IF(COUNTIF('Програма-кодове'!$C32:$AD32,$F$2)=1,INDEX('Програма-кодове'!$C$1:$AD$1,1,MATCH($F$2,'Програма-кодове'!$C32:$AD32,0)),"Дублаж"))</f>
        <v>-</v>
      </c>
      <c r="G33" s="196" t="str">
        <f>IF(COUNTIF('Програма-кодове'!$C32:$AD32,$G$2)=0,"-",IF(COUNTIF('Програма-кодове'!$C32:$AD32,$G$2)=1,INDEX('Програма-кодове'!$C$1:$AD$1,1,MATCH($G$2,'Програма-кодове'!$C32:$AD32,0)),"Дублаж"))</f>
        <v>12г</v>
      </c>
      <c r="H33" s="194" t="str">
        <f>IF(COUNTIF('Програма-кодове'!$C32:$AD32,$H$2)=0,"-",IF(COUNTIF('Програма-кодове'!$C32:$AD32,$H$2)=1,INDEX('Програма-кодове'!$C$1:$AD$1,1,MATCH($H$2,'Програма-кодове'!$C32:$AD32,0)),"Дублаж"))</f>
        <v>9б</v>
      </c>
      <c r="I33" s="194" t="str">
        <f>IF(COUNTIF('Програма-кодове'!$C32:$AD32,$I$2)=0,"-",IF(COUNTIF('Програма-кодове'!$C32:$AD32,$I$2)=1,INDEX('Програма-кодове'!$C$1:$AD$1,1,MATCH($I$2,'Програма-кодове'!$C32:$AD32,0)),"Дублаж"))</f>
        <v>11в</v>
      </c>
      <c r="J33" s="194" t="str">
        <f>IF(COUNTIF('Програма-кодове'!$C32:$AD32,$J$2)=0,"-",IF(COUNTIF('Програма-кодове'!$C32:$AD32,$J$2)=1,INDEX('Програма-кодове'!$C$1:$AD$1,1,MATCH($J$2,'Програма-кодове'!$C32:$AD32,0)),"Дублаж"))</f>
        <v>8г</v>
      </c>
      <c r="K33" s="196" t="str">
        <f>IF(COUNTIF('Програма-кодове'!$C32:$AD32,$K$2)=0,"-",IF(COUNTIF('Програма-кодове'!$C32:$AD32,$K$2)=1,INDEX('Програма-кодове'!$C$1:$AD$1,1,MATCH($K$2,'Програма-кодове'!$C32:$AD32,0)),"Дублаж"))</f>
        <v>12д</v>
      </c>
      <c r="L33" s="196" t="str">
        <f>IF(COUNTIF('Програма-кодове'!$C32:$AD32,$L$2)=0,"-",IF(COUNTIF('Програма-кодове'!$C32:$AD32,$L$2)=1,INDEX('Програма-кодове'!$C$1:$AD$1,1,MATCH($L$2,'Програма-кодове'!$C32:$AD32,0)),"Дублаж"))</f>
        <v>11а</v>
      </c>
      <c r="M33" s="194" t="str">
        <f>IF(COUNTIF('Програма-кодове'!$C32:$AD32,$M$2)=0,"-",IF(COUNTIF('Програма-кодове'!$C32:$AD32,$M$2)=1,INDEX('Програма-кодове'!$C$1:$AD$1,1,MATCH($M$2,'Програма-кодове'!$C32:$AD32,0)),"Дублаж"))</f>
        <v>10б</v>
      </c>
      <c r="N33" s="194" t="str">
        <f>IF(COUNTIF('Програма-кодове'!$C32:$AD32,$N$2)=0,"-",IF(COUNTIF('Програма-кодове'!$C32:$AD32,$N$2)=1,INDEX('Програма-кодове'!$C$1:$AD$1,1,MATCH($N$2,'Програма-кодове'!$C32:$AD32,0)),"Дублаж"))</f>
        <v>8в</v>
      </c>
      <c r="O33" s="194" t="str">
        <f>IF(COUNTIF('Програма-кодове'!$C32:$AD32,$O$2)=0,"-",IF(COUNTIF('Програма-кодове'!$C32:$AD32,$O$2)=1,INDEX('Програма-кодове'!$C$1:$AD$1,1,MATCH($O$2,'Програма-кодове'!$C32:$AD32,0)),"Дублаж"))</f>
        <v>8д</v>
      </c>
      <c r="P33" s="194" t="str">
        <f>IF(COUNTIF('Програма-кодове'!$C32:$AD32,$P$2)=0,"-",IF(COUNTIF('Програма-кодове'!$C32:$AD32,$P$2)=1,INDEX('Програма-кодове'!$C$1:$AD$1,1,MATCH($P$2,'Програма-кодове'!$C32:$AD32,0)),"Дублаж"))</f>
        <v>8a</v>
      </c>
      <c r="Q33" s="194" t="str">
        <f>IF(COUNTIF('Програма-кодове'!$C32:$AD32,$Q$2)=0,"-",IF(COUNTIF('Програма-кодове'!$C32:$AD32,$Q$2)=1,INDEX('Програма-кодове'!$C$1:$AD$1,1,MATCH($Q$2,'Програма-кодове'!$C32:$AD32,0)),"Дублаж"))</f>
        <v>-</v>
      </c>
      <c r="R33" s="193" t="str">
        <f t="shared" si="0"/>
        <v>10г</v>
      </c>
      <c r="S33" s="353" t="str">
        <f t="shared" si="3"/>
        <v>11г</v>
      </c>
      <c r="T33" s="193" t="str">
        <f t="shared" si="4"/>
        <v>-</v>
      </c>
      <c r="U33" s="194" t="str">
        <f>IF(COUNTIF('Програма-кодове'!$C32:$AD32,$U$2)=0,"-",IF(COUNTIF('Програма-кодове'!$C32:$AD32,$U$2)=1,INDEX('Програма-кодове'!$C$1:$AD$1,1,MATCH($U$2,'Програма-кодове'!$C32:$AD32,0)),"Дублаж"))</f>
        <v>12а</v>
      </c>
      <c r="V33" s="194" t="str">
        <f>IF(COUNTIF('Програма-кодове'!$C32:$AD32,$V$2)=0,"-",IF(COUNTIF('Програма-кодове'!$C32:$AD32,$V$2)=1,INDEX('Програма-кодове'!$C$1:$AD$1,1,MATCH($V$2,'Програма-кодове'!$C32:$AD32,0)),"Дублаж"))</f>
        <v>-</v>
      </c>
      <c r="W33" s="194" t="str">
        <f>IF(COUNTIF('Програма-кодове'!$C32:$AD32,$W$2)=0,"-",IF(COUNTIF('Програма-кодове'!$C32:$AD32,$W$2)=1,INDEX('Програма-кодове'!$C$1:$AD$1,1,MATCH($W$2,'Програма-кодове'!$C32:$AD32,0)),"Дублаж"))</f>
        <v>-</v>
      </c>
      <c r="X33" s="353" t="str">
        <f>IF(COUNTIF('Програма-кодове'!$C32:$AD32,$X$2)=0,"-",IF(COUNTIF('Програма-кодове'!$C32:$AD32,$X$2)=1,INDEX('Програма-кодове'!$C$1:$AD$1,1,MATCH($X$2,'Програма-кодове'!$C32:$AD32,0)),"Дублаж"))</f>
        <v>-</v>
      </c>
      <c r="Y33" s="194" t="str">
        <f>IF(COUNTIF('Програма-кодове'!$C32:$AD32,$Y$2)=0,"-",IF(COUNTIF('Програма-кодове'!$C32:$AD32,$Y$2)=1,INDEX('Програма-кодове'!$C$1:$AD$1,1,MATCH($Y$2,'Програма-кодове'!$C32:$AD32,0)),"Дублаж"))</f>
        <v>8б</v>
      </c>
      <c r="Z33" s="194" t="str">
        <f>IF(COUNTIF('Програма-кодове'!$C32:$AD32,$Z$2)=0,"-",IF(COUNTIF('Програма-кодове'!$C32:$AD32,$Z$2)=1,INDEX('Програма-кодове'!$C$1:$AD$1,1,MATCH($Z$2,'Програма-кодове'!$C32:$AD32,0)),"Дублаж"))</f>
        <v>10в</v>
      </c>
      <c r="AA33" s="193" t="str">
        <f t="shared" si="5"/>
        <v>12в</v>
      </c>
      <c r="AB33" s="193" t="str">
        <f t="shared" si="6"/>
        <v>-</v>
      </c>
      <c r="AC33" s="193" t="str">
        <f t="shared" si="7"/>
        <v>-</v>
      </c>
      <c r="AD33" s="193" t="str">
        <f t="shared" si="8"/>
        <v>-</v>
      </c>
      <c r="AE33" s="193" t="str">
        <f t="shared" si="9"/>
        <v>12в</v>
      </c>
      <c r="AF33" s="193" t="str">
        <f t="shared" si="10"/>
        <v>-</v>
      </c>
      <c r="AG33" s="193" t="str">
        <f>IF(BA33&lt;&gt;"-",IF(AND(BC33="-",BG33="-",BF33="-",BM33="-",BI33="-"),BA33,"Дублаж"),IF(BC33&lt;&gt;"-",IF(AND(BG33="-",BF33="-",BM33="-",BI33="-"),BC33,"Дублаж"),IF(BG33&lt;&gt;"-",IF(AND(BF33="-",BM33="-",BI33="-"),BG33,"Дублаж"),IF(BF33&lt;&gt;"-",IF(AND(BM33="-",BI33="-"),BF33,"Дублаж"),IF(BM33&lt;&gt;"-",IF(BI33="-",BM33,BI33),BI33)))))</f>
        <v>-</v>
      </c>
      <c r="AH33" s="193" t="str">
        <f t="shared" si="12"/>
        <v>-</v>
      </c>
      <c r="AI33" s="194" t="str">
        <f t="shared" si="13"/>
        <v>-</v>
      </c>
      <c r="AJ33" s="193" t="str">
        <f t="shared" si="14"/>
        <v>9г</v>
      </c>
      <c r="AK33" s="194" t="str">
        <f>IF(COUNTIF('Програма-кодове'!$C32:$AD32,$AK$2)=0,"-",IF(COUNTIF('Програма-кодове'!$C32:$AD32,$AK$2)=1,INDEX('Програма-кодове'!$C$1:$AD$1,1,MATCH($AK$2,'Програма-кодове'!$C32:$AD32,0)),"Дублаж"))</f>
        <v>12б</v>
      </c>
      <c r="AL33" s="196" t="str">
        <f>IF(COUNTIF('Програма-кодове'!$C32:$AD32,$AL$2)=0,"-",IF(COUNTIF('Програма-кодове'!$C32:$AD32,$AL$2)=1,INDEX('Програма-кодове'!$C$1:$AD$1,1,MATCH($AL$2,'Програма-кодове'!$C32:$AD32,0)),"Дублаж"))</f>
        <v>9в</v>
      </c>
      <c r="AM33" s="196" t="str">
        <f>IF(COUNTIF('Програма-кодове'!$C32:$AD32,$AM$2)=0,"-",IF(COUNTIF('Програма-кодове'!$C32:$AD32,$AM$2)=1,INDEX('Програма-кодове'!$C$1:$AD$1,1,MATCH($AM$2,'Програма-кодове'!$C32:$AD32,0)),"Дублаж"))</f>
        <v>11б</v>
      </c>
      <c r="AN33" s="193" t="str">
        <f>IF(COUNTIF('Програма-кодове'!$C32:$AD32,$AN$2)=0,"-",IF(COUNTIF('Програма-кодове'!$C32:$AD32,$AN$2)=1,INDEX('Програма-кодове'!$C$1:$AD$1,1,MATCH($AN$2,'Програма-кодове'!$C32:$AD32,0)),"Дублаж"))</f>
        <v>-</v>
      </c>
      <c r="AO33" s="193" t="str">
        <f>IF(COUNTIF('Програма-кодове'!$C32:$AD32,$AO$2)=0,"-",IF(COUNTIF('Програма-кодове'!$C32:$AD32,$AO$2)=1,INDEX('Програма-кодове'!$C$1:$AD$1,1,MATCH($AO$2,'Програма-кодове'!$C32:$AD32,0)),"Дублаж"))</f>
        <v>9д</v>
      </c>
      <c r="AP33" s="193" t="str">
        <f>IF(COUNTIF('Програма-кодове'!$C32:$AD32,$AP$2)=0,"-",IF(COUNTIF('Програма-кодове'!$C32:$AD32,$AP$2)=1,INDEX('Програма-кодове'!$C$1:$AD$1,1,MATCH($AP$2,'Програма-кодове'!$C32:$AD32,0)),"Дублаж"))</f>
        <v>-</v>
      </c>
      <c r="AQ33" s="193" t="str">
        <f t="shared" ref="AQ33" si="29">IF(AND(CA33&lt;&gt;"-",CB33&lt;&gt;"-"),"Дублаж",IF(CA33&lt;&gt;"-",CA33,CB33))</f>
        <v>11д</v>
      </c>
      <c r="AR33" s="193" t="str">
        <f>IF(COUNTIF('Програма-кодове'!$C32:$AD32,$AR$2)=0,"-",IF(COUNTIF('Програма-кодове'!$C32:$AD32,$AR$2)=1,INDEX('Програма-кодове'!$C$1:$AD$1,1,MATCH($AR$2,'Програма-кодове'!$C32:$AD32,0)),"Дублаж"))</f>
        <v>10д</v>
      </c>
      <c r="AS33" s="193" t="str">
        <f>IF(COUNTIF('Програма-кодове'!$C32:$AD32,$AS$2)=0,"-",IF(COUNTIF('Програма-кодове'!$C32:$AD32,$AS$2)=1,INDEX('Програма-кодове'!$C$1:$AD$1,1,MATCH($AS$2,'Програма-кодове'!$C32:$AD32,0)),"Дублаж"))</f>
        <v>-</v>
      </c>
      <c r="AT33" s="193" t="str">
        <f>IF(COUNTIF('Програма-кодове'!$C32:$AD32,$AT$2)=0,"-",IF(COUNTIF('Програма-кодове'!$C32:$AD32,$AT$2)=1,INDEX('Програма-кодове'!$C$1:$AD$1,1,MATCH($AT$2,'Програма-кодове'!$C32:$AD32,0)),"Дублаж"))</f>
        <v>9а</v>
      </c>
      <c r="AU33" s="194" t="str">
        <f t="shared" si="25"/>
        <v>-</v>
      </c>
      <c r="AV33" s="194">
        <f t="shared" si="2"/>
        <v>6</v>
      </c>
      <c r="AW33" s="194" t="str">
        <f>IF(COUNTIF('Програма-кодове'!$C32:$AD32,$AW$2)=0,"-",IF(COUNTIF('Програма-кодове'!$C32:$AD32,$AW$2)=1,INDEX('Програма-кодове'!$C$1:$AD$1,1,MATCH($AW$2,'Програма-кодове'!$C32:$AD32,0)),"Дублаж"))</f>
        <v>-</v>
      </c>
      <c r="AX33" s="194" t="str">
        <f>IF(COUNTIF('Програма-кодове'!$C32:$AD32,$AX$2)=0,"-",IF(COUNTIF('Програма-кодове'!$C32:$AD32,$AX$2)=1,INDEX('Програма-кодове'!$C$1:$AD$1,1,MATCH($AX$2,'Програма-кодове'!$C32:$AD32,0)),"Дублаж"))</f>
        <v>10а</v>
      </c>
      <c r="AY33" s="194">
        <f>IF(COUNTIF('Програма-кодове'!$C32:$AD32,$AY$2)=0,"-",IF(COUNTIF('Програма-кодове'!$C32:$AD32,$AY$2)=1,INDEX('Програма-кодове'!$C$1:$AD$1,1,MATCH($AY$2,'Програма-кодове'!$C32:$AD32,0)),"Дублаж"))</f>
        <v>5</v>
      </c>
      <c r="AZ33" s="193" t="str">
        <f t="shared" si="16"/>
        <v>-</v>
      </c>
      <c r="BA33" s="30" t="str">
        <f>IF(COUNTIF('Програма-кодове'!$C32:$AD32,$BA$2)=0,"-",IF(COUNTIF('Програма-кодове'!$C32:$AD32,$BA$2)=1,INDEX('Програма-кодове'!$C$1:$AD$1,1,MATCH($BA$2,'Програма-кодове'!$C32:$AD32,0)),"Дублаж"))</f>
        <v>-</v>
      </c>
      <c r="BB33" s="30" t="str">
        <f>IF(COUNTIF('Програма-кодове'!$C32:$AD32,$BB$2)=0,"-",IF(COUNTIF('Програма-кодове'!$C32:$AD32,$BB$2)=1,INDEX('Програма-кодове'!$C$1:$AD$1,1,MATCH($BB$2,'Програма-кодове'!$C32:$AD32,0)),"Дублаж"))</f>
        <v>-</v>
      </c>
      <c r="BC33" s="30" t="str">
        <f>IF(COUNTIF('Програма-кодове'!$C32:$AD32,$BC$2)=0,"-",IF(COUNTIF('Програма-кодове'!$C32:$AD32,$BC$2)=1,INDEX('Програма-кодове'!$C$1:$AD$1,1,MATCH($BC$2,'Програма-кодове'!$C32:$AD32,0)),"Дублаж"))</f>
        <v>-</v>
      </c>
      <c r="BD33" s="30" t="str">
        <f>IF(COUNTIF('Програма-кодове'!$C32:$AD32,$BD$2)=0,"-",IF(COUNTIF('Програма-кодове'!$C32:$AD32,$BD$2)=1,INDEX('Програма-кодове'!$C$1:$AD$1,1,MATCH($BD$2,'Програма-кодове'!$C32:$AD32,0)),"Дублаж"))</f>
        <v>-</v>
      </c>
      <c r="BE33" s="30" t="str">
        <f>IF(COUNTIF('Програма-кодове'!$C32:$AD32,$BE$2)=0,"-",IF(COUNTIF('Програма-кодове'!$C32:$AD32,$BE$2)=1,INDEX('Програма-кодове'!$C$1:$AD$1,1,MATCH($BE$2,'Програма-кодове'!$C32:$AD32,0)),"Дублаж"))</f>
        <v>-</v>
      </c>
      <c r="BF33" s="30" t="str">
        <f>IF(COUNTIF('Програма-кодове'!$C32:$AD32,$BF$2)=0,"-",IF(COUNTIF('Програма-кодове'!$C32:$AD32,$BF$2)=1,INDEX('Програма-кодове'!$C$1:$AD$1,1,MATCH($BF$2,'Програма-кодове'!$C32:$AD32,0)),"Дублаж"))</f>
        <v>-</v>
      </c>
      <c r="BG33" s="30" t="str">
        <f>IF(COUNTIF('Програма-кодове'!$C32:$AD32,$BG$2)=0,"-",IF(COUNTIF('Програма-кодове'!$C32:$AD32,$BG$2)=1,INDEX('Програма-кодове'!$C$1:$AD$1,1,MATCH($BG$2,'Програма-кодове'!$C32:$AD32,0)),"Дублаж"))</f>
        <v>-</v>
      </c>
      <c r="BH33" s="30" t="str">
        <f>IF(COUNTIF('Програма-кодове'!$C32:$AD32,$BH$2)=0,"-",IF(COUNTIF('Програма-кодове'!$C32:$AD32,$BH$2)=1,INDEX('Програма-кодове'!$C$1:$AD$1,1,MATCH($BH$2,'Програма-кодове'!$C32:$AD32,0)),"Дублаж"))</f>
        <v>12в</v>
      </c>
      <c r="BI33" s="94" t="str">
        <f>IF(COUNTIF('Програма-кодове'!$C32:$AD32,$BI$2)=0,"-",IF(COUNTIF('Програма-кодове'!$C32:$AD32,$BI$2)=1,INDEX('Програма-кодове'!$C$1:$AD$1,1,MATCH($BI$2,'Програма-кодове'!$C32:$AD32,0)),IF('Програма-кодове'!Z32='Програма-кодове'!AA32,"12а,б","Дублаж")))</f>
        <v>-</v>
      </c>
      <c r="BJ33" s="94" t="str">
        <f>IF(COUNTIF('Програма-кодове'!$C32:$AD32,$BJ$2)=0,"-",IF(COUNTIF('Програма-кодове'!$C32:$AD32,$BJ$2)=1,INDEX('Програма-кодове'!$C$1:$AD$1,1,MATCH($BJ$2,'Програма-кодове'!$C32:$AD32,0)),"Дублаж"))</f>
        <v>-</v>
      </c>
      <c r="BK33" s="94" t="str">
        <f>IF(COUNTIF('Програма-кодове'!$C32:$AD32,$BK$2)=0,"-",IF(COUNTIF('Програма-кодове'!$C32:$AD32,$BK$2)=1,INDEX('Програма-кодове'!$C$1:$AD$1,1,MATCH($BK$2,'Програма-кодове'!$C32:$AD32,0)),IF('Програма-кодове'!K32='Програма-кодове'!O32,"9а,д",IF('Програма-кодове'!L32='Програма-кодове'!M32,"9б,в","Дублаж"))))</f>
        <v>-</v>
      </c>
      <c r="BL33" s="30" t="str">
        <f>IF(COUNTIF('Програма-кодове'!$C32:$AD32,$BL$2)=0,"-",IF(COUNTIF('Програма-кодове'!$C32:$AD32,$BL$2)=1,INDEX('Програма-кодове'!$C$1:$AD$1,1,MATCH($BL$2,'Програма-кодове'!$C32:$AD32,0)),"Дублаж"))</f>
        <v>-</v>
      </c>
      <c r="BM33" s="30" t="str">
        <f>IF(COUNTIF('Програма-кодове'!$C32:$AD32,$BM$2)=0,"-",IF(COUNTIF('Програма-кодове'!$C32:$AD32,$BM$2)=1,INDEX('Програма-кодове'!$C$1:$AD$1,1,MATCH($BM$2,'Програма-кодове'!$C32:$AD32,0)),"Дублаж"))</f>
        <v>-</v>
      </c>
      <c r="BN33" s="77" t="str">
        <f>IF(COUNTIF('Програма-кодове'!$C32:$AD32,$BN$2)=0,"-",IF(COUNTIF('Програма-кодове'!$C32:$AD32,$BN$2)=1,INDEX('Програма-кодове'!$C$1:$AD$1,1,MATCH($BN$2,'Програма-кодове'!$C32:$AD32,0)),IF(AND('Програма-кодове'!K32='Програма-кодове'!O32,'Програма-кодове'!K32&lt;&gt;""),"9а, д", IF(AND('Програма-кодове'!U32='Програма-кодове'!W32,'Програма-кодове'!U32&lt;&gt;""),"11а,в", "Дублаж"))))</f>
        <v>-</v>
      </c>
      <c r="BO33" s="77" t="str">
        <f>IF(COUNTIF('Програма-кодове'!$C32:$AD32,$BO$2)=0,"-",IF(COUNTIF('Програма-кодове'!$C32:$AD32,$BO$2)=1,INDEX('Програма-кодове'!$C$1:$AD$1,1,MATCH($BO$2,'Програма-кодове'!$C32:$AD32,0)),IF(AND('Програма-кодове'!U32='Програма-кодове'!W32,'Програма-кодове'!U32&lt;&gt;"" ),"11a,в","Дублаж")))</f>
        <v>-</v>
      </c>
      <c r="BP33" s="30" t="str">
        <f>IF(COUNTIF('Програма-кодове'!$C32:$AD32,$BP$2)=0,"-",IF(COUNTIF('Програма-кодове'!$C32:$AD32,$BP$2)=1,"9б,в,г","Дублаж"))</f>
        <v>-</v>
      </c>
      <c r="BQ33" s="30" t="str">
        <f>IF(COUNTIF('Програма-кодове'!$C32:$AD32,$BQ$2)=0,"-",IF(COUNTIF('Програма-кодове'!$C32:$AD32,$BQ$2)=1,INDEX('Програма-кодове'!$C$1:$AD$1,1,MATCH($BQ$2,'Програма-кодове'!$C32:$AD32,0)),"Дублаж"))</f>
        <v>11г</v>
      </c>
      <c r="BR33" s="30" t="str">
        <f>IF(COUNTIF('Програма-кодове'!$C32:$AD32,$BR$2)=0,"-",IF(COUNTIF('Програма-кодове'!$C32:$AD32,$BR$2)=1,INDEX('Програма-кодове'!$C$1:$AD$1,1,MATCH($BR$2,'Програма-кодове'!$C32:$AD32,0)),IF('Програма-кодове'!W32='Програма-кодове'!X32,"11б,в","Дублаж")))</f>
        <v>-</v>
      </c>
      <c r="BS33" s="30" t="str">
        <f>IF(COUNTIF('Програма-кодове'!$C32:$AD32,$BS$2)=0,"-",IF(COUNTIF('Програма-кодове'!$C32:$AD32,$BS$2)=1,INDEX('Програма-кодове'!$C$1:$AD$1,1,MATCH($BS$2,'Програма-кодове'!$C32:$AD32,0)),"Дублаж"))</f>
        <v>-</v>
      </c>
      <c r="BT33" s="193" t="str">
        <f t="shared" si="17"/>
        <v>-</v>
      </c>
      <c r="BU33" s="30" t="str">
        <f>IF(COUNTIF('Програма-кодове'!$C32:$AD32,$BU$2)=0,"-",IF(COUNTIF('Програма-кодове'!$C32:$AD32,$BU$2)=1,INDEX('Програма-кодове'!$C$1:$AD$1,1,MATCH($BU$2,'Програма-кодове'!$C32:$AD32,0)),"Дублаж"))</f>
        <v>10г</v>
      </c>
      <c r="BV33" s="30" t="str">
        <f>IF(COUNTIF('Програма-кодове'!$C32:$AD32,$BV$2)=0,"-",IF(COUNTIF('Програма-кодове'!$C32:$AD32,$BV$2)=1,INDEX('Програма-кодове'!$C$1:$AD$1,1,MATCH($BV$2,'Програма-кодове'!$C32:$AD32,0)),"Дублаж"))</f>
        <v>-</v>
      </c>
      <c r="BW33" s="30" t="str">
        <f>IF(COUNTIF('Програма-кодове'!$C32:$AD32,$BW$2)=0,"-",IF(COUNTIF('Програма-кодове'!$C32:$AD32,$BW$2)=1,INDEX('Програма-кодове'!$C$1:$AD$1,1,MATCH($BW$2,'Програма-кодове'!$C32:$AD32,0)),"Дублаж"))</f>
        <v>-</v>
      </c>
      <c r="BX33" s="30">
        <f>IF(COUNTIF('Програма-кодове'!$C32:$AD32,$BX$2)=0,"-",IF(COUNTIF('Програма-кодове'!$C32:$AD32,$BX$2)=1,INDEX('Програма-кодове'!$C$1:$AD$1,1,MATCH($BX$2,'Програма-кодове'!$C32:$AD32,0)),"Дублаж"))</f>
        <v>6</v>
      </c>
      <c r="BY33" s="30" t="str">
        <f>IF(COUNTIF('Програма-кодове'!$C32:$AD32,$BY$2)=0,"-",IF(COUNTIF('Програма-кодове'!$C32:$AD32,$BY$2)=1,INDEX('Програма-кодове'!$C$1:$AD$1,1,MATCH($BY$2,'Програма-кодове'!$C32:$AD32,0)),"Дублаж"))</f>
        <v>-</v>
      </c>
      <c r="BZ33" s="30" t="str">
        <f>IF(COUNTIF('Програма-кодове'!$C32:$AD32,$BZ$2)=0,"-",IF(COUNTIF('Програма-кодове'!$C32:$AD32,$BZ$2)=1,INDEX('Програма-кодове'!$C$1:$AD$1,1,MATCH($BZ$2,'Програма-кодове'!$C32:$AD32,0)),"Дублаж"))</f>
        <v>-</v>
      </c>
      <c r="CA33" s="30" t="str">
        <f>IF(COUNTIF('Програма-кодове'!$C32:$AD32,$CA$2)=0,"-",IF(COUNTIF('Програма-кодове'!$C32:$AD32,$CA$2)=1,INDEX('Програма-кодове'!$C$1:$AD$1,1,MATCH($CA$2,'Програма-кодове'!$C32:$AD32,0)),"Дублаж"))</f>
        <v>-</v>
      </c>
      <c r="CB33" s="30" t="str">
        <f>IF(COUNTIF('Програма-кодове'!$C32:$AD32,$CB$2)=0,"-",IF(COUNTIF('Програма-кодове'!$C32:$AD32,$CB$2)=1,INDEX('Програма-кодове'!$C$1:$AD$1,1,MATCH($CB$2,'Програма-кодове'!$C32:$AD32,0)),"Дублаж"))</f>
        <v>11д</v>
      </c>
      <c r="CC33" s="30" t="str">
        <f>IF(COUNTIF('Програма-кодове'!$C32:$AD32,$CC$2)=0,"-",IF(COUNTIF('Програма-кодове'!$C32:$AD32,$CC$2)=1,INDEX('Програма-кодове'!$C$1:$AD$1,1,MATCH($CC$2,'Програма-кодове'!$C32:$AD32,0)),"Дублаж"))</f>
        <v>-</v>
      </c>
      <c r="CD33" s="30" t="str">
        <f>IF(COUNTIF('Програма-кодове'!$C32:$AD32,$CD$2)=0,"-",IF(COUNTIF('Програма-кодове'!$C32:$AD32,$CD$2)=1,INDEX('Програма-кодове'!$C$1:$AD$1,1,MATCH($CD$2,'Програма-кодове'!$C32:$AD32,0)),"Дублаж"))</f>
        <v>9г</v>
      </c>
      <c r="CE33" s="30" t="str">
        <f>IF(COUNTIF('Програма-кодове'!$C32:$AD32,$CE$2)=0,"-",IF(COUNTIF('Програма-кодове'!$C32:$AD32,$CE$2)=1,INDEX('Програма-кодове'!$C$1:$AD$1,1,MATCH($CE$2,'Програма-кодове'!$C32:$AD32,0)),"Дублаж"))</f>
        <v>-</v>
      </c>
    </row>
    <row r="34" spans="1:83" ht="13.5" customHeight="1">
      <c r="A34" s="367"/>
      <c r="B34" s="330">
        <v>4</v>
      </c>
      <c r="C34" s="194" t="str">
        <f>IF(COUNTIF('Програма-кодове'!$C33:$AD33,$C$2)=0,"-",IF(COUNTIF('Програма-кодове'!$C33:$AD33,$C$2)=1,INDEX('Програма-кодове'!$C$1:$AD$1,1,MATCH($C$2,'Програма-кодове'!$C33:$AD33,0)),"Дублаж"))</f>
        <v>-</v>
      </c>
      <c r="D34" s="319" t="str">
        <f>IF(COUNTIF('Програма-кодове'!$C33:$AD33,$D$2)=0,"-",IF(COUNTIF('Програма-кодове'!$C33:$AD33,$D$2)=1,INDEX('Програма-кодове'!$C$1:$AD$1,1,MATCH($D$2,'Програма-кодове'!$C33:$AD33,0)),"Дублаж"))</f>
        <v>11б</v>
      </c>
      <c r="E34" s="196">
        <f>IF(COUNTIF('Програма-кодове'!$C33:$AD33,$E$2)=0,"-",IF(COUNTIF('Програма-кодове'!$C33:$AD33,$E$2)=1,INDEX('Програма-кодове'!$C$1:$AD$1,1,MATCH($E$2,'Програма-кодове'!$C33:$AD33,0)),"Дублаж"))</f>
        <v>7</v>
      </c>
      <c r="F34" s="194" t="str">
        <f>IF(COUNTIF('Програма-кодове'!$C33:$AD33,$F$2)=0,"-",IF(COUNTIF('Програма-кодове'!$C33:$AD33,$F$2)=1,INDEX('Програма-кодове'!$C$1:$AD$1,1,MATCH($F$2,'Програма-кодове'!$C33:$AD33,0)),"Дублаж"))</f>
        <v>10д</v>
      </c>
      <c r="G34" s="196" t="str">
        <f>IF(COUNTIF('Програма-кодове'!$C33:$AD33,$G$2)=0,"-",IF(COUNTIF('Програма-кодове'!$C33:$AD33,$G$2)=1,INDEX('Програма-кодове'!$C$1:$AD$1,1,MATCH($G$2,'Програма-кодове'!$C33:$AD33,0)),"Дублаж"))</f>
        <v>12б</v>
      </c>
      <c r="H34" s="196">
        <f>IF(COUNTIF('Програма-кодове'!$C33:$AD33,$H$2)=0,"-",IF(COUNTIF('Програма-кодове'!$C33:$AD33,$H$2)=1,INDEX('Програма-кодове'!$C$1:$AD$1,1,MATCH($H$2,'Програма-кодове'!$C33:$AD33,0)),"Дублаж"))</f>
        <v>5</v>
      </c>
      <c r="I34" s="196" t="str">
        <f>IF(COUNTIF('Програма-кодове'!$C33:$AD33,$I$2)=0,"-",IF(COUNTIF('Програма-кодове'!$C33:$AD33,$I$2)=1,INDEX('Програма-кодове'!$C$1:$AD$1,1,MATCH($I$2,'Програма-кодове'!$C33:$AD33,0)),"Дублаж"))</f>
        <v>-</v>
      </c>
      <c r="J34" s="319" t="str">
        <f>IF(COUNTIF('Програма-кодове'!$C33:$AD33,$J$2)=0,"-",IF(COUNTIF('Програма-кодове'!$C33:$AD33,$J$2)=1,INDEX('Програма-кодове'!$C$1:$AD$1,1,MATCH($J$2,'Програма-кодове'!$C33:$AD33,0)),"Дублаж"))</f>
        <v>-</v>
      </c>
      <c r="K34" s="194" t="str">
        <f>IF(COUNTIF('Програма-кодове'!$C33:$AD33,$K$2)=0,"-",IF(COUNTIF('Програма-кодове'!$C33:$AD33,$K$2)=1,INDEX('Програма-кодове'!$C$1:$AD$1,1,MATCH($K$2,'Програма-кодове'!$C33:$AD33,0)),"Дублаж"))</f>
        <v>-</v>
      </c>
      <c r="L34" s="316" t="str">
        <f>IF(COUNTIF('Програма-кодове'!$C33:$AD33,$L$2)=0,"-",IF(COUNTIF('Програма-кодове'!$C33:$AD33,$L$2)=1,INDEX('Програма-кодове'!$C$1:$AD$1,1,MATCH($L$2,'Програма-кодове'!$C33:$AD33,0)),"Дублаж"))</f>
        <v>-</v>
      </c>
      <c r="M34" s="194" t="str">
        <f>IF(COUNTIF('Програма-кодове'!$C33:$AD33,$M$2)=0,"-",IF(COUNTIF('Програма-кодове'!$C33:$AD33,$M$2)=1,INDEX('Програма-кодове'!$C$1:$AD$1,1,MATCH($M$2,'Програма-кодове'!$C33:$AD33,0)),"Дублаж"))</f>
        <v>8б</v>
      </c>
      <c r="N34" s="194" t="str">
        <f>IF(COUNTIF('Програма-кодове'!$C33:$AD33,$N$2)=0,"-",IF(COUNTIF('Програма-кодове'!$C33:$AD33,$N$2)=1,INDEX('Програма-кодове'!$C$1:$AD$1,1,MATCH($N$2,'Програма-кодове'!$C33:$AD33,0)),"Дублаж"))</f>
        <v>8в</v>
      </c>
      <c r="O34" s="194" t="str">
        <f>IF(COUNTIF('Програма-кодове'!$C33:$AD33,$O$2)=0,"-",IF(COUNTIF('Програма-кодове'!$C33:$AD33,$O$2)=1,INDEX('Програма-кодове'!$C$1:$AD$1,1,MATCH($O$2,'Програма-кодове'!$C33:$AD33,0)),"Дублаж"))</f>
        <v>8д</v>
      </c>
      <c r="P34" s="194" t="str">
        <f>IF(COUNTIF('Програма-кодове'!$C33:$AD33,$P$2)=0,"-",IF(COUNTIF('Програма-кодове'!$C33:$AD33,$P$2)=1,INDEX('Програма-кодове'!$C$1:$AD$1,1,MATCH($P$2,'Програма-кодове'!$C33:$AD33,0)),"Дублаж"))</f>
        <v>8a</v>
      </c>
      <c r="Q34" s="316" t="str">
        <f>IF(COUNTIF('Програма-кодове'!$C33:$AD33,$Q$2)=0,"-",IF(COUNTIF('Програма-кодове'!$C33:$AD33,$Q$2)=1,INDEX('Програма-кодове'!$C$1:$AD$1,1,MATCH($Q$2,'Програма-кодове'!$C33:$AD33,0)),"Дублаж"))</f>
        <v>9б</v>
      </c>
      <c r="R34" s="193" t="str">
        <f t="shared" si="0"/>
        <v>10г</v>
      </c>
      <c r="S34" s="353" t="str">
        <f t="shared" si="3"/>
        <v>12г</v>
      </c>
      <c r="T34" s="193" t="str">
        <f t="shared" si="4"/>
        <v>-</v>
      </c>
      <c r="U34" s="196" t="str">
        <f>IF(COUNTIF('Програма-кодове'!$C33:$AD33,$U$2)=0,"-",IF(COUNTIF('Програма-кодове'!$C33:$AD33,$U$2)=1,INDEX('Програма-кодове'!$C$1:$AD$1,1,MATCH($U$2,'Програма-кодове'!$C33:$AD33,0)),"Дублаж"))</f>
        <v>12а</v>
      </c>
      <c r="V34" s="194" t="str">
        <f>IF(COUNTIF('Програма-кодове'!$C33:$AD33,$V$2)=0,"-",IF(COUNTIF('Програма-кодове'!$C33:$AD33,$V$2)=1,INDEX('Програма-кодове'!$C$1:$AD$1,1,MATCH($V$2,'Програма-кодове'!$C33:$AD33,0)),"Дублаж"))</f>
        <v>-</v>
      </c>
      <c r="W34" s="194" t="str">
        <f>IF(COUNTIF('Програма-кодове'!$C33:$AD33,$W$2)=0,"-",IF(COUNTIF('Програма-кодове'!$C33:$AD33,$W$2)=1,INDEX('Програма-кодове'!$C$1:$AD$1,1,MATCH($W$2,'Програма-кодове'!$C33:$AD33,0)),"Дублаж"))</f>
        <v>10а</v>
      </c>
      <c r="X34" s="353" t="str">
        <f>IF(COUNTIF('Програма-кодове'!$C33:$AD33,$X$2)=0,"-",IF(COUNTIF('Програма-кодове'!$C33:$AD33,$X$2)=1,INDEX('Програма-кодове'!$C$1:$AD$1,1,MATCH($X$2,'Програма-кодове'!$C33:$AD33,0)),"Дублаж"))</f>
        <v>-</v>
      </c>
      <c r="Y34" s="194" t="str">
        <f>IF(COUNTIF('Програма-кодове'!$C33:$AD33,$Y$2)=0,"-",IF(COUNTIF('Програма-кодове'!$C33:$AD33,$Y$2)=1,INDEX('Програма-кодове'!$C$1:$AD$1,1,MATCH($Y$2,'Програма-кодове'!$C33:$AD33,0)),"Дублаж"))</f>
        <v>11г</v>
      </c>
      <c r="Z34" s="194" t="str">
        <f>IF(COUNTIF('Програма-кодове'!$C33:$AD33,$Z$2)=0,"-",IF(COUNTIF('Програма-кодове'!$C33:$AD33,$Z$2)=1,INDEX('Програма-кодове'!$C$1:$AD$1,1,MATCH($Z$2,'Програма-кодове'!$C33:$AD33,0)),"Дублаж"))</f>
        <v>-</v>
      </c>
      <c r="AA34" s="193" t="str">
        <f t="shared" si="5"/>
        <v>12в</v>
      </c>
      <c r="AB34" s="193" t="str">
        <f t="shared" si="6"/>
        <v>-</v>
      </c>
      <c r="AC34" s="193" t="str">
        <f t="shared" si="7"/>
        <v>-</v>
      </c>
      <c r="AD34" s="193" t="str">
        <f t="shared" si="8"/>
        <v>-</v>
      </c>
      <c r="AE34" s="193" t="str">
        <f t="shared" si="9"/>
        <v>12в</v>
      </c>
      <c r="AF34" s="193" t="str">
        <f t="shared" si="10"/>
        <v>9д</v>
      </c>
      <c r="AG34" s="193" t="str">
        <f t="shared" ref="AG34" si="30">IF(BA34&lt;&gt;"-",IF(AND(BC34="-",BG34="-",BF34="-",BM34="-",BI34="-"),BA34,"Дублаж"),IF(BC34&lt;&gt;"-",IF(AND(BG34="-",BF34="-",BM34="-",BI34="-"),BC34,"Дублаж"),IF(BG34&lt;&gt;"-",IF(AND(BF34="-",BM34="-",BI34="-"),BG34,"Дублаж"),IF(BF34&lt;&gt;"-",IF(AND(BM34="-",BI34="-"),BF34,"Дублаж"),IF(BM34&lt;&gt;"-",IF(BI34="-",BM34,BI34),BI34)))))</f>
        <v>9д</v>
      </c>
      <c r="AH34" s="193" t="str">
        <f t="shared" si="12"/>
        <v>-</v>
      </c>
      <c r="AI34" s="194" t="str">
        <f t="shared" si="13"/>
        <v>-</v>
      </c>
      <c r="AJ34" s="193" t="str">
        <f t="shared" si="14"/>
        <v>9г</v>
      </c>
      <c r="AK34" s="194" t="str">
        <f>IF(COUNTIF('Програма-кодове'!$C33:$AD33,$AK$2)=0,"-",IF(COUNTIF('Програма-кодове'!$C33:$AD33,$AK$2)=1,INDEX('Програма-кодове'!$C$1:$AD$1,1,MATCH($AK$2,'Програма-кодове'!$C33:$AD33,0)),"Дублаж"))</f>
        <v>12д</v>
      </c>
      <c r="AL34" s="196">
        <f>IF(COUNTIF('Програма-кодове'!$C33:$AD33,$AL$2)=0,"-",IF(COUNTIF('Програма-кодове'!$C33:$AD33,$AL$2)=1,INDEX('Програма-кодове'!$C$1:$AD$1,1,MATCH($AL$2,'Програма-кодове'!$C33:$AD33,0)),"Дублаж"))</f>
        <v>6</v>
      </c>
      <c r="AM34" s="194" t="str">
        <f>IF(COUNTIF('Програма-кодове'!$C33:$AD33,$AM$2)=0,"-",IF(COUNTIF('Програма-кодове'!$C33:$AD33,$AM$2)=1,INDEX('Програма-кодове'!$C$1:$AD$1,1,MATCH($AM$2,'Програма-кодове'!$C33:$AD33,0)),"Дублаж"))</f>
        <v>11в</v>
      </c>
      <c r="AN34" s="193" t="str">
        <f>IF(COUNTIF('Програма-кодове'!$C33:$AD33,$AN$2)=0,"-",IF(COUNTIF('Програма-кодове'!$C33:$AD33,$AN$2)=1,INDEX('Програма-кодове'!$C$1:$AD$1,1,MATCH($AN$2,'Програма-кодове'!$C33:$AD33,0)),"Дублаж"))</f>
        <v>11д</v>
      </c>
      <c r="AO34" s="193" t="str">
        <f>IF(COUNTIF('Програма-кодове'!$C33:$AD33,$AO$2)=0,"-",IF(COUNTIF('Програма-кодове'!$C33:$AD33,$AO$2)=1,INDEX('Програма-кодове'!$C$1:$AD$1,1,MATCH($AO$2,'Програма-кодове'!$C33:$AD33,0)),"Дублаж"))</f>
        <v>10б</v>
      </c>
      <c r="AP34" s="193" t="str">
        <f>IF(COUNTIF('Програма-кодове'!$C33:$AD33,$AP$2)=0,"-",IF(COUNTIF('Програма-кодове'!$C33:$AD33,$AP$2)=1,INDEX('Програма-кодове'!$C$1:$AD$1,1,MATCH($AP$2,'Програма-кодове'!$C33:$AD33,0)),"Дублаж"))</f>
        <v>-</v>
      </c>
      <c r="AQ34" s="193" t="str">
        <f t="shared" si="15"/>
        <v>11а</v>
      </c>
      <c r="AR34" s="193" t="str">
        <f>IF(COUNTIF('Програма-кодове'!$C33:$AD33,$AR$2)=0,"-",IF(COUNTIF('Програма-кодове'!$C33:$AD33,$AR$2)=1,INDEX('Програма-кодове'!$C$1:$AD$1,1,MATCH($AR$2,'Програма-кодове'!$C33:$AD33,0)),"Дублаж"))</f>
        <v>-</v>
      </c>
      <c r="AS34" s="193" t="str">
        <f>IF(COUNTIF('Програма-кодове'!$C33:$AD33,$AS$2)=0,"-",IF(COUNTIF('Програма-кодове'!$C33:$AD33,$AS$2)=1,INDEX('Програма-кодове'!$C$1:$AD$1,1,MATCH($AS$2,'Програма-кодове'!$C33:$AD33,0)),"Дублаж"))</f>
        <v>10в</v>
      </c>
      <c r="AT34" s="193" t="str">
        <f>IF(COUNTIF('Програма-кодове'!$C33:$AD33,$AT$2)=0,"-",IF(COUNTIF('Програма-кодове'!$C33:$AD33,$AT$2)=1,INDEX('Програма-кодове'!$C$1:$AD$1,1,MATCH($AT$2,'Програма-кодове'!$C33:$AD33,0)),"Дублаж"))</f>
        <v>-</v>
      </c>
      <c r="AU34" s="194" t="str">
        <f t="shared" si="25"/>
        <v>8г</v>
      </c>
      <c r="AV34" s="194" t="str">
        <f t="shared" si="2"/>
        <v>-</v>
      </c>
      <c r="AW34" s="194" t="str">
        <f>IF(COUNTIF('Програма-кодове'!$C33:$AD33,$AW$2)=0,"-",IF(COUNTIF('Програма-кодове'!$C33:$AD33,$AW$2)=1,INDEX('Програма-кодове'!$C$1:$AD$1,1,MATCH($AW$2,'Програма-кодове'!$C33:$AD33,0)),"Дублаж"))</f>
        <v>9в</v>
      </c>
      <c r="AX34" s="194" t="str">
        <f>IF(COUNTIF('Програма-кодове'!$C33:$AD33,$AX$2)=0,"-",IF(COUNTIF('Програма-кодове'!$C33:$AD33,$AX$2)=1,INDEX('Програма-кодове'!$C$1:$AD$1,1,MATCH($AX$2,'Програма-кодове'!$C33:$AD33,0)),"Дублаж"))</f>
        <v>-</v>
      </c>
      <c r="AY34" s="194" t="str">
        <f>IF(COUNTIF('Програма-кодове'!$C33:$AD33,$AY$2)=0,"-",IF(COUNTIF('Програма-кодове'!$C33:$AD33,$AY$2)=1,INDEX('Програма-кодове'!$C$1:$AD$1,1,MATCH($AY$2,'Програма-кодове'!$C33:$AD33,0)),"Дублаж"))</f>
        <v>9а</v>
      </c>
      <c r="AZ34" s="193" t="str">
        <f t="shared" si="16"/>
        <v>-</v>
      </c>
      <c r="BA34" s="30" t="str">
        <f>IF(COUNTIF('Програма-кодове'!$C33:$AD33,$BA$2)=0,"-",IF(COUNTIF('Програма-кодове'!$C33:$AD33,$BA$2)=1,INDEX('Програма-кодове'!$C$1:$AD$1,1,MATCH($BA$2,'Програма-кодове'!$C33:$AD33,0)),"Дублаж"))</f>
        <v>-</v>
      </c>
      <c r="BB34" s="30" t="str">
        <f>IF(COUNTIF('Програма-кодове'!$C33:$AD33,$BB$2)=0,"-",IF(COUNTIF('Програма-кодове'!$C33:$AD33,$BB$2)=1,INDEX('Програма-кодове'!$C$1:$AD$1,1,MATCH($BB$2,'Програма-кодове'!$C33:$AD33,0)),"Дублаж"))</f>
        <v>-</v>
      </c>
      <c r="BC34" s="30" t="str">
        <f>IF(COUNTIF('Програма-кодове'!$C33:$AD33,$BC$2)=0,"-",IF(COUNTIF('Програма-кодове'!$C33:$AD33,$BC$2)=1,INDEX('Програма-кодове'!$C$1:$AD$1,1,MATCH($BC$2,'Програма-кодове'!$C33:$AD33,0)),"Дублаж"))</f>
        <v>-</v>
      </c>
      <c r="BD34" s="30" t="str">
        <f>IF(COUNTIF('Програма-кодове'!$C33:$AD33,$BD$2)=0,"-",IF(COUNTIF('Програма-кодове'!$C33:$AD33,$BD$2)=1,INDEX('Програма-кодове'!$C$1:$AD$1,1,MATCH($BD$2,'Програма-кодове'!$C33:$AD33,0)),"Дублаж"))</f>
        <v>-</v>
      </c>
      <c r="BE34" s="30" t="str">
        <f>IF(COUNTIF('Програма-кодове'!$C33:$AD33,$BE$2)=0,"-",IF(COUNTIF('Програма-кодове'!$C33:$AD33,$BE$2)=1,INDEX('Програма-кодове'!$C$1:$AD$1,1,MATCH($BE$2,'Програма-кодове'!$C33:$AD33,0)),"Дублаж"))</f>
        <v>-</v>
      </c>
      <c r="BF34" s="30" t="str">
        <f>IF(COUNTIF('Програма-кодове'!$C33:$AD33,$BF$2)=0,"-",IF(COUNTIF('Програма-кодове'!$C33:$AD33,$BF$2)=1,INDEX('Програма-кодове'!$C$1:$AD$1,1,MATCH($BF$2,'Програма-кодове'!$C33:$AD33,0)),"Дублаж"))</f>
        <v>9д</v>
      </c>
      <c r="BG34" s="30" t="str">
        <f>IF(COUNTIF('Програма-кодове'!$C33:$AD33,$BG$2)=0,"-",IF(COUNTIF('Програма-кодове'!$C33:$AD33,$BG$2)=1,INDEX('Програма-кодове'!$C$1:$AD$1,1,MATCH($BG$2,'Програма-кодове'!$C33:$AD33,0)),"Дублаж"))</f>
        <v>-</v>
      </c>
      <c r="BH34" s="30" t="str">
        <f>IF(COUNTIF('Програма-кодове'!$C33:$AD33,$BH$2)=0,"-",IF(COUNTIF('Програма-кодове'!$C33:$AD33,$BH$2)=1,INDEX('Програма-кодове'!$C$1:$AD$1,1,MATCH($BH$2,'Програма-кодове'!$C33:$AD33,0)),"Дублаж"))</f>
        <v>12в</v>
      </c>
      <c r="BI34" s="94" t="str">
        <f>IF(COUNTIF('Програма-кодове'!$C33:$AD33,$BI$2)=0,"-",IF(COUNTIF('Програма-кодове'!$C33:$AD33,$BI$2)=1,INDEX('Програма-кодове'!$C$1:$AD$1,1,MATCH($BI$2,'Програма-кодове'!$C33:$AD33,0)),IF('Програма-кодове'!Z33='Програма-кодове'!AA33,"12а,б","Дублаж")))</f>
        <v>-</v>
      </c>
      <c r="BJ34" s="94" t="str">
        <f>IF(COUNTIF('Програма-кодове'!$C33:$AD33,$BJ$2)=0,"-",IF(COUNTIF('Програма-кодове'!$C33:$AD33,$BJ$2)=1,INDEX('Програма-кодове'!$C$1:$AD$1,1,MATCH($BJ$2,'Програма-кодове'!$C33:$AD33,0)),"Дублаж"))</f>
        <v>-</v>
      </c>
      <c r="BK34" s="94" t="str">
        <f>IF(COUNTIF('Програма-кодове'!$C33:$AD33,$BK$2)=0,"-",IF(COUNTIF('Програма-кодове'!$C33:$AD33,$BK$2)=1,INDEX('Програма-кодове'!$C$1:$AD$1,1,MATCH($BK$2,'Програма-кодове'!$C33:$AD33,0)),IF('Програма-кодове'!K33='Програма-кодове'!O33,"9а,д",IF('Програма-кодове'!L33='Програма-кодове'!M33,"9б,в","Дублаж"))))</f>
        <v>-</v>
      </c>
      <c r="BL34" s="30" t="str">
        <f>IF(COUNTIF('Програма-кодове'!$C33:$AD33,$BL$2)=0,"-",IF(COUNTIF('Програма-кодове'!$C33:$AD33,$BL$2)=1,INDEX('Програма-кодове'!$C$1:$AD$1,1,MATCH($BL$2,'Програма-кодове'!$C33:$AD33,0)),"Дублаж"))</f>
        <v>-</v>
      </c>
      <c r="BM34" s="30" t="str">
        <f>IF(COUNTIF('Програма-кодове'!$C33:$AD33,$BM$2)=0,"-",IF(COUNTIF('Програма-кодове'!$C33:$AD33,$BM$2)=1,INDEX('Програма-кодове'!$C$1:$AD$1,1,MATCH($BM$2,'Програма-кодове'!$C33:$AD33,0)),"Дублаж"))</f>
        <v>-</v>
      </c>
      <c r="BN34" s="77" t="str">
        <f>IF(COUNTIF('Програма-кодове'!$C33:$AD33,$BN$2)=0,"-",IF(COUNTIF('Програма-кодове'!$C33:$AD33,$BN$2)=1,INDEX('Програма-кодове'!$C$1:$AD$1,1,MATCH($BN$2,'Програма-кодове'!$C33:$AD33,0)),IF(AND('Програма-кодове'!K33='Програма-кодове'!O33,'Програма-кодове'!K33&lt;&gt;""),"9а, д", IF(AND('Програма-кодове'!U33='Програма-кодове'!W33,'Програма-кодове'!U33&lt;&gt;""),"11а,в", "Дублаж"))))</f>
        <v>-</v>
      </c>
      <c r="BO34" s="77" t="str">
        <f>IF(COUNTIF('Програма-кодове'!$C33:$AD33,$BO$2)=0,"-",IF(COUNTIF('Програма-кодове'!$C33:$AD33,$BO$2)=1,INDEX('Програма-кодове'!$C$1:$AD$1,1,MATCH($BO$2,'Програма-кодове'!$C33:$AD33,0)),IF(AND('Програма-кодове'!U33='Програма-кодове'!W33,'Програма-кодове'!U33&lt;&gt;"" ),"11a,в","Дублаж")))</f>
        <v>-</v>
      </c>
      <c r="BP34" s="30" t="str">
        <f>IF(COUNTIF('Програма-кодове'!$C33:$AD33,$BP$2)=0,"-",IF(COUNTIF('Програма-кодове'!$C33:$AD33,$BP$2)=1,"9б,в,г","Дублаж"))</f>
        <v>-</v>
      </c>
      <c r="BQ34" s="30" t="str">
        <f>IF(COUNTIF('Програма-кодове'!$C33:$AD33,$BQ$2)=0,"-",IF(COUNTIF('Програма-кодове'!$C33:$AD33,$BQ$2)=1,INDEX('Програма-кодове'!$C$1:$AD$1,1,MATCH($BQ$2,'Програма-кодове'!$C33:$AD33,0)),"Дублаж"))</f>
        <v>12г</v>
      </c>
      <c r="BR34" s="30" t="str">
        <f>IF(COUNTIF('Програма-кодове'!$C33:$AD33,$BR$2)=0,"-",IF(COUNTIF('Програма-кодове'!$C33:$AD33,$BR$2)=1,INDEX('Програма-кодове'!$C$1:$AD$1,1,MATCH($BR$2,'Програма-кодове'!$C33:$AD33,0)),IF('Програма-кодове'!W33='Програма-кодове'!X33,"11б,в","Дублаж")))</f>
        <v>-</v>
      </c>
      <c r="BS34" s="30" t="str">
        <f>IF(COUNTIF('Програма-кодове'!$C33:$AD33,$BS$2)=0,"-",IF(COUNTIF('Програма-кодове'!$C33:$AD33,$BS$2)=1,INDEX('Програма-кодове'!$C$1:$AD$1,1,MATCH($BS$2,'Програма-кодове'!$C33:$AD33,0)),"Дублаж"))</f>
        <v>-</v>
      </c>
      <c r="BT34" s="193" t="str">
        <f t="shared" si="17"/>
        <v>-</v>
      </c>
      <c r="BU34" s="30" t="str">
        <f>IF(COUNTIF('Програма-кодове'!$C33:$AD33,$BU$2)=0,"-",IF(COUNTIF('Програма-кодове'!$C33:$AD33,$BU$2)=1,INDEX('Програма-кодове'!$C$1:$AD$1,1,MATCH($BU$2,'Програма-кодове'!$C33:$AD33,0)),"Дублаж"))</f>
        <v>10г</v>
      </c>
      <c r="BV34" s="30" t="str">
        <f>IF(COUNTIF('Програма-кодове'!$C33:$AD33,$BV$2)=0,"-",IF(COUNTIF('Програма-кодове'!$C33:$AD33,$BV$2)=1,INDEX('Програма-кодове'!$C$1:$AD$1,1,MATCH($BV$2,'Програма-кодове'!$C33:$AD33,0)),"Дублаж"))</f>
        <v>-</v>
      </c>
      <c r="BW34" s="30" t="str">
        <f>IF(COUNTIF('Програма-кодове'!$C33:$AD33,$BW$2)=0,"-",IF(COUNTIF('Програма-кодове'!$C33:$AD33,$BW$2)=1,INDEX('Програма-кодове'!$C$1:$AD$1,1,MATCH($BW$2,'Програма-кодове'!$C33:$AD33,0)),"Дублаж"))</f>
        <v>8г</v>
      </c>
      <c r="BX34" s="30" t="str">
        <f>IF(COUNTIF('Програма-кодове'!$C33:$AD33,$BX$2)=0,"-",IF(COUNTIF('Програма-кодове'!$C33:$AD33,$BX$2)=1,INDEX('Програма-кодове'!$C$1:$AD$1,1,MATCH($BX$2,'Програма-кодове'!$C33:$AD33,0)),"Дублаж"))</f>
        <v>-</v>
      </c>
      <c r="BY34" s="30" t="str">
        <f>IF(COUNTIF('Програма-кодове'!$C33:$AD33,$BY$2)=0,"-",IF(COUNTIF('Програма-кодове'!$C33:$AD33,$BY$2)=1,INDEX('Програма-кодове'!$C$1:$AD$1,1,MATCH($BY$2,'Програма-кодове'!$C33:$AD33,0)),"Дублаж"))</f>
        <v>-</v>
      </c>
      <c r="BZ34" s="30" t="str">
        <f>IF(COUNTIF('Програма-кодове'!$C33:$AD33,$BZ$2)=0,"-",IF(COUNTIF('Програма-кодове'!$C33:$AD33,$BZ$2)=1,INDEX('Програма-кодове'!$C$1:$AD$1,1,MATCH($BZ$2,'Програма-кодове'!$C33:$AD33,0)),"Дублаж"))</f>
        <v>-</v>
      </c>
      <c r="CA34" s="30" t="str">
        <f>IF(COUNTIF('Програма-кодове'!$C33:$AD33,$CA$2)=0,"-",IF(COUNTIF('Програма-кодове'!$C33:$AD33,$CA$2)=1,INDEX('Програма-кодове'!$C$1:$AD$1,1,MATCH($CA$2,'Програма-кодове'!$C33:$AD33,0)),"Дублаж"))</f>
        <v>-</v>
      </c>
      <c r="CB34" s="30" t="str">
        <f>IF(COUNTIF('Програма-кодове'!$C33:$AD33,$CB$2)=0,"-",IF(COUNTIF('Програма-кодове'!$C33:$AD33,$CB$2)=1,INDEX('Програма-кодове'!$C$1:$AD$1,1,MATCH($CB$2,'Програма-кодове'!$C33:$AD33,0)),"Дублаж"))</f>
        <v>11а</v>
      </c>
      <c r="CC34" s="30" t="str">
        <f>IF(COUNTIF('Програма-кодове'!$C33:$AD33,$CC$2)=0,"-",IF(COUNTIF('Програма-кодове'!$C33:$AD33,$CC$2)=1,INDEX('Програма-кодове'!$C$1:$AD$1,1,MATCH($CC$2,'Програма-кодове'!$C33:$AD33,0)),"Дублаж"))</f>
        <v>9г</v>
      </c>
      <c r="CD34" s="30" t="str">
        <f>IF(COUNTIF('Програма-кодове'!$C33:$AD33,$CD$2)=0,"-",IF(COUNTIF('Програма-кодове'!$C33:$AD33,$CD$2)=1,INDEX('Програма-кодове'!$C$1:$AD$1,1,MATCH($CD$2,'Програма-кодове'!$C33:$AD33,0)),"Дублаж"))</f>
        <v>-</v>
      </c>
      <c r="CE34" s="30" t="str">
        <f>IF(COUNTIF('Програма-кодове'!$C33:$AD33,$CE$2)=0,"-",IF(COUNTIF('Програма-кодове'!$C33:$AD33,$CE$2)=1,INDEX('Програма-кодове'!$C$1:$AD$1,1,MATCH($CE$2,'Програма-кодове'!$C33:$AD33,0)),"Дублаж"))</f>
        <v>-</v>
      </c>
    </row>
    <row r="35" spans="1:83" ht="13.5" customHeight="1">
      <c r="A35" s="367"/>
      <c r="B35" s="330">
        <v>5</v>
      </c>
      <c r="C35" s="194" t="str">
        <f>IF(COUNTIF('Програма-кодове'!$C34:$AD34,$C$2)=0,"-",IF(COUNTIF('Програма-кодове'!$C34:$AD34,$C$2)=1,INDEX('Програма-кодове'!$C$1:$AD$1,1,MATCH($C$2,'Програма-кодове'!$C34:$AD34,0)),"Дублаж"))</f>
        <v>-</v>
      </c>
      <c r="D35" s="319" t="str">
        <f>IF(COUNTIF('Програма-кодове'!$C34:$AD34,$D$2)=0,"-",IF(COUNTIF('Програма-кодове'!$C34:$AD34,$D$2)=1,INDEX('Програма-кодове'!$C$1:$AD$1,1,MATCH($D$2,'Програма-кодове'!$C34:$AD34,0)),"Дублаж"))</f>
        <v>11б</v>
      </c>
      <c r="E35" s="196" t="str">
        <f>IF(COUNTIF('Програма-кодове'!$C34:$AD34,$E$2)=0,"-",IF(COUNTIF('Програма-кодове'!$C34:$AD34,$E$2)=1,INDEX('Програма-кодове'!$C$1:$AD$1,1,MATCH($E$2,'Програма-кодове'!$C34:$AD34,0)),"Дублаж"))</f>
        <v>8г</v>
      </c>
      <c r="F35" s="194" t="str">
        <f>IF(COUNTIF('Програма-кодове'!$C34:$AD34,$F$2)=0,"-",IF(COUNTIF('Програма-кодове'!$C34:$AD34,$F$2)=1,INDEX('Програма-кодове'!$C$1:$AD$1,1,MATCH($F$2,'Програма-кодове'!$C34:$AD34,0)),"Дублаж"))</f>
        <v>10а</v>
      </c>
      <c r="G35" s="346" t="str">
        <f>IF(COUNTIF('Програма-кодове'!$C34:$AD34,$G$2)=0,"-",IF(COUNTIF('Програма-кодове'!$C34:$AD34,$G$2)=1,INDEX('Програма-кодове'!$C$1:$AD$1,1,MATCH($G$2,'Програма-кодове'!$C34:$AD34,0)),"Дублаж"))</f>
        <v>-</v>
      </c>
      <c r="H35" s="196">
        <f>IF(COUNTIF('Програма-кодове'!$C34:$AD34,$H$2)=0,"-",IF(COUNTIF('Програма-кодове'!$C34:$AD34,$H$2)=1,INDEX('Програма-кодове'!$C$1:$AD$1,1,MATCH($H$2,'Програма-кодове'!$C34:$AD34,0)),"Дублаж"))</f>
        <v>5</v>
      </c>
      <c r="I35" s="194" t="str">
        <f>IF(COUNTIF('Програма-кодове'!$C34:$AD34,$I$2)=0,"-",IF(COUNTIF('Програма-кодове'!$C34:$AD34,$I$2)=1,INDEX('Програма-кодове'!$C$1:$AD$1,1,MATCH($I$2,'Програма-кодове'!$C34:$AD34,0)),"Дублаж"))</f>
        <v>11д</v>
      </c>
      <c r="J35" s="319" t="str">
        <f>IF(COUNTIF('Програма-кодове'!$C34:$AD34,$J$2)=0,"-",IF(COUNTIF('Програма-кодове'!$C34:$AD34,$J$2)=1,INDEX('Програма-кодове'!$C$1:$AD$1,1,MATCH($J$2,'Програма-кодове'!$C34:$AD34,0)),"Дублаж"))</f>
        <v>-</v>
      </c>
      <c r="K35" s="194" t="str">
        <f>IF(COUNTIF('Програма-кодове'!$C34:$AD34,$K$2)=0,"-",IF(COUNTIF('Програма-кодове'!$C34:$AD34,$K$2)=1,INDEX('Програма-кодове'!$C$1:$AD$1,1,MATCH($K$2,'Програма-кодове'!$C34:$AD34,0)),"Дублаж"))</f>
        <v>12г</v>
      </c>
      <c r="L35" s="316" t="str">
        <f>IF(COUNTIF('Програма-кодове'!$C34:$AD34,$L$2)=0,"-",IF(COUNTIF('Програма-кодове'!$C34:$AD34,$L$2)=1,INDEX('Програма-кодове'!$C$1:$AD$1,1,MATCH($L$2,'Програма-кодове'!$C34:$AD34,0)),"Дублаж"))</f>
        <v>-</v>
      </c>
      <c r="M35" s="194" t="str">
        <f>IF(COUNTIF('Програма-кодове'!$C34:$AD34,$M$2)=0,"-",IF(COUNTIF('Програма-кодове'!$C34:$AD34,$M$2)=1,INDEX('Програма-кодове'!$C$1:$AD$1,1,MATCH($M$2,'Програма-кодове'!$C34:$AD34,0)),"Дублаж"))</f>
        <v>8б</v>
      </c>
      <c r="N35" s="194">
        <f>IF(COUNTIF('Програма-кодове'!$C34:$AD34,$N$2)=0,"-",IF(COUNTIF('Програма-кодове'!$C34:$AD34,$N$2)=1,INDEX('Програма-кодове'!$C$1:$AD$1,1,MATCH($N$2,'Програма-кодове'!$C34:$AD34,0)),"Дублаж"))</f>
        <v>6</v>
      </c>
      <c r="O35" s="194" t="str">
        <f>IF(COUNTIF('Програма-кодове'!$C34:$AD34,$O$2)=0,"-",IF(COUNTIF('Програма-кодове'!$C34:$AD34,$O$2)=1,INDEX('Програма-кодове'!$C$1:$AD$1,1,MATCH($O$2,'Програма-кодове'!$C34:$AD34,0)),"Дублаж"))</f>
        <v>8д</v>
      </c>
      <c r="P35" s="194" t="str">
        <f>IF(COUNTIF('Програма-кодове'!$C34:$AD34,$P$2)=0,"-",IF(COUNTIF('Програма-кодове'!$C34:$AD34,$P$2)=1,INDEX('Програма-кодове'!$C$1:$AD$1,1,MATCH($P$2,'Програма-кодове'!$C34:$AD34,0)),"Дублаж"))</f>
        <v>8a</v>
      </c>
      <c r="Q35" s="316" t="str">
        <f>IF(COUNTIF('Програма-кодове'!$C34:$AD34,$Q$2)=0,"-",IF(COUNTIF('Програма-кодове'!$C34:$AD34,$Q$2)=1,INDEX('Програма-кодове'!$C$1:$AD$1,1,MATCH($Q$2,'Програма-кодове'!$C34:$AD34,0)),"Дублаж"))</f>
        <v>9д</v>
      </c>
      <c r="R35" s="193" t="str">
        <f t="shared" si="0"/>
        <v>12д</v>
      </c>
      <c r="S35" s="354" t="str">
        <f t="shared" si="3"/>
        <v>12а</v>
      </c>
      <c r="T35" s="339" t="str">
        <f t="shared" si="4"/>
        <v>12а,д</v>
      </c>
      <c r="U35" s="339" t="str">
        <f>IF(COUNTIF('Програма-кодове'!$C34:$AD34,$U$2)=0,"-",IF(COUNTIF('Програма-кодове'!$C34:$AD34,$U$2)=1,INDEX('Програма-кодове'!$C$1:$AD$1,1,MATCH($U$2,'Програма-кодове'!$C34:$AD34,0)),"Дублаж"))</f>
        <v>-</v>
      </c>
      <c r="V35" s="194" t="str">
        <f>IF(COUNTIF('Програма-кодове'!$C34:$AD34,$V$2)=0,"-",IF(COUNTIF('Програма-кодове'!$C34:$AD34,$V$2)=1,INDEX('Програма-кодове'!$C$1:$AD$1,1,MATCH($V$2,'Програма-кодове'!$C34:$AD34,0)),"Дублаж"))</f>
        <v>9а</v>
      </c>
      <c r="W35" s="194">
        <f>IF(COUNTIF('Програма-кодове'!$C34:$AD34,$W$2)=0,"-",IF(COUNTIF('Програма-кодове'!$C34:$AD34,$W$2)=1,INDEX('Програма-кодове'!$C$1:$AD$1,1,MATCH($W$2,'Програма-кодове'!$C34:$AD34,0)),"Дублаж"))</f>
        <v>7</v>
      </c>
      <c r="X35" s="194" t="str">
        <f>IF(COUNTIF('Програма-кодове'!$C34:$AD34,$X$2)=0,"-",IF(COUNTIF('Програма-кодове'!$C34:$AD34,$X$2)=1,INDEX('Програма-кодове'!$C$1:$AD$1,1,MATCH($X$2,'Програма-кодове'!$C34:$AD34,0)),"Дублаж"))</f>
        <v>12б</v>
      </c>
      <c r="Y35" s="194" t="str">
        <f>IF(COUNTIF('Програма-кодове'!$C34:$AD34,$Y$2)=0,"-",IF(COUNTIF('Програма-кодове'!$C34:$AD34,$Y$2)=1,INDEX('Програма-кодове'!$C$1:$AD$1,1,MATCH($Y$2,'Програма-кодове'!$C34:$AD34,0)),"Дублаж"))</f>
        <v>11г</v>
      </c>
      <c r="Z35" s="353" t="str">
        <f>IF(COUNTIF('Програма-кодове'!$C34:$AD34,$Z$2)=0,"-",IF(COUNTIF('Програма-кодове'!$C34:$AD34,$Z$2)=1,INDEX('Програма-кодове'!$C$1:$AD$1,1,MATCH($Z$2,'Програма-кодове'!$C34:$AD34,0)),"Дублаж"))</f>
        <v>-</v>
      </c>
      <c r="AA35" s="193" t="str">
        <f>IF(BH35&lt;&gt;"-",IF(AND(BL35="-",BI35="-"),BH35,"Дублаж"),IF(BL35&lt;&gt;"-",IF(BI35="-",BL35,"Дублаж"),BI35))</f>
        <v>-</v>
      </c>
      <c r="AB35" s="193" t="str">
        <f t="shared" si="6"/>
        <v>-</v>
      </c>
      <c r="AC35" s="193" t="str">
        <f t="shared" si="7"/>
        <v>-</v>
      </c>
      <c r="AD35" s="193" t="str">
        <f t="shared" si="8"/>
        <v>-</v>
      </c>
      <c r="AE35" s="193" t="str">
        <f t="shared" si="9"/>
        <v>-</v>
      </c>
      <c r="AF35" s="193" t="str">
        <f t="shared" si="10"/>
        <v>9в</v>
      </c>
      <c r="AG35" s="193" t="str">
        <f>IF(BA35&lt;&gt;"-",IF(AND(BC35="-",BG35="-",BF35="-",BM35="-",BI35="-"),BA35,"Дублаж"),IF(BC35&lt;&gt;"-",IF(AND(BG35="-",BF35="-",BM35="-",BI35="-"),BC35,"Дублаж"),IF(BG35&lt;&gt;"-",IF(AND(BF35="-",BM35="-",BI35="-"),BG35,"Дублаж"),IF(BF35&lt;&gt;"-",IF(AND(BM35="-",BI35="-"),BF35,"Дублаж"),IF(BM35&lt;&gt;"-",IF(BI35="-",BM35,BI35),BI35)))))</f>
        <v>9в</v>
      </c>
      <c r="AH35" s="193" t="str">
        <f t="shared" si="12"/>
        <v>-</v>
      </c>
      <c r="AI35" s="194" t="str">
        <f t="shared" si="13"/>
        <v>10д</v>
      </c>
      <c r="AJ35" s="193" t="str">
        <f t="shared" si="14"/>
        <v>-</v>
      </c>
      <c r="AK35" s="194" t="str">
        <f>IF(COUNTIF('Програма-кодове'!$C34:$AD34,$AK$2)=0,"-",IF(COUNTIF('Програма-кодове'!$C34:$AD34,$AK$2)=1,INDEX('Програма-кодове'!$C$1:$AD$1,1,MATCH($AK$2,'Програма-кодове'!$C34:$AD34,0)),"Дублаж"))</f>
        <v>12в</v>
      </c>
      <c r="AL35" s="194" t="str">
        <f>IF(COUNTIF('Програма-кодове'!$C34:$AD34,$AL$2)=0,"-",IF(COUNTIF('Програма-кодове'!$C34:$AD34,$AL$2)=1,INDEX('Програма-кодове'!$C$1:$AD$1,1,MATCH($AL$2,'Програма-кодове'!$C34:$AD34,0)),"Дублаж"))</f>
        <v>-</v>
      </c>
      <c r="AM35" s="194" t="str">
        <f>IF(COUNTIF('Програма-кодове'!$C34:$AD34,$AM$2)=0,"-",IF(COUNTIF('Програма-кодове'!$C34:$AD34,$AM$2)=1,INDEX('Програма-кодове'!$C$1:$AD$1,1,MATCH($AM$2,'Програма-кодове'!$C34:$AD34,0)),"Дублаж"))</f>
        <v>10б</v>
      </c>
      <c r="AN35" s="346" t="str">
        <f>IF(COUNTIF('Програма-кодове'!$C34:$AD34,$AN$2)=0,"-",IF(COUNTIF('Програма-кодове'!$C34:$AD34,$AN$2)=1,INDEX('Програма-кодове'!$C$1:$AD$1,1,MATCH($AN$2,'Програма-кодове'!$C34:$AD34,0)),"Дублаж"))</f>
        <v>10г</v>
      </c>
      <c r="AO35" s="346" t="str">
        <f>IF(COUNTIF('Програма-кодове'!$C34:$AD34,$AO$2)=0,"-",IF(COUNTIF('Програма-кодове'!$C34:$AD34,$AO$2)=1,INDEX('Програма-кодове'!$C$1:$AD$1,1,MATCH($AO$2,'Програма-кодове'!$C34:$AD34,0)),"Дублаж"))</f>
        <v>9г</v>
      </c>
      <c r="AP35" s="346" t="str">
        <f>IF(COUNTIF('Програма-кодове'!$C34:$AD34,$AP$2)=0,"-",IF(COUNTIF('Програма-кодове'!$C34:$AD34,$AP$2)=1,INDEX('Програма-кодове'!$C$1:$AD$1,1,MATCH($AP$2,'Програма-кодове'!$C34:$AD34,0)),"Дублаж"))</f>
        <v>-</v>
      </c>
      <c r="AQ35" s="346" t="str">
        <f t="shared" si="15"/>
        <v>-</v>
      </c>
      <c r="AR35" s="346" t="str">
        <f>IF(COUNTIF('Програма-кодове'!$C34:$AD34,$AR$2)=0,"-",IF(COUNTIF('Програма-кодове'!$C34:$AD34,$AR$2)=1,INDEX('Програма-кодове'!$C$1:$AD$1,1,MATCH($AR$2,'Програма-кодове'!$C34:$AD34,0)),"Дублаж"))</f>
        <v>10в</v>
      </c>
      <c r="AS35" s="346" t="str">
        <f>IF(COUNTIF('Програма-кодове'!$C34:$AD34,$AS$2)=0,"-",IF(COUNTIF('Програма-кодове'!$C34:$AD34,$AS$2)=1,INDEX('Програма-кодове'!$C$1:$AD$1,1,MATCH($AS$2,'Програма-кодове'!$C34:$AD34,0)),"Дублаж"))</f>
        <v>11в</v>
      </c>
      <c r="AT35" s="346" t="str">
        <f>IF(COUNTIF('Програма-кодове'!$C34:$AD34,$AT$2)=0,"-",IF(COUNTIF('Програма-кодове'!$C34:$AD34,$AT$2)=1,INDEX('Програма-кодове'!$C$1:$AD$1,1,MATCH($AT$2,'Програма-кодове'!$C34:$AD34,0)),"Дублаж"))</f>
        <v>9б</v>
      </c>
      <c r="AU35" s="194" t="str">
        <f t="shared" si="25"/>
        <v>-</v>
      </c>
      <c r="AV35" s="194" t="str">
        <f t="shared" si="2"/>
        <v>-</v>
      </c>
      <c r="AW35" s="194" t="str">
        <f>IF(COUNTIF('Програма-кодове'!$C34:$AD34,$AW$2)=0,"-",IF(COUNTIF('Програма-кодове'!$C34:$AD34,$AW$2)=1,INDEX('Програма-кодове'!$C$1:$AD$1,1,MATCH($AW$2,'Програма-кодове'!$C34:$AD34,0)),"Дублаж"))</f>
        <v>11а</v>
      </c>
      <c r="AX35" s="194" t="str">
        <f>IF(COUNTIF('Програма-кодове'!$C34:$AD34,$AX$2)=0,"-",IF(COUNTIF('Програма-кодове'!$C34:$AD34,$AX$2)=1,INDEX('Програма-кодове'!$C$1:$AD$1,1,MATCH($AX$2,'Програма-кодове'!$C34:$AD34,0)),"Дублаж"))</f>
        <v>8в</v>
      </c>
      <c r="AY35" s="194" t="str">
        <f>IF(COUNTIF('Програма-кодове'!$C34:$AD34,$AY$2)=0,"-",IF(COUNTIF('Програма-кодове'!$C34:$AD34,$AY$2)=1,INDEX('Програма-кодове'!$C$1:$AD$1,1,MATCH($AY$2,'Програма-кодове'!$C34:$AD34,0)),"Дублаж"))</f>
        <v>-</v>
      </c>
      <c r="AZ35" s="193" t="str">
        <f t="shared" si="16"/>
        <v>-</v>
      </c>
      <c r="BA35" s="30" t="str">
        <f>IF(COUNTIF('Програма-кодове'!$C34:$AD34,$BA$2)=0,"-",IF(COUNTIF('Програма-кодове'!$C34:$AD34,$BA$2)=1,INDEX('Програма-кодове'!$C$1:$AD$1,1,MATCH($BA$2,'Програма-кодове'!$C34:$AD34,0)),"Дублаж"))</f>
        <v>-</v>
      </c>
      <c r="BB35" s="30" t="str">
        <f>IF(COUNTIF('Програма-кодове'!$C34:$AD34,$BB$2)=0,"-",IF(COUNTIF('Програма-кодове'!$C34:$AD34,$BB$2)=1,INDEX('Програма-кодове'!$C$1:$AD$1,1,MATCH($BB$2,'Програма-кодове'!$C34:$AD34,0)),"Дублаж"))</f>
        <v>-</v>
      </c>
      <c r="BC35" s="30" t="str">
        <f>IF(COUNTIF('Програма-кодове'!$C34:$AD34,$BC$2)=0,"-",IF(COUNTIF('Програма-кодове'!$C34:$AD34,$BC$2)=1,INDEX('Програма-кодове'!$C$1:$AD$1,1,MATCH($BC$2,'Програма-кодове'!$C34:$AD34,0)),"Дублаж"))</f>
        <v>-</v>
      </c>
      <c r="BD35" s="30" t="str">
        <f>IF(COUNTIF('Програма-кодове'!$C34:$AD34,$BD$2)=0,"-",IF(COUNTIF('Програма-кодове'!$C34:$AD34,$BD$2)=1,INDEX('Програма-кодове'!$C$1:$AD$1,1,MATCH($BD$2,'Програма-кодове'!$C34:$AD34,0)),"Дублаж"))</f>
        <v>-</v>
      </c>
      <c r="BE35" s="30" t="str">
        <f>IF(COUNTIF('Програма-кодове'!$C34:$AD34,$BE$2)=0,"-",IF(COUNTIF('Програма-кодове'!$C34:$AD34,$BE$2)=1,INDEX('Програма-кодове'!$C$1:$AD$1,1,MATCH($BE$2,'Програма-кодове'!$C34:$AD34,0)),"Дублаж"))</f>
        <v>-</v>
      </c>
      <c r="BF35" s="30" t="str">
        <f>IF(COUNTIF('Програма-кодове'!$C34:$AD34,$BF$2)=0,"-",IF(COUNTIF('Програма-кодове'!$C34:$AD34,$BF$2)=1,INDEX('Програма-кодове'!$C$1:$AD$1,1,MATCH($BF$2,'Програма-кодове'!$C34:$AD34,0)),"Дублаж"))</f>
        <v>9в</v>
      </c>
      <c r="BG35" s="30" t="str">
        <f>IF(COUNTIF('Програма-кодове'!$C34:$AD34,$BG$2)=0,"-",IF(COUNTIF('Програма-кодове'!$C34:$AD34,$BG$2)=1,INDEX('Програма-кодове'!$C$1:$AD$1,1,MATCH($BG$2,'Програма-кодове'!$C34:$AD34,0)),"Дублаж"))</f>
        <v>-</v>
      </c>
      <c r="BH35" s="30" t="str">
        <f>IF(COUNTIF('Програма-кодове'!$C34:$AD34,$BH$2)=0,"-",IF(COUNTIF('Програма-кодове'!$C34:$AD34,$BH$2)=1,INDEX('Програма-кодове'!$C$1:$AD$1,1,MATCH($BH$2,'Програма-кодове'!$C34:$AD34,0)),"Дублаж"))</f>
        <v>-</v>
      </c>
      <c r="BI35" s="94" t="str">
        <f>IF(COUNTIF('Програма-кодове'!$C34:$AD34,$BI$2)=0,"-",IF(COUNTIF('Програма-кодове'!$C34:$AD34,$BI$2)=1,INDEX('Програма-кодове'!$C$1:$AD$1,1,MATCH($BI$2,'Програма-кодове'!$C34:$AD34,0)),IF('Програма-кодове'!Z34='Програма-кодове'!AA34,"12а,б","Дублаж")))</f>
        <v>-</v>
      </c>
      <c r="BJ35" s="94" t="str">
        <f>IF(COUNTIF('Програма-кодове'!$C34:$AD34,$BJ$2)=0,"-",IF(COUNTIF('Програма-кодове'!$C34:$AD34,$BJ$2)=1,INDEX('Програма-кодове'!$C$1:$AD$1,1,MATCH($BJ$2,'Програма-кодове'!$C34:$AD34,0)),"Дублаж"))</f>
        <v>-</v>
      </c>
      <c r="BK35" s="94" t="str">
        <f>IF(COUNTIF('Програма-кодове'!$C34:$AD34,$BK$2)=0,"-",IF(COUNTIF('Програма-кодове'!$C34:$AD34,$BK$2)=1,INDEX('Програма-кодове'!$C$1:$AD$1,1,MATCH($BK$2,'Програма-кодове'!$C34:$AD34,0)),IF('Програма-кодове'!K34='Програма-кодове'!O34,"9а,д",IF('Програма-кодове'!L34='Програма-кодове'!M34,"9б,в","Дублаж"))))</f>
        <v>-</v>
      </c>
      <c r="BL35" s="30" t="str">
        <f>IF(COUNTIF('Програма-кодове'!$C34:$AD34,$BL$2)=0,"-",IF(COUNTIF('Програма-кодове'!$C34:$AD34,$BL$2)=1,INDEX('Програма-кодове'!$C$1:$AD$1,1,MATCH($BL$2,'Програма-кодове'!$C34:$AD34,0)),"Дублаж"))</f>
        <v>-</v>
      </c>
      <c r="BM35" s="30" t="str">
        <f>IF(COUNTIF('Програма-кодове'!$C34:$AD34,$BM$2)=0,"-",IF(COUNTIF('Програма-кодове'!$C34:$AD34,$BM$2)=1,INDEX('Програма-кодове'!$C$1:$AD$1,1,MATCH($BM$2,'Програма-кодове'!$C34:$AD34,0)),"Дублаж"))</f>
        <v>-</v>
      </c>
      <c r="BN35" s="77" t="str">
        <f>IF(COUNTIF('Програма-кодове'!$C34:$AD34,$BN$2)=0,"-",IF(COUNTIF('Програма-кодове'!$C34:$AD34,$BN$2)=1,INDEX('Програма-кодове'!$C$1:$AD$1,1,MATCH($BN$2,'Програма-кодове'!$C34:$AD34,0)),IF(AND('Програма-кодове'!K34='Програма-кодове'!O34,'Програма-кодове'!K34&lt;&gt;""),"9а, д", IF(AND('Програма-кодове'!U34='Програма-кодове'!W34,'Програма-кодове'!U34&lt;&gt;""),"11а,в", "Дублаж"))))</f>
        <v>12д</v>
      </c>
      <c r="BO35" s="77" t="str">
        <f>IF(COUNTIF('Програма-кодове'!$C34:$AD34,$BO$2)=0,"-",IF(COUNTIF('Програма-кодове'!$C34:$AD34,$BO$2)=1,INDEX('Програма-кодове'!$C$1:$AD$1,1,MATCH($BO$2,'Програма-кодове'!$C34:$AD34,0)),IF(AND('Програма-кодове'!U34='Програма-кодове'!W34,'Програма-кодове'!U34&lt;&gt;"" ),"11a,в","Дублаж")))</f>
        <v>12а</v>
      </c>
      <c r="BP35" s="30" t="str">
        <f>IF(COUNTIF('Програма-кодове'!$C34:$AD34,$BP$2)=0,"-",IF(COUNTIF('Програма-кодове'!$C34:$AD34,$BP$2)=1,"9б,в,г","Дублаж"))</f>
        <v>-</v>
      </c>
      <c r="BQ35" s="30" t="str">
        <f>IF(COUNTIF('Програма-кодове'!$C34:$AD34,$BQ$2)=0,"-",IF(COUNTIF('Програма-кодове'!$C34:$AD34,$BQ$2)=1,INDEX('Програма-кодове'!$C$1:$AD$1,1,MATCH($BQ$2,'Програма-кодове'!$C34:$AD34,0)),"Дублаж"))</f>
        <v>-</v>
      </c>
      <c r="BR35" s="30" t="str">
        <f>IF(COUNTIF('Програма-кодове'!$C34:$AD34,$BR$2)=0,"-",IF(COUNTIF('Програма-кодове'!$C34:$AD34,$BR$2)=1,INDEX('Програма-кодове'!$C$1:$AD$1,1,MATCH($BR$2,'Програма-кодове'!$C34:$AD34,0)),IF('Програма-кодове'!W34='Програма-кодове'!X34,"11б,в","Дублаж")))</f>
        <v>-</v>
      </c>
      <c r="BS35" s="30" t="str">
        <f>IF(COUNTIF('Програма-кодове'!$C34:$AD34,$BS$2)=0,"-",IF(COUNTIF('Програма-кодове'!$C34:$AD34,$BS$2)=1,INDEX('Програма-кодове'!$C$1:$AD$1,1,MATCH($BS$2,'Програма-кодове'!$C34:$AD34,0)),"Дублаж"))</f>
        <v>-</v>
      </c>
      <c r="BT35" s="193" t="str">
        <f t="shared" si="17"/>
        <v>-</v>
      </c>
      <c r="BU35" s="30" t="str">
        <f>IF(COUNTIF('Програма-кодове'!$C34:$AD34,$BU$2)=0,"-",IF(COUNTIF('Програма-кодове'!$C34:$AD34,$BU$2)=1,INDEX('Програма-кодове'!$C$1:$AD$1,1,MATCH($BU$2,'Програма-кодове'!$C34:$AD34,0)),"Дублаж"))</f>
        <v>-</v>
      </c>
      <c r="BV35" s="30" t="str">
        <f>IF(COUNTIF('Програма-кодове'!$C34:$AD34,$BV$2)=0,"-",IF(COUNTIF('Програма-кодове'!$C34:$AD34,$BV$2)=1,INDEX('Програма-кодове'!$C$1:$AD$1,1,MATCH($BV$2,'Програма-кодове'!$C34:$AD34,0)),"Дублаж"))</f>
        <v>-</v>
      </c>
      <c r="BW35" s="30" t="str">
        <f>IF(COUNTIF('Програма-кодове'!$C34:$AD34,$BW$2)=0,"-",IF(COUNTIF('Програма-кодове'!$C34:$AD34,$BW$2)=1,INDEX('Програма-кодове'!$C$1:$AD$1,1,MATCH($BW$2,'Програма-кодове'!$C34:$AD34,0)),"Дублаж"))</f>
        <v>-</v>
      </c>
      <c r="BX35" s="30" t="str">
        <f>IF(COUNTIF('Програма-кодове'!$C34:$AD34,$BX$2)=0,"-",IF(COUNTIF('Програма-кодове'!$C34:$AD34,$BX$2)=1,INDEX('Програма-кодове'!$C$1:$AD$1,1,MATCH($BX$2,'Програма-кодове'!$C34:$AD34,0)),"Дублаж"))</f>
        <v>-</v>
      </c>
      <c r="BY35" s="30" t="str">
        <f>IF(COUNTIF('Програма-кодове'!$C34:$AD34,$BY$2)=0,"-",IF(COUNTIF('Програма-кодове'!$C34:$AD34,$BY$2)=1,INDEX('Програма-кодове'!$C$1:$AD$1,1,MATCH($BY$2,'Програма-кодове'!$C34:$AD34,0)),"Дублаж"))</f>
        <v>10д</v>
      </c>
      <c r="BZ35" s="30" t="str">
        <f>IF(COUNTIF('Програма-кодове'!$C34:$AD34,$BZ$2)=0,"-",IF(COUNTIF('Програма-кодове'!$C34:$AD34,$BZ$2)=1,INDEX('Програма-кодове'!$C$1:$AD$1,1,MATCH($BZ$2,'Програма-кодове'!$C34:$AD34,0)),"Дублаж"))</f>
        <v>-</v>
      </c>
      <c r="CA35" s="30" t="str">
        <f>IF(COUNTIF('Програма-кодове'!$C34:$AD34,$CA$2)=0,"-",IF(COUNTIF('Програма-кодове'!$C34:$AD34,$CA$2)=1,INDEX('Програма-кодове'!$C$1:$AD$1,1,MATCH($CA$2,'Програма-кодове'!$C34:$AD34,0)),"Дублаж"))</f>
        <v>-</v>
      </c>
      <c r="CB35" s="30" t="str">
        <f>IF(COUNTIF('Програма-кодове'!$C34:$AD34,$CB$2)=0,"-",IF(COUNTIF('Програма-кодове'!$C34:$AD34,$CB$2)=1,INDEX('Програма-кодове'!$C$1:$AD$1,1,MATCH($CB$2,'Програма-кодове'!$C34:$AD34,0)),"Дублаж"))</f>
        <v>-</v>
      </c>
      <c r="CC35" s="30" t="str">
        <f>IF(COUNTIF('Програма-кодове'!$C34:$AD34,$CC$2)=0,"-",IF(COUNTIF('Програма-кодове'!$C34:$AD34,$CC$2)=1,INDEX('Програма-кодове'!$C$1:$AD$1,1,MATCH($CC$2,'Програма-кодове'!$C34:$AD34,0)),"Дублаж"))</f>
        <v>-</v>
      </c>
      <c r="CD35" s="30" t="str">
        <f>IF(COUNTIF('Програма-кодове'!$C34:$AD34,$CD$2)=0,"-",IF(COUNTIF('Програма-кодове'!$C34:$AD34,$CD$2)=1,INDEX('Програма-кодове'!$C$1:$AD$1,1,MATCH($CD$2,'Програма-кодове'!$C34:$AD34,0)),"Дублаж"))</f>
        <v>-</v>
      </c>
      <c r="CE35" s="30" t="str">
        <f>IF(COUNTIF('Програма-кодове'!$C34:$AD34,$CE$2)=0,"-",IF(COUNTIF('Програма-кодове'!$C34:$AD34,$CE$2)=1,INDEX('Програма-кодове'!$C$1:$AD$1,1,MATCH($CE$2,'Програма-кодове'!$C34:$AD34,0)),"Дублаж"))</f>
        <v>-</v>
      </c>
    </row>
    <row r="36" spans="1:83" ht="13.5" customHeight="1">
      <c r="A36" s="367"/>
      <c r="B36" s="330">
        <v>6</v>
      </c>
      <c r="C36" s="194" t="str">
        <f>IF(COUNTIF('Програма-кодове'!$C35:$AD35,$C$2)=0,"-",IF(COUNTIF('Програма-кодове'!$C35:$AD35,$C$2)=1,INDEX('Програма-кодове'!$C$1:$AD$1,1,MATCH($C$2,'Програма-кодове'!$C35:$AD35,0)),"Дублаж"))</f>
        <v>-</v>
      </c>
      <c r="D36" s="319" t="str">
        <f>IF(COUNTIF('Програма-кодове'!$C35:$AD35,$D$2)=0,"-",IF(COUNTIF('Програма-кодове'!$C35:$AD35,$D$2)=1,INDEX('Програма-кодове'!$C$1:$AD$1,1,MATCH($D$2,'Програма-кодове'!$C35:$AD35,0)),"Дублаж"))</f>
        <v>8в</v>
      </c>
      <c r="E36" s="194" t="str">
        <f>IF(COUNTIF('Програма-кодове'!$C35:$AD35,$E$2)=0,"-",IF(COUNTIF('Програма-кодове'!$C35:$AD35,$E$2)=1,INDEX('Програма-кодове'!$C$1:$AD$1,1,MATCH($E$2,'Програма-кодове'!$C35:$AD35,0)),"Дублаж"))</f>
        <v>8г</v>
      </c>
      <c r="F36" s="194" t="str">
        <f>IF(COUNTIF('Програма-кодове'!$C35:$AD35,$F$2)=0,"-",IF(COUNTIF('Програма-кодове'!$C35:$AD35,$F$2)=1,INDEX('Програма-кодове'!$C$1:$AD$1,1,MATCH($F$2,'Програма-кодове'!$C35:$AD35,0)),"Дублаж"))</f>
        <v>10в</v>
      </c>
      <c r="G36" s="196" t="str">
        <f>IF(COUNTIF('Програма-кодове'!$C35:$AD35,$G$2)=0,"-",IF(COUNTIF('Програма-кодове'!$C35:$AD35,$G$2)=1,INDEX('Програма-кодове'!$C$1:$AD$1,1,MATCH($G$2,'Програма-кодове'!$C35:$AD35,0)),"Дублаж"))</f>
        <v>-</v>
      </c>
      <c r="H36" s="196" t="str">
        <f>IF(COUNTIF('Програма-кодове'!$C35:$AD35,$H$2)=0,"-",IF(COUNTIF('Програма-кодове'!$C35:$AD35,$H$2)=1,INDEX('Програма-кодове'!$C$1:$AD$1,1,MATCH($H$2,'Програма-кодове'!$C35:$AD35,0)),"Дублаж"))</f>
        <v>9а</v>
      </c>
      <c r="I36" s="194" t="str">
        <f>IF(COUNTIF('Програма-кодове'!$C35:$AD35,$I$2)=0,"-",IF(COUNTIF('Програма-кодове'!$C35:$AD35,$I$2)=1,INDEX('Програма-кодове'!$C$1:$AD$1,1,MATCH($I$2,'Програма-кодове'!$C35:$AD35,0)),"Дублаж"))</f>
        <v>11г</v>
      </c>
      <c r="J36" s="319" t="str">
        <f>IF(COUNTIF('Програма-кодове'!$C35:$AD35,$J$2)=0,"-",IF(COUNTIF('Програма-кодове'!$C35:$AD35,$J$2)=1,INDEX('Програма-кодове'!$C$1:$AD$1,1,MATCH($J$2,'Програма-кодове'!$C35:$AD35,0)),"Дублаж"))</f>
        <v>-</v>
      </c>
      <c r="K36" s="194" t="str">
        <f>IF(COUNTIF('Програма-кодове'!$C35:$AD35,$K$2)=0,"-",IF(COUNTIF('Програма-кодове'!$C35:$AD35,$K$2)=1,INDEX('Програма-кодове'!$C$1:$AD$1,1,MATCH($K$2,'Програма-кодове'!$C35:$AD35,0)),"Дублаж"))</f>
        <v>12в</v>
      </c>
      <c r="L36" s="316" t="str">
        <f>IF(COUNTIF('Програма-кодове'!$C35:$AD35,$L$2)=0,"-",IF(COUNTIF('Програма-кодове'!$C35:$AD35,$L$2)=1,INDEX('Програма-кодове'!$C$1:$AD$1,1,MATCH($L$2,'Програма-кодове'!$C35:$AD35,0)),"Дублаж"))</f>
        <v>-</v>
      </c>
      <c r="M36" s="194" t="str">
        <f>IF(COUNTIF('Програма-кодове'!$C35:$AD35,$M$2)=0,"-",IF(COUNTIF('Програма-кодове'!$C35:$AD35,$M$2)=1,INDEX('Програма-кодове'!$C$1:$AD$1,1,MATCH($M$2,'Програма-кодове'!$C35:$AD35,0)),"Дублаж"))</f>
        <v>8б</v>
      </c>
      <c r="N36" s="194">
        <f>IF(COUNTIF('Програма-кодове'!$C35:$AD35,$N$2)=0,"-",IF(COUNTIF('Програма-кодове'!$C35:$AD35,$N$2)=1,INDEX('Програма-кодове'!$C$1:$AD$1,1,MATCH($N$2,'Програма-кодове'!$C35:$AD35,0)),"Дублаж"))</f>
        <v>6</v>
      </c>
      <c r="O36" s="194" t="str">
        <f>IF(COUNTIF('Програма-кодове'!$C35:$AD35,$O$2)=0,"-",IF(COUNTIF('Програма-кодове'!$C35:$AD35,$O$2)=1,INDEX('Програма-кодове'!$C$1:$AD$1,1,MATCH($O$2,'Програма-кодове'!$C35:$AD35,0)),"Дублаж"))</f>
        <v>8д</v>
      </c>
      <c r="P36" s="194" t="str">
        <f>IF(COUNTIF('Програма-кодове'!$C35:$AD35,$P$2)=0,"-",IF(COUNTIF('Програма-кодове'!$C35:$AD35,$P$2)=1,INDEX('Програма-кодове'!$C$1:$AD$1,1,MATCH($P$2,'Програма-кодове'!$C35:$AD35,0)),"Дублаж"))</f>
        <v>8a</v>
      </c>
      <c r="Q36" s="316" t="str">
        <f>IF(COUNTIF('Програма-кодове'!$C35:$AD35,$Q$2)=0,"-",IF(COUNTIF('Програма-кодове'!$C35:$AD35,$Q$2)=1,INDEX('Програма-кодове'!$C$1:$AD$1,1,MATCH($Q$2,'Програма-кодове'!$C35:$AD35,0)),"Дублаж"))</f>
        <v>9д</v>
      </c>
      <c r="R36" s="193" t="str">
        <f t="shared" si="0"/>
        <v>12д</v>
      </c>
      <c r="S36" s="354" t="str">
        <f t="shared" si="3"/>
        <v>12а</v>
      </c>
      <c r="T36" s="339" t="str">
        <f t="shared" si="4"/>
        <v>12а,д</v>
      </c>
      <c r="U36" s="339" t="str">
        <f>IF(COUNTIF('Програма-кодове'!$C35:$AD35,$U$2)=0,"-",IF(COUNTIF('Програма-кодове'!$C35:$AD35,$U$2)=1,INDEX('Програма-кодове'!$C$1:$AD$1,1,MATCH($U$2,'Програма-кодове'!$C35:$AD35,0)),"Дублаж"))</f>
        <v>-</v>
      </c>
      <c r="V36" s="194">
        <f>IF(COUNTIF('Програма-кодове'!$C35:$AD35,$V$2)=0,"-",IF(COUNTIF('Програма-кодове'!$C35:$AD35,$V$2)=1,INDEX('Програма-кодове'!$C$1:$AD$1,1,MATCH($V$2,'Програма-кодове'!$C35:$AD35,0)),"Дублаж"))</f>
        <v>5</v>
      </c>
      <c r="W36" s="194" t="str">
        <f>IF(COUNTIF('Програма-кодове'!$C35:$AD35,$W$2)=0,"-",IF(COUNTIF('Програма-кодове'!$C35:$AD35,$W$2)=1,INDEX('Програма-кодове'!$C$1:$AD$1,1,MATCH($W$2,'Програма-кодове'!$C35:$AD35,0)),"Дублаж"))</f>
        <v>10д</v>
      </c>
      <c r="X36" s="194" t="str">
        <f>IF(COUNTIF('Програма-кодове'!$C35:$AD35,$X$2)=0,"-",IF(COUNTIF('Програма-кодове'!$C35:$AD35,$X$2)=1,INDEX('Програма-кодове'!$C$1:$AD$1,1,MATCH($X$2,'Програма-кодове'!$C35:$AD35,0)),"Дублаж"))</f>
        <v>12б</v>
      </c>
      <c r="Y36" s="194" t="str">
        <f>IF(COUNTIF('Програма-кодове'!$C35:$AD35,$Y$2)=0,"-",IF(COUNTIF('Програма-кодове'!$C35:$AD35,$Y$2)=1,INDEX('Програма-кодове'!$C$1:$AD$1,1,MATCH($Y$2,'Програма-кодове'!$C35:$AD35,0)),"Дублаж"))</f>
        <v>11в</v>
      </c>
      <c r="Z36" s="353" t="str">
        <f>IF(COUNTIF('Програма-кодове'!$C35:$AD35,$Z$2)=0,"-",IF(COUNTIF('Програма-кодове'!$C35:$AD35,$Z$2)=1,INDEX('Програма-кодове'!$C$1:$AD$1,1,MATCH($Z$2,'Програма-кодове'!$C35:$AD35,0)),"Дублаж"))</f>
        <v>-</v>
      </c>
      <c r="AA36" s="193" t="str">
        <f t="shared" si="5"/>
        <v>-</v>
      </c>
      <c r="AB36" s="193" t="str">
        <f t="shared" si="6"/>
        <v>-</v>
      </c>
      <c r="AC36" s="193" t="str">
        <f t="shared" si="7"/>
        <v>-</v>
      </c>
      <c r="AD36" s="193" t="str">
        <f t="shared" si="8"/>
        <v>-</v>
      </c>
      <c r="AE36" s="193" t="str">
        <f t="shared" si="9"/>
        <v>-</v>
      </c>
      <c r="AF36" s="193" t="str">
        <f t="shared" si="10"/>
        <v>9г</v>
      </c>
      <c r="AG36" s="193" t="str">
        <f t="shared" ref="AG36:AG37" si="31">IF(BA36&lt;&gt;"-",IF(AND(BC36="-",BG36="-",BF36="-",BM36="-",BI36="-"),BA36,"Дублаж"),IF(BC36&lt;&gt;"-",IF(AND(BG36="-",BF36="-",BM36="-",BI36="-"),BC36,"Дублаж"),IF(BG36&lt;&gt;"-",IF(AND(BF36="-",BM36="-",BI36="-"),BG36,"Дублаж"),IF(BF36&lt;&gt;"-",IF(AND(BM36="-",BI36="-"),BF36,"Дублаж"),IF(BM36&lt;&gt;"-",IF(BI36="-",BM36,BI36),BI36)))))</f>
        <v>9г</v>
      </c>
      <c r="AH36" s="193" t="str">
        <f t="shared" si="12"/>
        <v>-</v>
      </c>
      <c r="AI36" s="194" t="str">
        <f>IF(AND(BZ36&lt;&gt;"-",BY36&lt;&gt;"-"),"Дублаж",IF(BZ36&lt;&gt;"-",BZ36,BY36))</f>
        <v>10б</v>
      </c>
      <c r="AJ36" s="193" t="str">
        <f t="shared" si="14"/>
        <v>-</v>
      </c>
      <c r="AK36" s="194" t="str">
        <f>IF(COUNTIF('Програма-кодове'!$C35:$AD35,$AK$2)=0,"-",IF(COUNTIF('Програма-кодове'!$C35:$AD35,$AK$2)=1,INDEX('Програма-кодове'!$C$1:$AD$1,1,MATCH($AK$2,'Програма-кодове'!$C35:$AD35,0)),"Дублаж"))</f>
        <v>11б</v>
      </c>
      <c r="AL36" s="194" t="str">
        <f>IF(COUNTIF('Програма-кодове'!$C35:$AD35,$AL$2)=0,"-",IF(COUNTIF('Програма-кодове'!$C35:$AD35,$AL$2)=1,INDEX('Програма-кодове'!$C$1:$AD$1,1,MATCH($AL$2,'Програма-кодове'!$C35:$AD35,0)),"Дублаж"))</f>
        <v>9б</v>
      </c>
      <c r="AM36" s="194" t="str">
        <f>IF(COUNTIF('Програма-кодове'!$C35:$AD35,$AM$2)=0,"-",IF(COUNTIF('Програма-кодове'!$C35:$AD35,$AM$2)=1,INDEX('Програма-кодове'!$C$1:$AD$1,1,MATCH($AM$2,'Програма-кодове'!$C35:$AD35,0)),"Дублаж"))</f>
        <v>11а</v>
      </c>
      <c r="AN36" s="193" t="str">
        <f>IF(COUNTIF('Програма-кодове'!$C35:$AD35,$AN$2)=0,"-",IF(COUNTIF('Програма-кодове'!$C35:$AD35,$AN$2)=1,INDEX('Програма-кодове'!$C$1:$AD$1,1,MATCH($AN$2,'Програма-кодове'!$C35:$AD35,0)),"Дублаж"))</f>
        <v>-</v>
      </c>
      <c r="AO36" s="193">
        <f>IF(COUNTIF('Програма-кодове'!$C35:$AD35,$AO$2)=0,"-",IF(COUNTIF('Програма-кодове'!$C35:$AD35,$AO$2)=1,INDEX('Програма-кодове'!$C$1:$AD$1,1,MATCH($AO$2,'Програма-кодове'!$C35:$AD35,0)),"Дублаж"))</f>
        <v>7</v>
      </c>
      <c r="AP36" s="193" t="str">
        <f>IF(COUNTIF('Програма-кодове'!$C35:$AD35,$AP$2)=0,"-",IF(COUNTIF('Програма-кодове'!$C35:$AD35,$AP$2)=1,INDEX('Програма-кодове'!$C$1:$AD$1,1,MATCH($AP$2,'Програма-кодове'!$C35:$AD35,0)),"Дублаж"))</f>
        <v>-</v>
      </c>
      <c r="AQ36" s="193" t="str">
        <f t="shared" si="15"/>
        <v>-</v>
      </c>
      <c r="AR36" s="193" t="str">
        <f>IF(COUNTIF('Програма-кодове'!$C35:$AD35,$AR$2)=0,"-",IF(COUNTIF('Програма-кодове'!$C35:$AD35,$AR$2)=1,INDEX('Програма-кодове'!$C$1:$AD$1,1,MATCH($AR$2,'Програма-кодове'!$C35:$AD35,0)),"Дублаж"))</f>
        <v>10г</v>
      </c>
      <c r="AS36" s="193" t="str">
        <f>IF(COUNTIF('Програма-кодове'!$C35:$AD35,$AS$2)=0,"-",IF(COUNTIF('Програма-кодове'!$C35:$AD35,$AS$2)=1,INDEX('Програма-кодове'!$C$1:$AD$1,1,MATCH($AS$2,'Програма-кодове'!$C35:$AD35,0)),"Дублаж"))</f>
        <v>10а</v>
      </c>
      <c r="AT36" s="193" t="str">
        <f>IF(COUNTIF('Програма-кодове'!$C35:$AD35,$AT$2)=0,"-",IF(COUNTIF('Програма-кодове'!$C35:$AD35,$AT$2)=1,INDEX('Програма-кодове'!$C$1:$AD$1,1,MATCH($AT$2,'Програма-кодове'!$C35:$AD35,0)),"Дублаж"))</f>
        <v>9в</v>
      </c>
      <c r="AU36" s="194" t="str">
        <f t="shared" si="25"/>
        <v>-</v>
      </c>
      <c r="AV36" s="194" t="str">
        <f t="shared" si="2"/>
        <v>-</v>
      </c>
      <c r="AW36" s="194" t="str">
        <f>IF(COUNTIF('Програма-кодове'!$C35:$AD35,$AW$2)=0,"-",IF(COUNTIF('Програма-кодове'!$C35:$AD35,$AW$2)=1,INDEX('Програма-кодове'!$C$1:$AD$1,1,MATCH($AW$2,'Програма-кодове'!$C35:$AD35,0)),"Дублаж"))</f>
        <v>11д</v>
      </c>
      <c r="AX36" s="194" t="str">
        <f>IF(COUNTIF('Програма-кодове'!$C35:$AD35,$AX$2)=0,"-",IF(COUNTIF('Програма-кодове'!$C35:$AD35,$AX$2)=1,INDEX('Програма-кодове'!$C$1:$AD$1,1,MATCH($AX$2,'Програма-кодове'!$C35:$AD35,0)),"Дублаж"))</f>
        <v>-</v>
      </c>
      <c r="AY36" s="194" t="str">
        <f>IF(COUNTIF('Програма-кодове'!$C35:$AD35,$AY$2)=0,"-",IF(COUNTIF('Програма-кодове'!$C35:$AD35,$AY$2)=1,INDEX('Програма-кодове'!$C$1:$AD$1,1,MATCH($AY$2,'Програма-кодове'!$C35:$AD35,0)),"Дублаж"))</f>
        <v>12г</v>
      </c>
      <c r="AZ36" s="193" t="str">
        <f>IF(AND(BS36&lt;&gt;"-",BT36&lt;&gt;"-"),"Дублаж",IF(BS36&lt;&gt;"-",BS36,BT36))</f>
        <v>-</v>
      </c>
      <c r="BA36" s="30" t="str">
        <f>IF(COUNTIF('Програма-кодове'!$C35:$AD35,$BA$2)=0,"-",IF(COUNTIF('Програма-кодове'!$C35:$AD35,$BA$2)=1,INDEX('Програма-кодове'!$C$1:$AD$1,1,MATCH($BA$2,'Програма-кодове'!$C35:$AD35,0)),"Дублаж"))</f>
        <v>-</v>
      </c>
      <c r="BB36" s="30" t="str">
        <f>IF(COUNTIF('Програма-кодове'!$C35:$AD35,$BB$2)=0,"-",IF(COUNTIF('Програма-кодове'!$C35:$AD35,$BB$2)=1,INDEX('Програма-кодове'!$C$1:$AD$1,1,MATCH($BB$2,'Програма-кодове'!$C35:$AD35,0)),"Дублаж"))</f>
        <v>-</v>
      </c>
      <c r="BC36" s="30" t="str">
        <f>IF(COUNTIF('Програма-кодове'!$C35:$AD35,$BC$2)=0,"-",IF(COUNTIF('Програма-кодове'!$C35:$AD35,$BC$2)=1,INDEX('Програма-кодове'!$C$1:$AD$1,1,MATCH($BC$2,'Програма-кодове'!$C35:$AD35,0)),"Дублаж"))</f>
        <v>-</v>
      </c>
      <c r="BD36" s="30" t="str">
        <f>IF(COUNTIF('Програма-кодове'!$C35:$AD35,$BD$2)=0,"-",IF(COUNTIF('Програма-кодове'!$C35:$AD35,$BD$2)=1,INDEX('Програма-кодове'!$C$1:$AD$1,1,MATCH($BD$2,'Програма-кодове'!$C35:$AD35,0)),"Дублаж"))</f>
        <v>-</v>
      </c>
      <c r="BE36" s="30" t="str">
        <f>IF(COUNTIF('Програма-кодове'!$C35:$AD35,$BE$2)=0,"-",IF(COUNTIF('Програма-кодове'!$C35:$AD35,$BE$2)=1,INDEX('Програма-кодове'!$C$1:$AD$1,1,MATCH($BE$2,'Програма-кодове'!$C35:$AD35,0)),"Дублаж"))</f>
        <v>-</v>
      </c>
      <c r="BF36" s="30" t="str">
        <f>IF(COUNTIF('Програма-кодове'!$C35:$AD35,$BF$2)=0,"-",IF(COUNTIF('Програма-кодове'!$C35:$AD35,$BF$2)=1,INDEX('Програма-кодове'!$C$1:$AD$1,1,MATCH($BF$2,'Програма-кодове'!$C35:$AD35,0)),"Дублаж"))</f>
        <v>9г</v>
      </c>
      <c r="BG36" s="30" t="str">
        <f>IF(COUNTIF('Програма-кодове'!$C35:$AD35,$BG$2)=0,"-",IF(COUNTIF('Програма-кодове'!$C35:$AD35,$BG$2)=1,INDEX('Програма-кодове'!$C$1:$AD$1,1,MATCH($BG$2,'Програма-кодове'!$C35:$AD35,0)),"Дублаж"))</f>
        <v>-</v>
      </c>
      <c r="BH36" s="30" t="str">
        <f>IF(COUNTIF('Програма-кодове'!$C35:$AD35,$BH$2)=0,"-",IF(COUNTIF('Програма-кодове'!$C35:$AD35,$BH$2)=1,INDEX('Програма-кодове'!$C$1:$AD$1,1,MATCH($BH$2,'Програма-кодове'!$C35:$AD35,0)),"Дублаж"))</f>
        <v>-</v>
      </c>
      <c r="BI36" s="94" t="str">
        <f>IF(COUNTIF('Програма-кодове'!$C35:$AD35,$BI$2)=0,"-",IF(COUNTIF('Програма-кодове'!$C35:$AD35,$BI$2)=1,INDEX('Програма-кодове'!$C$1:$AD$1,1,MATCH($BI$2,'Програма-кодове'!$C35:$AD35,0)),IF('Програма-кодове'!Z35='Програма-кодове'!AA35,"12а,б","Дублаж")))</f>
        <v>-</v>
      </c>
      <c r="BJ36" s="94" t="str">
        <f>IF(COUNTIF('Програма-кодове'!$C35:$AD35,$BJ$2)=0,"-",IF(COUNTIF('Програма-кодове'!$C35:$AD35,$BJ$2)=1,INDEX('Програма-кодове'!$C$1:$AD$1,1,MATCH($BJ$2,'Програма-кодове'!$C35:$AD35,0)),"Дублаж"))</f>
        <v>-</v>
      </c>
      <c r="BK36" s="94" t="str">
        <f>IF(COUNTIF('Програма-кодове'!$C35:$AD35,$BK$2)=0,"-",IF(COUNTIF('Програма-кодове'!$C35:$AD35,$BK$2)=1,INDEX('Програма-кодове'!$C$1:$AD$1,1,MATCH($BK$2,'Програма-кодове'!$C35:$AD35,0)),IF('Програма-кодове'!K35='Програма-кодове'!O35,"9а,д",IF('Програма-кодове'!L35='Програма-кодове'!M35,"9б,в","Дублаж"))))</f>
        <v>-</v>
      </c>
      <c r="BL36" s="30" t="str">
        <f>IF(COUNTIF('Програма-кодове'!$C35:$AD35,$BL$2)=0,"-",IF(COUNTIF('Програма-кодове'!$C35:$AD35,$BL$2)=1,INDEX('Програма-кодове'!$C$1:$AD$1,1,MATCH($BL$2,'Програма-кодове'!$C35:$AD35,0)),"Дублаж"))</f>
        <v>-</v>
      </c>
      <c r="BM36" s="30" t="str">
        <f>IF(COUNTIF('Програма-кодове'!$C35:$AD35,$BM$2)=0,"-",IF(COUNTIF('Програма-кодове'!$C35:$AD35,$BM$2)=1,INDEX('Програма-кодове'!$C$1:$AD$1,1,MATCH($BM$2,'Програма-кодове'!$C35:$AD35,0)),"Дублаж"))</f>
        <v>-</v>
      </c>
      <c r="BN36" s="77" t="str">
        <f>IF(COUNTIF('Програма-кодове'!$C35:$AD35,$BN$2)=0,"-",IF(COUNTIF('Програма-кодове'!$C35:$AD35,$BN$2)=1,INDEX('Програма-кодове'!$C$1:$AD$1,1,MATCH($BN$2,'Програма-кодове'!$C35:$AD35,0)),IF(AND('Програма-кодове'!K35='Програма-кодове'!O35,'Програма-кодове'!K35&lt;&gt;""),"9а, д", IF(AND('Програма-кодове'!U35='Програма-кодове'!W35,'Програма-кодове'!U35&lt;&gt;""),"11а,в", "Дублаж"))))</f>
        <v>12д</v>
      </c>
      <c r="BO36" s="77" t="str">
        <f>IF(COUNTIF('Програма-кодове'!$C35:$AD35,$BO$2)=0,"-",IF(COUNTIF('Програма-кодове'!$C35:$AD35,$BO$2)=1,INDEX('Програма-кодове'!$C$1:$AD$1,1,MATCH($BO$2,'Програма-кодове'!$C35:$AD35,0)),IF(AND('Програма-кодове'!U35='Програма-кодове'!W35,'Програма-кодове'!U35&lt;&gt;"" ),"11a,в","Дублаж")))</f>
        <v>12а</v>
      </c>
      <c r="BP36" s="30" t="str">
        <f>IF(COUNTIF('Програма-кодове'!$C35:$AD35,$BP$2)=0,"-",IF(COUNTIF('Програма-кодове'!$C35:$AD35,$BP$2)=1,"9б,в,г","Дублаж"))</f>
        <v>-</v>
      </c>
      <c r="BQ36" s="30" t="str">
        <f>IF(COUNTIF('Програма-кодове'!$C35:$AD35,$BQ$2)=0,"-",IF(COUNTIF('Програма-кодове'!$C35:$AD35,$BQ$2)=1,INDEX('Програма-кодове'!$C$1:$AD$1,1,MATCH($BQ$2,'Програма-кодове'!$C35:$AD35,0)),"Дублаж"))</f>
        <v>-</v>
      </c>
      <c r="BR36" s="30" t="str">
        <f>IF(COUNTIF('Програма-кодове'!$C35:$AD35,$BR$2)=0,"-",IF(COUNTIF('Програма-кодове'!$C35:$AD35,$BR$2)=1,INDEX('Програма-кодове'!$C$1:$AD$1,1,MATCH($BR$2,'Програма-кодове'!$C35:$AD35,0)),IF('Програма-кодове'!W35='Програма-кодове'!X35,"11б,в","Дублаж")))</f>
        <v>-</v>
      </c>
      <c r="BS36" s="30" t="str">
        <f>IF(COUNTIF('Програма-кодове'!$C35:$AD35,$BS$2)=0,"-",IF(COUNTIF('Програма-кодове'!$C35:$AD35,$BS$2)=1,INDEX('Програма-кодове'!$C$1:$AD$1,1,MATCH($BS$2,'Програма-кодове'!$C35:$AD35,0)),"Дублаж"))</f>
        <v>-</v>
      </c>
      <c r="BT36" s="193" t="str">
        <f t="shared" si="17"/>
        <v>-</v>
      </c>
      <c r="BU36" s="30" t="str">
        <f>IF(COUNTIF('Програма-кодове'!$C35:$AD35,$BU$2)=0,"-",IF(COUNTIF('Програма-кодове'!$C35:$AD35,$BU$2)=1,INDEX('Програма-кодове'!$C$1:$AD$1,1,MATCH($BU$2,'Програма-кодове'!$C35:$AD35,0)),"Дублаж"))</f>
        <v>-</v>
      </c>
      <c r="BV36" s="30" t="str">
        <f>IF(COUNTIF('Програма-кодове'!$C35:$AD35,$BV$2)=0,"-",IF(COUNTIF('Програма-кодове'!$C35:$AD35,$BV$2)=1,INDEX('Програма-кодове'!$C$1:$AD$1,1,MATCH($BV$2,'Програма-кодове'!$C35:$AD35,0)),"Дублаж"))</f>
        <v>-</v>
      </c>
      <c r="BW36" s="30" t="str">
        <f>IF(COUNTIF('Програма-кодове'!$C35:$AD35,$BW$2)=0,"-",IF(COUNTIF('Програма-кодове'!$C35:$AD35,$BW$2)=1,INDEX('Програма-кодове'!$C$1:$AD$1,1,MATCH($BW$2,'Програма-кодове'!$C35:$AD35,0)),"Дублаж"))</f>
        <v>-</v>
      </c>
      <c r="BX36" s="30" t="str">
        <f>IF(COUNTIF('Програма-кодове'!$C35:$AD35,$BX$2)=0,"-",IF(COUNTIF('Програма-кодове'!$C35:$AD35,$BX$2)=1,INDEX('Програма-кодове'!$C$1:$AD$1,1,MATCH($BX$2,'Програма-кодове'!$C35:$AD35,0)),"Дублаж"))</f>
        <v>-</v>
      </c>
      <c r="BY36" s="30" t="str">
        <f>IF(COUNTIF('Програма-кодове'!$C35:$AD35,$BY$2)=0,"-",IF(COUNTIF('Програма-кодове'!$C35:$AD35,$BY$2)=1,INDEX('Програма-кодове'!$C$1:$AD$1,1,MATCH($BY$2,'Програма-кодове'!$C35:$AD35,0)),"Дублаж"))</f>
        <v>10б</v>
      </c>
      <c r="BZ36" s="30" t="str">
        <f>IF(COUNTIF('Програма-кодове'!$C35:$AD35,$BZ$2)=0,"-",IF(COUNTIF('Програма-кодове'!$C35:$AD35,$BZ$2)=1,INDEX('Програма-кодове'!$C$1:$AD$1,1,MATCH($BZ$2,'Програма-кодове'!$C35:$AD35,0)),"Дублаж"))</f>
        <v>-</v>
      </c>
      <c r="CA36" s="30" t="str">
        <f>IF(COUNTIF('Програма-кодове'!$C35:$AD35,$CA$2)=0,"-",IF(COUNTIF('Програма-кодове'!$C35:$AD35,$CA$2)=1,INDEX('Програма-кодове'!$C$1:$AD$1,1,MATCH($CA$2,'Програма-кодове'!$C35:$AD35,0)),"Дублаж"))</f>
        <v>-</v>
      </c>
      <c r="CB36" s="30" t="str">
        <f>IF(COUNTIF('Програма-кодове'!$C35:$AD35,$CB$2)=0,"-",IF(COUNTIF('Програма-кодове'!$C35:$AD35,$CB$2)=1,INDEX('Програма-кодове'!$C$1:$AD$1,1,MATCH($CB$2,'Програма-кодове'!$C35:$AD35,0)),"Дублаж"))</f>
        <v>-</v>
      </c>
      <c r="CC36" s="30" t="str">
        <f>IF(COUNTIF('Програма-кодове'!$C35:$AD35,$CC$2)=0,"-",IF(COUNTIF('Програма-кодове'!$C35:$AD35,$CC$2)=1,INDEX('Програма-кодове'!$C$1:$AD$1,1,MATCH($CC$2,'Програма-кодове'!$C35:$AD35,0)),"Дублаж"))</f>
        <v>-</v>
      </c>
      <c r="CD36" s="30" t="str">
        <f>IF(COUNTIF('Програма-кодове'!$C35:$AD35,$CD$2)=0,"-",IF(COUNTIF('Програма-кодове'!$C35:$AD35,$CD$2)=1,INDEX('Програма-кодове'!$C$1:$AD$1,1,MATCH($CD$2,'Програма-кодове'!$C35:$AD35,0)),"Дублаж"))</f>
        <v>-</v>
      </c>
      <c r="CE36" s="30" t="str">
        <f>IF(COUNTIF('Програма-кодове'!$C35:$AD35,$CE$2)=0,"-",IF(COUNTIF('Програма-кодове'!$C35:$AD35,$CE$2)=1,INDEX('Програма-кодове'!$C$1:$AD$1,1,MATCH($CE$2,'Програма-кодове'!$C35:$AD35,0)),"Дублаж"))</f>
        <v>-</v>
      </c>
    </row>
    <row r="37" spans="1:83" ht="12" customHeight="1" thickBot="1">
      <c r="A37" s="368"/>
      <c r="B37" s="349">
        <v>7</v>
      </c>
      <c r="C37" s="195" t="str">
        <f>IF(COUNTIF('Програма-кодове'!$C36:$AD36,$C$2)=0,"-",IF(COUNTIF('Програма-кодове'!$C36:$AD36,$C$2)=1,INDEX('Програма-кодове'!$C$1:$AD$1,1,MATCH($C$2,'Програма-кодове'!$C36:$AD36,0)),"Дублаж"))</f>
        <v>-</v>
      </c>
      <c r="D37" s="195" t="str">
        <f>IF(COUNTIF('Програма-кодове'!$C36:$AD36,$D$2)=0,"-",IF(COUNTIF('Програма-кодове'!$C36:$AD36,$D$2)=1,INDEX('Програма-кодове'!$C$1:$AD$1,1,MATCH($D$2,'Програма-кодове'!$C36:$AD36,0)),"Дублаж"))</f>
        <v>-</v>
      </c>
      <c r="E37" s="195" t="str">
        <f>IF(COUNTIF('Програма-кодове'!$C36:$AD36,$E$2)=0,"-",IF(COUNTIF('Програма-кодове'!$C36:$AD36,$E$2)=1,INDEX('Програма-кодове'!$C$1:$AD$1,1,MATCH($E$2,'Програма-кодове'!$C36:$AD36,0)),"Дублаж"))</f>
        <v>-</v>
      </c>
      <c r="F37" s="195" t="str">
        <f>IF(COUNTIF('Програма-кодове'!$C36:$AD36,$F$2)=0,"-",IF(COUNTIF('Програма-кодове'!$C36:$AD36,$F$2)=1,INDEX('Програма-кодове'!$C$1:$AD$1,1,MATCH($F$2,'Програма-кодове'!$C36:$AD36,0)),"Дублаж"))</f>
        <v>-</v>
      </c>
      <c r="G37" s="195" t="str">
        <f>IF(COUNTIF('Програма-кодове'!$C36:$AD36,$G$2)=0,"-",IF(COUNTIF('Програма-кодове'!$C36:$AD36,$G$2)=1,INDEX('Програма-кодове'!$C$1:$AD$1,1,MATCH($G$2,'Програма-кодове'!$C36:$AD36,0)),"Дублаж"))</f>
        <v>-</v>
      </c>
      <c r="H37" s="195" t="str">
        <f>IF(COUNTIF('Програма-кодове'!$C36:$AD36,$H$2)=0,"-",IF(COUNTIF('Програма-кодове'!$C36:$AD36,$H$2)=1,INDEX('Програма-кодове'!$C$1:$AD$1,1,MATCH($H$2,'Програма-кодове'!$C36:$AD36,0)),"Дублаж"))</f>
        <v>-</v>
      </c>
      <c r="I37" s="195" t="str">
        <f>IF(COUNTIF('Програма-кодове'!$C36:$AD36,$I$2)=0,"-",IF(COUNTIF('Програма-кодове'!$C36:$AD36,$I$2)=1,INDEX('Програма-кодове'!$C$1:$AD$1,1,MATCH($I$2,'Програма-кодове'!$C36:$AD36,0)),"Дублаж"))</f>
        <v>-</v>
      </c>
      <c r="J37" s="195" t="str">
        <f>IF(COUNTIF('Програма-кодове'!$C36:$AD36,$J$2)=0,"-",IF(COUNTIF('Програма-кодове'!$C36:$AD36,$J$2)=1,INDEX('Програма-кодове'!$C$1:$AD$1,1,MATCH($J$2,'Програма-кодове'!$C36:$AD36,0)),"Дублаж"))</f>
        <v>-</v>
      </c>
      <c r="K37" s="195" t="str">
        <f>IF(COUNTIF('Програма-кодове'!$C36:$AD36,$K$2)=0,"-",IF(COUNTIF('Програма-кодове'!$C36:$AD36,$K$2)=1,INDEX('Програма-кодове'!$C$1:$AD$1,1,MATCH($K$2,'Програма-кодове'!$C36:$AD36,0)),"Дублаж"))</f>
        <v>-</v>
      </c>
      <c r="L37" s="195" t="str">
        <f>IF(COUNTIF('Програма-кодове'!$C36:$AD36,$L$2)=0,"-",IF(COUNTIF('Програма-кодове'!$C36:$AD36,$L$2)=1,INDEX('Програма-кодове'!$C$1:$AD$1,1,MATCH($L$2,'Програма-кодове'!$C36:$AD36,0)),"Дублаж"))</f>
        <v>-</v>
      </c>
      <c r="M37" s="195" t="str">
        <f>IF(COUNTIF('Програма-кодове'!$C36:$AD36,$M$2)=0,"-",IF(COUNTIF('Програма-кодове'!$C36:$AD36,$M$2)=1,INDEX('Програма-кодове'!$C$1:$AD$1,1,MATCH($M$2,'Програма-кодове'!$C36:$AD36,0)),"Дублаж"))</f>
        <v>-</v>
      </c>
      <c r="N37" s="195" t="str">
        <f>IF(COUNTIF('Програма-кодове'!$C36:$AD36,$N$2)=0,"-",IF(COUNTIF('Програма-кодове'!$C36:$AD36,$N$2)=1,INDEX('Програма-кодове'!$C$1:$AD$1,1,MATCH($N$2,'Програма-кодове'!$C36:$AD36,0)),"Дублаж"))</f>
        <v>-</v>
      </c>
      <c r="O37" s="195" t="str">
        <f>IF(COUNTIF('Програма-кодове'!$C36:$AD36,$O$2)=0,"-",IF(COUNTIF('Програма-кодове'!$C36:$AD36,$O$2)=1,INDEX('Програма-кодове'!$C$1:$AD$1,1,MATCH($O$2,'Програма-кодове'!$C36:$AD36,0)),"Дублаж"))</f>
        <v>-</v>
      </c>
      <c r="P37" s="195" t="str">
        <f>IF(COUNTIF('Програма-кодове'!$C36:$AD36,$P$2)=0,"-",IF(COUNTIF('Програма-кодове'!$C36:$AD36,$P$2)=1,INDEX('Програма-кодове'!$C$1:$AD$1,1,MATCH($P$2,'Програма-кодове'!$C36:$AD36,0)),"Дублаж"))</f>
        <v>-</v>
      </c>
      <c r="Q37" s="195" t="str">
        <f>IF(COUNTIF('Програма-кодове'!$C36:$AD36,$Q$2)=0,"-",IF(COUNTIF('Програма-кодове'!$C36:$AD36,$Q$2)=1,INDEX('Програма-кодове'!$C$1:$AD$1,1,MATCH($Q$2,'Програма-кодове'!$C36:$AD36,0)),"Дублаж"))</f>
        <v>-</v>
      </c>
      <c r="R37" s="322" t="str">
        <f t="shared" si="0"/>
        <v>-</v>
      </c>
      <c r="S37" s="322" t="str">
        <f t="shared" si="3"/>
        <v>-</v>
      </c>
      <c r="T37" s="322" t="str">
        <f t="shared" si="4"/>
        <v>-</v>
      </c>
      <c r="U37" s="195" t="str">
        <f>IF(COUNTIF('Програма-кодове'!$C36:$AD36,$U$2)=0,"-",IF(COUNTIF('Програма-кодове'!$C36:$AD36,$U$2)=1,INDEX('Програма-кодове'!$C$1:$AD$1,1,MATCH($U$2,'Програма-кодове'!$C36:$AD36,0)),"Дублаж"))</f>
        <v>-</v>
      </c>
      <c r="V37" s="195" t="str">
        <f>IF(COUNTIF('Програма-кодове'!$C36:$AD36,$V$2)=0,"-",IF(COUNTIF('Програма-кодове'!$C36:$AD36,$V$2)=1,INDEX('Програма-кодове'!$C$1:$AD$1,1,MATCH($V$2,'Програма-кодове'!$C36:$AD36,0)),"Дублаж"))</f>
        <v>-</v>
      </c>
      <c r="W37" s="195" t="str">
        <f>IF(COUNTIF('Програма-кодове'!$C36:$AD36,$W$2)=0,"-",IF(COUNTIF('Програма-кодове'!$C36:$AD36,$W$2)=1,INDEX('Програма-кодове'!$C$1:$AD$1,1,MATCH($W$2,'Програма-кодове'!$C36:$AD36,0)),"Дублаж"))</f>
        <v>-</v>
      </c>
      <c r="X37" s="195" t="str">
        <f>IF(COUNTIF('Програма-кодове'!$C36:$AD36,$X$2)=0,"-",IF(COUNTIF('Програма-кодове'!$C36:$AD36,$X$2)=1,INDEX('Програма-кодове'!$C$1:$AD$1,1,MATCH($X$2,'Програма-кодове'!$C36:$AD36,0)),"Дублаж"))</f>
        <v>-</v>
      </c>
      <c r="Y37" s="334" t="str">
        <f>IF(COUNTIF('Програма-кодове'!$C36:$AD36,$Y$2)=0,"-",IF(COUNTIF('Програма-кодове'!$C36:$AD36,$Y$2)=1,INDEX('Програма-кодове'!$C$1:$AD$1,1,MATCH($Y$2,'Програма-кодове'!$C36:$AD36,0)),"Дублаж"))</f>
        <v>-</v>
      </c>
      <c r="Z37" s="195" t="str">
        <f>IF(COUNTIF('Програма-кодове'!$C36:$AD36,$Z$2)=0,"-",IF(COUNTIF('Програма-кодове'!$C36:$AD36,$Z$2)=1,INDEX('Програма-кодове'!$C$1:$AD$1,1,MATCH($Z$2,'Програма-кодове'!$C36:$AD36,0)),"Дублаж"))</f>
        <v>-</v>
      </c>
      <c r="AA37" s="322" t="str">
        <f t="shared" si="5"/>
        <v>-</v>
      </c>
      <c r="AB37" s="322" t="str">
        <f t="shared" si="6"/>
        <v>-</v>
      </c>
      <c r="AC37" s="322" t="str">
        <f t="shared" si="7"/>
        <v>-</v>
      </c>
      <c r="AD37" s="322" t="str">
        <f t="shared" si="8"/>
        <v>-</v>
      </c>
      <c r="AE37" s="322" t="str">
        <f t="shared" si="9"/>
        <v>-</v>
      </c>
      <c r="AF37" s="322" t="str">
        <f t="shared" si="10"/>
        <v>-</v>
      </c>
      <c r="AG37" s="322" t="str">
        <f t="shared" si="31"/>
        <v>-</v>
      </c>
      <c r="AH37" s="322" t="str">
        <f t="shared" si="12"/>
        <v>-</v>
      </c>
      <c r="AI37" s="210" t="str">
        <f t="shared" si="13"/>
        <v>-</v>
      </c>
      <c r="AJ37" s="322" t="str">
        <f>IF(CC37&lt;&gt;"-",IF(AND(CD37="-",CE37="-"),CC37,"Дублаж"),IF(AND(CD37&lt;&gt;"-",CE37&lt;&gt;"-"),"Дублаж",IF(CD37&lt;&gt;"-",CD37,CE37)))</f>
        <v>-</v>
      </c>
      <c r="AK37" s="210" t="str">
        <f>IF(COUNTIF('Програма-кодове'!$C36:$AD36,$AK$2)=0,"-",IF(COUNTIF('Програма-кодове'!$C36:$AD36,$AK$2)=1,INDEX('Програма-кодове'!$C$1:$AD$1,1,MATCH($AK$2,'Програма-кодове'!$C36:$AD36,0)),"Дублаж"))</f>
        <v>-</v>
      </c>
      <c r="AL37" s="210" t="str">
        <f>IF(COUNTIF('Програма-кодове'!$C36:$AD36,$AL$2)=0,"-",IF(COUNTIF('Програма-кодове'!$C36:$AD36,$AL$2)=1,INDEX('Програма-кодове'!$C$1:$AD$1,1,MATCH($AL$2,'Програма-кодове'!$C36:$AD36,0)),"Дублаж"))</f>
        <v>-</v>
      </c>
      <c r="AM37" s="210" t="str">
        <f>IF(COUNTIF('Програма-кодове'!$C36:$AD36,$AM$2)=0,"-",IF(COUNTIF('Програма-кодове'!$C36:$AD36,$AM$2)=1,INDEX('Програма-кодове'!$C$1:$AD$1,1,MATCH($AM$2,'Програма-кодове'!$C36:$AD36,0)),"Дублаж"))</f>
        <v>-</v>
      </c>
      <c r="AN37" s="322" t="str">
        <f>IF(COUNTIF('Програма-кодове'!$C36:$AD36,$AN$2)=0,"-",IF(COUNTIF('Програма-кодове'!$C36:$AD36,$AN$2)=1,INDEX('Програма-кодове'!$C$1:$AD$1,1,MATCH($AN$2,'Програма-кодове'!$C36:$AD36,0)),"Дублаж"))</f>
        <v>-</v>
      </c>
      <c r="AO37" s="322" t="str">
        <f>IF(COUNTIF('Програма-кодове'!$C36:$AD36,$AO$2)=0,"-",IF(COUNTIF('Програма-кодове'!$C36:$AD36,$AO$2)=1,INDEX('Програма-кодове'!$C$1:$AD$1,1,MATCH($AO$2,'Програма-кодове'!$C36:$AD36,0)),"Дублаж"))</f>
        <v>-</v>
      </c>
      <c r="AP37" s="322" t="str">
        <f>IF(COUNTIF('Програма-кодове'!$C36:$AD36,$AP$2)=0,"-",IF(COUNTIF('Програма-кодове'!$C36:$AD36,$AP$2)=1,INDEX('Програма-кодове'!$C$1:$AD$1,1,MATCH($AP$2,'Програма-кодове'!$C36:$AD36,0)),"Дублаж"))</f>
        <v>-</v>
      </c>
      <c r="AQ37" s="322" t="str">
        <f t="shared" si="15"/>
        <v>-</v>
      </c>
      <c r="AR37" s="322" t="str">
        <f>IF(COUNTIF('Програма-кодове'!$C36:$AD36,$AR$2)=0,"-",IF(COUNTIF('Програма-кодове'!$C36:$AD36,$AR$2)=1,INDEX('Програма-кодове'!$C$1:$AD$1,1,MATCH($AR$2,'Програма-кодове'!$C36:$AD36,0)),"Дублаж"))</f>
        <v>-</v>
      </c>
      <c r="AS37" s="322" t="str">
        <f>IF(COUNTIF('Програма-кодове'!$C36:$AD36,$AS$2)=0,"-",IF(COUNTIF('Програма-кодове'!$C36:$AD36,$AS$2)=1,INDEX('Програма-кодове'!$C$1:$AD$1,1,MATCH($AS$2,'Програма-кодове'!$C36:$AD36,0)),"Дублаж"))</f>
        <v>-</v>
      </c>
      <c r="AT37" s="322" t="str">
        <f>IF(COUNTIF('Програма-кодове'!$C36:$AD36,$AT$2)=0,"-",IF(COUNTIF('Програма-кодове'!$C36:$AD36,$AT$2)=1,INDEX('Програма-кодове'!$C$1:$AD$1,1,MATCH($AT$2,'Програма-кодове'!$C36:$AD36,0)),"Дублаж"))</f>
        <v>-</v>
      </c>
      <c r="AU37" s="210" t="str">
        <f t="shared" si="25"/>
        <v>-</v>
      </c>
      <c r="AV37" s="195" t="str">
        <f t="shared" si="2"/>
        <v>-</v>
      </c>
      <c r="AW37" s="195" t="str">
        <f>IF(COUNTIF('Програма-кодове'!$C36:$AD36,$AW$2)=0,"-",IF(COUNTIF('Програма-кодове'!$C36:$AD36,$AW$2)=1,INDEX('Програма-кодове'!$C$1:$AD$1,1,MATCH($AW$2,'Програма-кодове'!$C36:$AD36,0)),"Дублаж"))</f>
        <v>-</v>
      </c>
      <c r="AX37" s="195" t="str">
        <f>IF(COUNTIF('Програма-кодове'!$C36:$AD36,$AX$2)=0,"-",IF(COUNTIF('Програма-кодове'!$C36:$AD36,$AX$2)=1,INDEX('Програма-кодове'!$C$1:$AD$1,1,MATCH($AX$2,'Програма-кодове'!$C36:$AD36,0)),"Дублаж"))</f>
        <v>-</v>
      </c>
      <c r="AY37" s="195" t="str">
        <f>IF(COUNTIF('Програма-кодове'!$C36:$AD36,$AY$2)=0,"-",IF(COUNTIF('Програма-кодове'!$C36:$AD36,$AY$2)=1,INDEX('Програма-кодове'!$C$1:$AD$1,1,MATCH($AY$2,'Програма-кодове'!$C36:$AD36,0)),"Дублаж"))</f>
        <v>-</v>
      </c>
      <c r="AZ37" s="322" t="str">
        <f t="shared" si="16"/>
        <v>-</v>
      </c>
      <c r="BA37" s="30" t="str">
        <f>IF(COUNTIF('Програма-кодове'!$C36:$AD36,$BA$2)=0,"-",IF(COUNTIF('Програма-кодове'!$C36:$AD36,$BA$2)=1,INDEX('Програма-кодове'!$C$1:$AD$1,1,MATCH($BA$2,'Програма-кодове'!$C36:$AD36,0)),"Дублаж"))</f>
        <v>-</v>
      </c>
      <c r="BB37" s="30" t="str">
        <f>IF(COUNTIF('Програма-кодове'!$C36:$AD36,$BB$2)=0,"-",IF(COUNTIF('Програма-кодове'!$C36:$AD36,$BB$2)=1,INDEX('Програма-кодове'!$C$1:$AD$1,1,MATCH($BB$2,'Програма-кодове'!$C36:$AD36,0)),"Дублаж"))</f>
        <v>-</v>
      </c>
      <c r="BC37" s="30" t="str">
        <f>IF(COUNTIF('Програма-кодове'!$C36:$AD36,$BC$2)=0,"-",IF(COUNTIF('Програма-кодове'!$C36:$AD36,$BC$2)=1,INDEX('Програма-кодове'!$C$1:$AD$1,1,MATCH($BC$2,'Програма-кодове'!$C36:$AD36,0)),"Дублаж"))</f>
        <v>-</v>
      </c>
      <c r="BD37" s="30" t="str">
        <f>IF(COUNTIF('Програма-кодове'!$C36:$AD36,$BD$2)=0,"-",IF(COUNTIF('Програма-кодове'!$C36:$AD36,$BD$2)=1,INDEX('Програма-кодове'!$C$1:$AD$1,1,MATCH($BD$2,'Програма-кодове'!$C36:$AD36,0)),"Дублаж"))</f>
        <v>-</v>
      </c>
      <c r="BE37" s="30" t="str">
        <f>IF(COUNTIF('Програма-кодове'!$C36:$AD36,$BE$2)=0,"-",IF(COUNTIF('Програма-кодове'!$C36:$AD36,$BE$2)=1,INDEX('Програма-кодове'!$C$1:$AD$1,1,MATCH($BE$2,'Програма-кодове'!$C36:$AD36,0)),"Дублаж"))</f>
        <v>-</v>
      </c>
      <c r="BF37" s="30" t="str">
        <f>IF(COUNTIF('Програма-кодове'!$C36:$AD36,$BF$2)=0,"-",IF(COUNTIF('Програма-кодове'!$C36:$AD36,$BF$2)=1,INDEX('Програма-кодове'!$C$1:$AD$1,1,MATCH($BF$2,'Програма-кодове'!$C36:$AD36,0)),"Дублаж"))</f>
        <v>-</v>
      </c>
      <c r="BG37" s="30" t="str">
        <f>IF(COUNTIF('Програма-кодове'!$C36:$AD36,$BG$2)=0,"-",IF(COUNTIF('Програма-кодове'!$C36:$AD36,$BG$2)=1,INDEX('Програма-кодове'!$C$1:$AD$1,1,MATCH($BG$2,'Програма-кодове'!$C36:$AD36,0)),"Дублаж"))</f>
        <v>-</v>
      </c>
      <c r="BH37" s="30" t="str">
        <f>IF(COUNTIF('Програма-кодове'!$C36:$AD36,$BH$2)=0,"-",IF(COUNTIF('Програма-кодове'!$C36:$AD36,$BH$2)=1,INDEX('Програма-кодове'!$C$1:$AD$1,1,MATCH($BH$2,'Програма-кодове'!$C36:$AD36,0)),"Дублаж"))</f>
        <v>-</v>
      </c>
      <c r="BI37" s="94" t="str">
        <f>IF(COUNTIF('Програма-кодове'!$C36:$AD36,$BI$2)=0,"-",IF(COUNTIF('Програма-кодове'!$C36:$AD36,$BI$2)=1,INDEX('Програма-кодове'!$C$1:$AD$1,1,MATCH($BI$2,'Програма-кодове'!$C36:$AD36,0)),IF('Програма-кодове'!Z36='Програма-кодове'!AA36,"12а,б","Дублаж")))</f>
        <v>-</v>
      </c>
      <c r="BJ37" s="94" t="str">
        <f>IF(COUNTIF('Програма-кодове'!$C36:$AD36,$BJ$2)=0,"-",IF(COUNTIF('Програма-кодове'!$C36:$AD36,$BJ$2)=1,INDEX('Програма-кодове'!$C$1:$AD$1,1,MATCH($BJ$2,'Програма-кодове'!$C36:$AD36,0)),"Дублаж"))</f>
        <v>-</v>
      </c>
      <c r="BK37" s="94" t="str">
        <f>IF(COUNTIF('Програма-кодове'!$C36:$AD36,$BK$2)=0,"-",IF(COUNTIF('Програма-кодове'!$C36:$AD36,$BK$2)=1,INDEX('Програма-кодове'!$C$1:$AD$1,1,MATCH($BK$2,'Програма-кодове'!$C36:$AD36,0)),IF('Програма-кодове'!#REF!='Програма-кодове'!#REF!,"9а,д",IF('Програма-кодове'!#REF!='Програма-кодове'!#REF!,"9б,в","Дублаж"))))</f>
        <v>-</v>
      </c>
      <c r="BL37" s="30" t="str">
        <f>IF(COUNTIF('Програма-кодове'!$C36:$AD36,$BL$2)=0,"-",IF(COUNTIF('Програма-кодове'!$C36:$AD36,$BL$2)=1,INDEX('Програма-кодове'!$C$1:$AD$1,1,MATCH($BL$2,'Програма-кодове'!$C36:$AD36,0)),"Дублаж"))</f>
        <v>-</v>
      </c>
      <c r="BM37" s="30" t="str">
        <f>IF(COUNTIF('Програма-кодове'!$C36:$AD36,$BM$2)=0,"-",IF(COUNTIF('Програма-кодове'!$C36:$AD36,$BM$2)=1,INDEX('Програма-кодове'!$C$1:$AD$1,1,MATCH($BM$2,'Програма-кодове'!$C36:$AD36,0)),"Дублаж"))</f>
        <v>-</v>
      </c>
      <c r="BN37" s="77" t="str">
        <f>IF(COUNTIF('Програма-кодове'!$C36:$AD36,$BN$2)=0,"-",IF(COUNTIF('Програма-кодове'!$C36:$AD36,$BN$2)=1,INDEX('Програма-кодове'!$C$1:$AD$1,1,MATCH($BN$2,'Програма-кодове'!$C36:$AD36,0)),IF(AND('Програма-кодове'!K36='Програма-кодове'!O36,'Програма-кодове'!K36&lt;&gt;""),"9а, д", IF(AND('Програма-кодове'!U36='Програма-кодове'!W36,'Програма-кодове'!U36&lt;&gt;""),"11а,в", "Дублаж"))))</f>
        <v>-</v>
      </c>
      <c r="BO37" s="77" t="str">
        <f>IF(COUNTIF('Програма-кодове'!$C36:$AD36,$BO$2)=0,"-",IF(COUNTIF('Програма-кодове'!$C36:$AD36,$BO$2)=1,INDEX('Програма-кодове'!$C$1:$AD$1,1,MATCH($BO$2,'Програма-кодове'!$C36:$AD36,0)),IF(AND('Програма-кодове'!U36='Програма-кодове'!W36,'Програма-кодове'!U36&lt;&gt;"" ),"11a,в","Дублаж")))</f>
        <v>-</v>
      </c>
      <c r="BP37" s="30" t="str">
        <f>IF(COUNTIF('Програма-кодове'!$C36:$AD36,$BP$2)=0,"-",IF(COUNTIF('Програма-кодове'!$C36:$AD36,$BP$2)=1,"9б,в,г","Дублаж"))</f>
        <v>-</v>
      </c>
      <c r="BQ37" s="30" t="str">
        <f>IF(COUNTIF('Програма-кодове'!$C36:$AD36,$BQ$2)=0,"-",IF(COUNTIF('Програма-кодове'!$C36:$AD36,$BQ$2)=1,INDEX('Програма-кодове'!$C$1:$AD$1,1,MATCH($BQ$2,'Програма-кодове'!$C36:$AD36,0)),"Дублаж"))</f>
        <v>-</v>
      </c>
      <c r="BR37" s="30" t="str">
        <f>IF(COUNTIF('Програма-кодове'!$C36:$AD36,$BR$2)=0,"-",IF(COUNTIF('Програма-кодове'!$C36:$AD36,$BR$2)=1,INDEX('Програма-кодове'!$C$1:$AD$1,1,MATCH($BR$2,'Програма-кодове'!$C36:$AD36,0)),IF('Програма-кодове'!W36='Програма-кодове'!X36,"11б,в","Дублаж")))</f>
        <v>-</v>
      </c>
      <c r="BS37" s="30" t="str">
        <f>IF(COUNTIF('Програма-кодове'!$C36:$AD36,$BS$2)=0,"-",IF(COUNTIF('Програма-кодове'!$C36:$AD36,$BS$2)=1,INDEX('Програма-кодове'!$C$1:$AD$1,1,MATCH($BS$2,'Програма-кодове'!$C36:$AD36,0)),"Дублаж"))</f>
        <v>-</v>
      </c>
      <c r="BT37" s="193" t="str">
        <f t="shared" si="17"/>
        <v>-</v>
      </c>
      <c r="BU37" s="30" t="str">
        <f>IF(COUNTIF('Програма-кодове'!$C36:$AD36,$BU$2)=0,"-",IF(COUNTIF('Програма-кодове'!$C36:$AD36,$BU$2)=1,INDEX('Програма-кодове'!$C$1:$AD$1,1,MATCH($BU$2,'Програма-кодове'!$C36:$AD36,0)),"Дублаж"))</f>
        <v>-</v>
      </c>
      <c r="BV37" s="30" t="str">
        <f>IF(COUNTIF('Програма-кодове'!$C36:$AD36,$BV$2)=0,"-",IF(COUNTIF('Програма-кодове'!$C36:$AD36,$BV$2)=1,INDEX('Програма-кодове'!$C$1:$AD$1,1,MATCH($BV$2,'Програма-кодове'!$C36:$AD36,0)),"Дублаж"))</f>
        <v>-</v>
      </c>
      <c r="BW37" s="30" t="str">
        <f>IF(COUNTIF('Програма-кодове'!$C36:$AD36,$BW$2)=0,"-",IF(COUNTIF('Програма-кодове'!$C36:$AD36,$BW$2)=1,INDEX('Програма-кодове'!$C$1:$AD$1,1,MATCH($BW$2,'Програма-кодове'!$C36:$AD36,0)),"Дублаж"))</f>
        <v>-</v>
      </c>
      <c r="BX37" s="30" t="str">
        <f>IF(COUNTIF('Програма-кодове'!$C36:$AD36,$BX$2)=0,"-",IF(COUNTIF('Програма-кодове'!$C36:$AD36,$BX$2)=1,INDEX('Програма-кодове'!$C$1:$AD$1,1,MATCH($BX$2,'Програма-кодове'!$C36:$AD36,0)),"Дублаж"))</f>
        <v>-</v>
      </c>
      <c r="BY37" s="30" t="str">
        <f>IF(COUNTIF('Програма-кодове'!$C36:$AD36,$BY$2)=0,"-",IF(COUNTIF('Програма-кодове'!$C36:$AD36,$BY$2)=1,INDEX('Програма-кодове'!$C$1:$AD$1,1,MATCH($BY$2,'Програма-кодове'!$C36:$AD36,0)),"Дублаж"))</f>
        <v>-</v>
      </c>
      <c r="BZ37" s="30" t="str">
        <f>IF(COUNTIF('Програма-кодове'!$C36:$AD36,$BZ$2)=0,"-",IF(COUNTIF('Програма-кодове'!$C36:$AD36,$BZ$2)=1,INDEX('Програма-кодове'!$C$1:$AD$1,1,MATCH($BZ$2,'Програма-кодове'!$C36:$AD36,0)),"Дублаж"))</f>
        <v>-</v>
      </c>
      <c r="CA37" s="30" t="str">
        <f>IF(COUNTIF('Програма-кодове'!$C36:$AD36,$CA$2)=0,"-",IF(COUNTIF('Програма-кодове'!$C36:$AD36,$CA$2)=1,INDEX('Програма-кодове'!$C$1:$AD$1,1,MATCH($CA$2,'Програма-кодове'!$C36:$AD36,0)),"Дублаж"))</f>
        <v>-</v>
      </c>
      <c r="CB37" s="30" t="str">
        <f>IF(COUNTIF('Програма-кодове'!$C36:$AD36,$CB$2)=0,"-",IF(COUNTIF('Програма-кодове'!$C36:$AD36,$CB$2)=1,INDEX('Програма-кодове'!$C$1:$AD$1,1,MATCH($CB$2,'Програма-кодове'!$C36:$AD36,0)),"Дублаж"))</f>
        <v>-</v>
      </c>
      <c r="CC37" s="30" t="str">
        <f>IF(COUNTIF('Програма-кодове'!$C36:$AD36,$CC$2)=0,"-",IF(COUNTIF('Програма-кодове'!$C36:$AD36,$CC$2)=1,INDEX('Програма-кодове'!$C$1:$AD$1,1,MATCH($CC$2,'Програма-кодове'!$C36:$AD36,0)),"Дублаж"))</f>
        <v>-</v>
      </c>
      <c r="CD37" s="30" t="str">
        <f>IF(COUNTIF('Програма-кодове'!$C36:$AD36,$CD$2)=0,"-",IF(COUNTIF('Програма-кодове'!$C36:$AD36,$CD$2)=1,INDEX('Програма-кодове'!$C$1:$AD$1,1,MATCH($CD$2,'Програма-кодове'!$C36:$AD36,0)),"Дублаж"))</f>
        <v>-</v>
      </c>
      <c r="CE37" s="30" t="str">
        <f>IF(COUNTIF('Програма-кодове'!$C36:$AD36,$CE$2)=0,"-",IF(COUNTIF('Програма-кодове'!$C36:$AD36,$CE$2)=1,INDEX('Програма-кодове'!$C$1:$AD$1,1,MATCH($CE$2,'Програма-кодове'!$C36:$AD36,0)),"Дублаж"))</f>
        <v>-</v>
      </c>
    </row>
    <row r="38" spans="1:83" s="21" customFormat="1" ht="13.5" customHeight="1">
      <c r="A38" s="307"/>
      <c r="B38" s="106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</row>
    <row r="39" spans="1:83">
      <c r="AN39" s="12" t="s">
        <v>124</v>
      </c>
      <c r="AO39" s="12" t="s">
        <v>125</v>
      </c>
      <c r="AP39" s="12" t="s">
        <v>126</v>
      </c>
      <c r="AQ39" s="12" t="s">
        <v>127</v>
      </c>
      <c r="AR39" s="12" t="s">
        <v>124</v>
      </c>
      <c r="AU39" s="12">
        <f>COUNTIF(AU3:AU37,"9д")</f>
        <v>0</v>
      </c>
      <c r="AW39" s="12" t="s">
        <v>261</v>
      </c>
      <c r="AZ39" s="12">
        <f>COUNTIF(C3:AZ37,"Дублаж")</f>
        <v>0</v>
      </c>
    </row>
    <row r="40" spans="1:83">
      <c r="AA40" s="21"/>
      <c r="AB40" s="12" t="s">
        <v>259</v>
      </c>
      <c r="AN40" s="12">
        <f>49-COUNTIF(AN3:AT9,"-")</f>
        <v>29</v>
      </c>
      <c r="AO40" s="12">
        <f>49-COUNTIF(AN10:AT16,"-")</f>
        <v>31</v>
      </c>
      <c r="AP40" s="12">
        <f>42-COUNTIF(AN17:AT22,"-")</f>
        <v>24</v>
      </c>
      <c r="AQ40" s="12">
        <f>42-COUNTIF(AN24:AT29,"-")</f>
        <v>28</v>
      </c>
      <c r="AR40" s="12">
        <f>42-COUNTIF(AN31:AT36,"-")</f>
        <v>26</v>
      </c>
      <c r="AS40" s="365">
        <f>SUM(AN40:AR40)</f>
        <v>138</v>
      </c>
      <c r="AT40" s="365"/>
      <c r="AU40" s="21"/>
      <c r="AV40" s="21"/>
      <c r="AW40" s="21"/>
      <c r="AX40" s="21"/>
      <c r="AY40" s="21"/>
      <c r="AZ40" s="21"/>
      <c r="BA40" s="21"/>
      <c r="BB40" s="21"/>
      <c r="BC40" s="21"/>
      <c r="BD40" s="21"/>
    </row>
    <row r="41" spans="1:83">
      <c r="AA41" s="21"/>
      <c r="AB41" s="21" t="s">
        <v>260</v>
      </c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>
        <v>28</v>
      </c>
      <c r="AO41" s="21">
        <v>28</v>
      </c>
      <c r="AP41" s="21">
        <v>24</v>
      </c>
      <c r="AQ41" s="21">
        <v>24</v>
      </c>
      <c r="AR41" s="21">
        <v>24</v>
      </c>
      <c r="AS41" s="365">
        <f>SUM(AN41:AR41)</f>
        <v>128</v>
      </c>
      <c r="AT41" s="365"/>
      <c r="AU41" s="21"/>
      <c r="AV41" s="21"/>
      <c r="AW41" s="21"/>
      <c r="AX41" s="21"/>
      <c r="AY41" s="21"/>
      <c r="AZ41" s="21"/>
      <c r="BA41" s="21"/>
      <c r="BB41" s="21"/>
      <c r="BC41" s="21"/>
      <c r="BD41" s="21"/>
    </row>
    <row r="42" spans="1:83">
      <c r="AP42" s="12" t="s">
        <v>270</v>
      </c>
      <c r="AQ42" s="12" t="s">
        <v>270</v>
      </c>
      <c r="AR42" s="12" t="s">
        <v>270</v>
      </c>
    </row>
    <row r="43" spans="1:83">
      <c r="D43" s="12">
        <v>1</v>
      </c>
      <c r="E43" s="12">
        <v>2</v>
      </c>
      <c r="F43" s="12">
        <v>2</v>
      </c>
      <c r="G43" s="12">
        <v>2</v>
      </c>
      <c r="H43" s="12">
        <v>2</v>
      </c>
      <c r="I43" s="12">
        <v>3</v>
      </c>
      <c r="J43" s="12">
        <v>3</v>
      </c>
      <c r="K43" s="12">
        <v>2</v>
      </c>
      <c r="L43" s="12">
        <v>3</v>
      </c>
      <c r="M43" s="12">
        <v>1</v>
      </c>
      <c r="N43" s="12">
        <v>2</v>
      </c>
      <c r="O43" s="12">
        <v>3</v>
      </c>
      <c r="P43" s="12">
        <v>1</v>
      </c>
      <c r="Q43" s="12">
        <v>3</v>
      </c>
      <c r="R43" s="12">
        <v>3</v>
      </c>
      <c r="S43" s="12">
        <v>1</v>
      </c>
      <c r="T43" s="12">
        <v>2</v>
      </c>
      <c r="U43" s="12">
        <v>1</v>
      </c>
      <c r="V43" s="21">
        <v>2</v>
      </c>
      <c r="W43" s="12">
        <v>2</v>
      </c>
      <c r="X43" s="12">
        <v>2</v>
      </c>
      <c r="Y43" s="12">
        <v>3</v>
      </c>
      <c r="Z43" s="12">
        <v>2</v>
      </c>
      <c r="AB43" s="12">
        <v>2</v>
      </c>
      <c r="AC43" s="12">
        <v>2</v>
      </c>
      <c r="AD43" s="12">
        <v>0</v>
      </c>
      <c r="AE43" s="12">
        <v>2</v>
      </c>
      <c r="AF43" s="12">
        <v>1</v>
      </c>
      <c r="AG43" s="12">
        <v>1</v>
      </c>
      <c r="AH43" s="12">
        <v>1</v>
      </c>
      <c r="AI43" s="12">
        <v>3</v>
      </c>
      <c r="AJ43" s="12">
        <v>1</v>
      </c>
      <c r="AK43" s="12">
        <v>3</v>
      </c>
      <c r="AL43" s="12">
        <v>3</v>
      </c>
      <c r="AM43" s="21">
        <v>3</v>
      </c>
      <c r="AN43" s="12">
        <v>0</v>
      </c>
      <c r="AO43" s="12">
        <v>1</v>
      </c>
      <c r="AP43" s="12">
        <v>0</v>
      </c>
      <c r="AQ43" s="12">
        <v>2</v>
      </c>
      <c r="AR43" s="12">
        <v>2</v>
      </c>
      <c r="AS43" s="12">
        <v>2</v>
      </c>
      <c r="AT43" s="12">
        <v>0</v>
      </c>
      <c r="AU43" s="12">
        <v>3</v>
      </c>
      <c r="AV43" s="12">
        <v>2</v>
      </c>
      <c r="AW43" s="12">
        <v>2</v>
      </c>
      <c r="AX43" s="12">
        <v>2</v>
      </c>
      <c r="AY43" s="12">
        <v>1</v>
      </c>
      <c r="AZ43" s="12">
        <v>0</v>
      </c>
    </row>
    <row r="44" spans="1:83" ht="15" customHeight="1">
      <c r="D44" s="12" t="s">
        <v>128</v>
      </c>
      <c r="R44" s="21"/>
      <c r="S44" s="21"/>
      <c r="T44" s="21"/>
      <c r="U44" s="21"/>
      <c r="W44" s="21"/>
      <c r="X44" s="21"/>
      <c r="AF44" s="12" t="s">
        <v>167</v>
      </c>
      <c r="BI44" s="79"/>
    </row>
    <row r="45" spans="1:83">
      <c r="A45" s="150"/>
      <c r="B45" s="151">
        <v>5</v>
      </c>
      <c r="C45" s="151">
        <v>6</v>
      </c>
      <c r="D45" s="151">
        <v>7</v>
      </c>
      <c r="E45" s="151" t="s">
        <v>113</v>
      </c>
      <c r="F45" s="151" t="s">
        <v>1</v>
      </c>
      <c r="G45" s="151" t="s">
        <v>2</v>
      </c>
      <c r="H45" s="151" t="s">
        <v>3</v>
      </c>
      <c r="I45" s="151" t="s">
        <v>4</v>
      </c>
      <c r="J45" s="151" t="s">
        <v>5</v>
      </c>
      <c r="K45" s="151" t="s">
        <v>6</v>
      </c>
      <c r="L45" s="151" t="s">
        <v>7</v>
      </c>
      <c r="M45" s="151" t="s">
        <v>8</v>
      </c>
      <c r="N45" s="151" t="s">
        <v>9</v>
      </c>
      <c r="O45" s="151" t="s">
        <v>10</v>
      </c>
      <c r="P45" s="151" t="s">
        <v>11</v>
      </c>
      <c r="Q45" s="151" t="s">
        <v>12</v>
      </c>
      <c r="R45" s="151" t="s">
        <v>13</v>
      </c>
      <c r="S45" s="151" t="s">
        <v>14</v>
      </c>
      <c r="T45" s="151" t="s">
        <v>15</v>
      </c>
      <c r="U45" s="151" t="s">
        <v>16</v>
      </c>
      <c r="V45" s="151" t="s">
        <v>17</v>
      </c>
      <c r="W45" s="151" t="s">
        <v>46</v>
      </c>
      <c r="X45" s="151" t="s">
        <v>18</v>
      </c>
      <c r="Y45" s="151" t="s">
        <v>48</v>
      </c>
      <c r="Z45" s="151" t="s">
        <v>49</v>
      </c>
      <c r="AA45" s="151" t="s">
        <v>50</v>
      </c>
      <c r="AB45" s="151" t="s">
        <v>51</v>
      </c>
      <c r="AC45" s="151" t="s">
        <v>52</v>
      </c>
      <c r="AF45" s="151">
        <v>5</v>
      </c>
      <c r="AG45" s="151">
        <v>6</v>
      </c>
      <c r="AH45" s="151">
        <v>7</v>
      </c>
      <c r="AI45" s="151" t="s">
        <v>113</v>
      </c>
      <c r="AJ45" s="151" t="s">
        <v>1</v>
      </c>
      <c r="AK45" s="151" t="s">
        <v>2</v>
      </c>
      <c r="AL45" s="151" t="s">
        <v>3</v>
      </c>
      <c r="AM45" s="151" t="s">
        <v>4</v>
      </c>
      <c r="AN45" s="151" t="s">
        <v>5</v>
      </c>
      <c r="AO45" s="151" t="s">
        <v>6</v>
      </c>
      <c r="AP45" s="151" t="s">
        <v>7</v>
      </c>
      <c r="AQ45" s="151" t="s">
        <v>8</v>
      </c>
      <c r="AR45" s="151" t="s">
        <v>9</v>
      </c>
      <c r="AS45" s="151" t="s">
        <v>10</v>
      </c>
      <c r="AT45" s="151" t="s">
        <v>11</v>
      </c>
      <c r="AU45" s="151" t="s">
        <v>12</v>
      </c>
      <c r="AV45" s="151" t="s">
        <v>13</v>
      </c>
      <c r="AW45" s="151" t="s">
        <v>14</v>
      </c>
      <c r="AX45" s="151" t="s">
        <v>15</v>
      </c>
      <c r="AY45" s="151" t="s">
        <v>16</v>
      </c>
      <c r="AZ45" s="151" t="s">
        <v>17</v>
      </c>
      <c r="BA45" s="151" t="s">
        <v>46</v>
      </c>
      <c r="BB45" s="151" t="s">
        <v>18</v>
      </c>
      <c r="BC45" s="151" t="s">
        <v>48</v>
      </c>
      <c r="BD45" s="151" t="s">
        <v>49</v>
      </c>
      <c r="BE45" s="151" t="s">
        <v>50</v>
      </c>
      <c r="BF45" s="151" t="s">
        <v>51</v>
      </c>
      <c r="BG45" s="151" t="s">
        <v>52</v>
      </c>
    </row>
    <row r="46" spans="1:83">
      <c r="A46" s="150" t="s">
        <v>124</v>
      </c>
      <c r="B46" s="152">
        <f>COUNTIF('Програма-кодове'!C2:C8,33)+COUNTIF('Програма-кодове'!C2:C8,34)+COUNTIF('Програма-кодове'!C2:C8,35)+COUNTIF('Програма-кодове'!C2:C8,36)+COUNTIF('Програма-кодове'!C2:C8,37)+COUNTIF('Програма-кодове'!C2:C8,38)+COUNTIF('Програма-кодове'!C2:C8,39)+COUNTIF('Програма-кодове'!C2:C8,40)+COUNTIF('Програма-кодове'!C2:C8,41)+COUNTIF('Програма-кодове'!C2:C8,42)+COUNTIF('Програма-кодове'!C2:C8,43)+COUNTIF('Програма-кодове'!C2:C8,44)+COUNTIF('Програма-кодове'!C2:C8,"34*")+COUNTIF('Програма-кодове'!C2:C8,"35*")+COUNTIF('Програма-кодове'!C2:C8,"41*")+COUNTIF('Програма-кодове'!C2:C8,"43*")</f>
        <v>1</v>
      </c>
      <c r="C46" s="152">
        <f>COUNTIF('Програма-кодове'!D2:D8,33)+COUNTIF('Програма-кодове'!D2:D8,34)+COUNTIF('Програма-кодове'!D2:D8,35)+COUNTIF('Програма-кодове'!D2:D8,36)+COUNTIF('Програма-кодове'!D2:D8,37)+COUNTIF('Програма-кодове'!D2:D8,38)+COUNTIF('Програма-кодове'!D2:D8,39)+COUNTIF('Програма-кодове'!D2:D8,40)+COUNTIF('Програма-кодове'!D2:D8,41)+COUNTIF('Програма-кодове'!D2:D8,42)+COUNTIF('Програма-кодове'!D2:D8,43)+COUNTIF('Програма-кодове'!D2:D8,44)+COUNTIF('Програма-кодове'!D2:D8,"34*")+COUNTIF('Програма-кодове'!D2:D8,"35*")+COUNTIF('Програма-кодове'!D2:D8,"41*")+COUNTIF('Програма-кодове'!D2:D8,"43*")</f>
        <v>2</v>
      </c>
      <c r="D46" s="152">
        <f>COUNTIF('Програма-кодове'!E2:E8,33)+COUNTIF('Програма-кодове'!E2:E8,34)+COUNTIF('Програма-кодове'!E2:E8,35)+COUNTIF('Програма-кодове'!E2:E8,36)+COUNTIF('Програма-кодове'!E2:E8,37)+COUNTIF('Програма-кодове'!E2:E8,38)+COUNTIF('Програма-кодове'!E2:E8,39)+COUNTIF('Програма-кодове'!E2:E8,40)+COUNTIF('Програма-кодове'!E2:E8,41)+COUNTIF('Програма-кодове'!E2:E8,42)+COUNTIF('Програма-кодове'!E2:E8,43)+COUNTIF('Програма-кодове'!E2:E8,44)+COUNTIF('Програма-кодове'!E2:E8,"34*")+COUNTIF('Програма-кодове'!E2:E8,"35*")+COUNTIF('Програма-кодове'!E2:E8,"41*")+COUNTIF('Програма-кодове'!E2:E8,"43*")</f>
        <v>2</v>
      </c>
      <c r="E46" s="152">
        <f>COUNTIF('Програма-кодове'!F2:F8,33)+COUNTIF('Програма-кодове'!F2:F8,34)+COUNTIF('Програма-кодове'!F2:F8,35)+COUNTIF('Програма-кодове'!F2:F8,36)+COUNTIF('Програма-кодове'!F2:F8,37)+COUNTIF('Програма-кодове'!F2:F8,38)+COUNTIF('Програма-кодове'!F2:F8,39)+COUNTIF('Програма-кодове'!F2:F8,40)+COUNTIF('Програма-кодове'!F2:F8,41)+COUNTIF('Програма-кодове'!F2:F8,42)+COUNTIF('Програма-кодове'!F2:F8,43)+COUNTIF('Програма-кодове'!F2:F8,44)+COUNTIF('Програма-кодове'!F2:F8,"34*")+COUNTIF('Програма-кодове'!F2:F8,"35*")+COUNTIF('Програма-кодове'!F2:F8,"41*")+COUNTIF('Програма-кодове'!F2:F8,"43*")</f>
        <v>0</v>
      </c>
      <c r="F46" s="152">
        <f>COUNTIF('Програма-кодове'!G2:G8,33)+COUNTIF('Програма-кодове'!G2:G8,34)+COUNTIF('Програма-кодове'!G2:G8,35)+COUNTIF('Програма-кодове'!G2:G8,36)+COUNTIF('Програма-кодове'!G2:G8,37)+COUNTIF('Програма-кодове'!G2:G8,38)+COUNTIF('Програма-кодове'!G2:G8,39)+COUNTIF('Програма-кодове'!G2:G8,40)+COUNTIF('Програма-кодове'!G2:G8,41)+COUNTIF('Програма-кодове'!G2:G8,42)+COUNTIF('Програма-кодове'!G2:G8,43)+COUNTIF('Програма-кодове'!G2:G8,44)+COUNTIF('Програма-кодове'!G2:G8,"34*")+COUNTIF('Програма-кодове'!G2:G8,"35*")+COUNTIF('Програма-кодове'!G2:G8,"41*")+COUNTIF('Програма-кодове'!G2:G8,"43*")</f>
        <v>0</v>
      </c>
      <c r="G46" s="152">
        <f>COUNTIF('Програма-кодове'!H2:H8,33)+COUNTIF('Програма-кодове'!H2:H8,34)+COUNTIF('Програма-кодове'!H2:H8,35)+COUNTIF('Програма-кодове'!H2:H8,36)+COUNTIF('Програма-кодове'!H2:H8,37)+COUNTIF('Програма-кодове'!H2:H8,38)+COUNTIF('Програма-кодове'!H2:H8,39)+COUNTIF('Програма-кодове'!H2:H8,40)+COUNTIF('Програма-кодове'!H2:H8,41)+COUNTIF('Програма-кодове'!H2:H8,42)+COUNTIF('Програма-кодове'!H2:H8,43)+COUNTIF('Програма-кодове'!H2:H8,44)+COUNTIF('Програма-кодове'!H2:H8,"34*")+COUNTIF('Програма-кодове'!H2:H8,"35*")+COUNTIF('Програма-кодове'!H2:H8,"41*")+COUNTIF('Програма-кодове'!H2:H8,"43*")</f>
        <v>1</v>
      </c>
      <c r="H46" s="152">
        <f>COUNTIF('Програма-кодове'!I2:I8,33)+COUNTIF('Програма-кодове'!I2:I8,34)+COUNTIF('Програма-кодове'!I2:I8,35)+COUNTIF('Програма-кодове'!I2:I8,36)+COUNTIF('Програма-кодове'!I2:I8,37)+COUNTIF('Програма-кодове'!I2:I8,38)+COUNTIF('Програма-кодове'!I2:I8,39)+COUNTIF('Програма-кодове'!I2:I8,40)+COUNTIF('Програма-кодове'!I2:I8,41)+COUNTIF('Програма-кодове'!I2:I8,42)+COUNTIF('Програма-кодове'!I2:I8,43)+COUNTIF('Програма-кодове'!I2:I8,44)+COUNTIF('Програма-кодове'!I2:I8,"34*")+COUNTIF('Програма-кодове'!I2:I8,"35*")+COUNTIF('Програма-кодове'!I2:I8,"41*")+COUNTIF('Програма-кодове'!I2:I8,"43*")</f>
        <v>1</v>
      </c>
      <c r="I46" s="152">
        <f>COUNTIF('Програма-кодове'!J2:J8,33)+COUNTIF('Програма-кодове'!J2:J8,34)+COUNTIF('Програма-кодове'!J2:J8,35)+COUNTIF('Програма-кодове'!J2:J8,36)+COUNTIF('Програма-кодове'!J2:J8,37)+COUNTIF('Програма-кодове'!J2:J8,38)+COUNTIF('Програма-кодове'!J2:J8,39)+COUNTIF('Програма-кодове'!J2:J8,40)+COUNTIF('Програма-кодове'!J2:J8,41)+COUNTIF('Програма-кодове'!J2:J8,42)+COUNTIF('Програма-кодове'!J2:J8,43)+COUNTIF('Програма-кодове'!J2:J8,44)+COUNTIF('Програма-кодове'!J2:J8,"34*")+COUNTIF('Програма-кодове'!J2:J8,"35*")+COUNTIF('Програма-кодове'!J2:J8,"41*")+COUNTIF('Програма-кодове'!J2:J8,"43*")</f>
        <v>1</v>
      </c>
      <c r="J46" s="152">
        <f>COUNTIF('Програма-кодове'!K2:K8,33)+COUNTIF('Програма-кодове'!K2:K8,34)+COUNTIF('Програма-кодове'!K2:K8,35)+COUNTIF('Програма-кодове'!K2:K8,36)+COUNTIF('Програма-кодове'!K2:K8,37)+COUNTIF('Програма-кодове'!K2:K8,38)+COUNTIF('Програма-кодове'!K2:K8,39)+COUNTIF('Програма-кодове'!K2:K8,40)+COUNTIF('Програма-кодове'!K2:K8,41)+COUNTIF('Програма-кодове'!K2:K8,42)+COUNTIF('Програма-кодове'!K2:K8,43)+COUNTIF('Програма-кодове'!K2:K8,44)+COUNTIF('Програма-кодове'!K2:K8,"34*")+COUNTIF('Програма-кодове'!K2:K8,"35*")+COUNTIF('Програма-кодове'!K2:K8,"41*")+COUNTIF('Програма-кодове'!K2:K8,"43*")+COUNTIF('Програма-кодове'!K2:K8,50)</f>
        <v>3</v>
      </c>
      <c r="K46" s="152">
        <f>COUNTIF('Програма-кодове'!L2:L8,33)+COUNTIF('Програма-кодове'!L2:L8,34)+COUNTIF('Програма-кодове'!L2:L8,35)+COUNTIF('Програма-кодове'!L2:L8,36)+COUNTIF('Програма-кодове'!L2:L8,37)+COUNTIF('Програма-кодове'!L2:L8,38)+COUNTIF('Програма-кодове'!L2:L8,39)+COUNTIF('Програма-кодове'!L2:L8,40)+COUNTIF('Програма-кодове'!L2:L8,41)+COUNTIF('Програма-кодове'!L2:L8,42)+COUNTIF('Програма-кодове'!L2:L8,43)+COUNTIF('Програма-кодове'!L2:L8,44)+COUNTIF('Програма-кодове'!L2:L8,"34*")+COUNTIF('Програма-кодове'!L2:L8,"35*")+COUNTIF('Програма-кодове'!L2:L8,"41*")+COUNTIF('Програма-кодове'!L2:L8,"43*")+COUNTIF('Програма-кодове'!L2:L8,50)</f>
        <v>3</v>
      </c>
      <c r="L46" s="152">
        <f>COUNTIF('Програма-кодове'!M2:M8,33)+COUNTIF('Програма-кодове'!M2:M8,34)+COUNTIF('Програма-кодове'!M2:M8,35)+COUNTIF('Програма-кодове'!M2:M8,36)+COUNTIF('Програма-кодове'!M2:M8,37)+COUNTIF('Програма-кодове'!M2:M8,38)+COUNTIF('Програма-кодове'!M2:M8,39)+COUNTIF('Програма-кодове'!M2:M8,40)+COUNTIF('Програма-кодове'!M2:M8,41)+COUNTIF('Програма-кодове'!M2:M8,42)+COUNTIF('Програма-кодове'!M2:M8,43)+COUNTIF('Програма-кодове'!M2:M8,44)+COUNTIF('Програма-кодове'!M2:M8,"34*")+COUNTIF('Програма-кодове'!M2:M8,"35*")+COUNTIF('Програма-кодове'!M2:M8,"41*")+COUNTIF('Програма-кодове'!M2:M8,"43*")+COUNTIF('Програма-кодове'!M2:M8,50)</f>
        <v>3</v>
      </c>
      <c r="M46" s="152">
        <f>COUNTIF('Програма-кодове'!N2:N8,33)+COUNTIF('Програма-кодове'!N2:N8,34)+COUNTIF('Програма-кодове'!N2:N8,35)+COUNTIF('Програма-кодове'!N2:N8,36)+COUNTIF('Програма-кодове'!N2:N8,37)+COUNTIF('Програма-кодове'!N2:N8,38)+COUNTIF('Програма-кодове'!N2:N8,39)+COUNTIF('Програма-кодове'!N2:N8,40)+COUNTIF('Програма-кодове'!N2:N8,41)+COUNTIF('Програма-кодове'!N2:N8,42)+COUNTIF('Програма-кодове'!N2:N8,43)+COUNTIF('Програма-кодове'!N2:N8,44)+COUNTIF('Програма-кодове'!N2:N8,"34*")+COUNTIF('Програма-кодове'!N2:N8,"35*")+COUNTIF('Програма-кодове'!N2:N8,"41*")+COUNTIF('Програма-кодове'!N2:N8,"43*")+COUNTIF('Програма-кодове'!N2:N8,50)</f>
        <v>3</v>
      </c>
      <c r="N46" s="152">
        <f>COUNTIF('Програма-кодове'!O2:O8,33)+COUNTIF('Програма-кодове'!O2:O8,34)+COUNTIF('Програма-кодове'!O2:O8,35)+COUNTIF('Програма-кодове'!O2:O8,36)+COUNTIF('Програма-кодове'!O2:O8,37)+COUNTIF('Програма-кодове'!O2:O8,38)+COUNTIF('Програма-кодове'!O2:O8,39)+COUNTIF('Програма-кодове'!O2:O8,40)+COUNTIF('Програма-кодове'!O2:O8,41)+COUNTIF('Програма-кодове'!O2:O8,42)+COUNTIF('Програма-кодове'!O2:O8,43)+COUNTIF('Програма-кодове'!O2:O8,44)+COUNTIF('Програма-кодове'!O2:O8,"34*")+COUNTIF('Програма-кодове'!O2:O8,"35*")+COUNTIF('Програма-кодове'!O2:O8,"41*")+COUNTIF('Програма-кодове'!O2:O8,"43*")+COUNTIF('Програма-кодове'!O2:O8,50)</f>
        <v>3</v>
      </c>
      <c r="O46" s="152">
        <f>COUNTIF('Програма-кодове'!P2:P8,33)+COUNTIF('Програма-кодове'!P2:P8,34)+COUNTIF('Програма-кодове'!P2:P8,35)+COUNTIF('Програма-кодове'!P2:P8,36)+COUNTIF('Програма-кодове'!P2:P8,37)+COUNTIF('Програма-кодове'!P2:P8,38)+COUNTIF('Програма-кодове'!P2:P8,39)+COUNTIF('Програма-кодове'!P2:P8,40)+COUNTIF('Програма-кодове'!P2:P8,41)+COUNTIF('Програма-кодове'!P2:P8,42)+COUNTIF('Програма-кодове'!P2:P8,43)+COUNTIF('Програма-кодове'!P2:P8,44)+COUNTIF('Програма-кодове'!P2:P8,"33*")+COUNTIF('Програма-кодове'!P2:P8,"34*")+COUNTIF('Програма-кодове'!P2:P8,"35*")+COUNTIF('Програма-кодове'!P2:P8,"41*")+COUNTIF('Програма-кодове'!P2:P8,"43*")</f>
        <v>2</v>
      </c>
      <c r="P46" s="152">
        <f>COUNTIF('Програма-кодове'!Q2:Q8,33)+COUNTIF('Програма-кодове'!Q2:Q8,34)+COUNTIF('Програма-кодове'!Q2:Q8,35)+COUNTIF('Програма-кодове'!Q2:Q8,36)+COUNTIF('Програма-кодове'!Q2:Q8,37)+COUNTIF('Програма-кодове'!Q2:Q8,38)+COUNTIF('Програма-кодове'!Q2:Q8,39)+COUNTIF('Програма-кодове'!Q2:Q8,40)+COUNTIF('Програма-кодове'!Q2:Q8,41)+COUNTIF('Програма-кодове'!Q2:Q8,42)+COUNTIF('Програма-кодове'!Q2:Q8,43)+COUNTIF('Програма-кодове'!Q2:Q8,44)+COUNTIF('Програма-кодове'!Q2:Q8,"34*")+COUNTIF('Програма-кодове'!Q2:Q8,"35*")+COUNTIF('Програма-кодове'!Q2:Q8,"41*")+COUNTIF('Програма-кодове'!Q2:Q8,"43*")</f>
        <v>2</v>
      </c>
      <c r="Q46" s="152">
        <f>COUNTIF('Програма-кодове'!R2:R8,33)+COUNTIF('Програма-кодове'!R2:R8,34)+COUNTIF('Програма-кодове'!R2:R8,35)+COUNTIF('Програма-кодове'!R2:R8,36)+COUNTIF('Програма-кодове'!R2:R8,37)+COUNTIF('Програма-кодове'!R2:R8,38)+COUNTIF('Програма-кодове'!R2:R8,39)+COUNTIF('Програма-кодове'!R2:R8,40)+COUNTIF('Програма-кодове'!R2:R8,41)+COUNTIF('Програма-кодове'!R2:R8,42)+COUNTIF('Програма-кодове'!R2:R8,43)+COUNTIF('Програма-кодове'!R2:R8,44)+COUNTIF('Програма-кодове'!R2:R8,"34*")+COUNTIF('Програма-кодове'!R2:R8,"35*")+COUNTIF('Програма-кодове'!R2:R8,"41*")+COUNTIF('Програма-кодове'!R2:R8,"43*")</f>
        <v>3</v>
      </c>
      <c r="R46" s="152">
        <f>COUNTIF('Програма-кодове'!S2:S8,33)+COUNTIF('Програма-кодове'!S2:S8,34)+COUNTIF('Програма-кодове'!S2:S8,35)+COUNTIF('Програма-кодове'!S2:S8,36)+COUNTIF('Програма-кодове'!S2:S8,37)+COUNTIF('Програма-кодове'!S2:S8,38)+COUNTIF('Програма-кодове'!S2:S8,39)+COUNTIF('Програма-кодове'!S2:S8,40)+COUNTIF('Програма-кодове'!S2:S8,41)+COUNTIF('Програма-кодове'!S2:S8,42)+COUNTIF('Програма-кодове'!S2:S8,43)+COUNTIF('Програма-кодове'!S2:S8,44)+COUNTIF('Програма-кодове'!S2:S8,"34*")+COUNTIF('Програма-кодове'!S2:S8,"35*")+COUNTIF('Програма-кодове'!S2:S8,"41*")+COUNTIF('Програма-кодове'!S2:S8,"43*")</f>
        <v>2</v>
      </c>
      <c r="S46" s="152">
        <f>COUNTIF('Програма-кодове'!T2:T8,33)+COUNTIF('Програма-кодове'!T2:T8,34)+COUNTIF('Програма-кодове'!T2:T8,35)+COUNTIF('Програма-кодове'!T2:T8,36)+COUNTIF('Програма-кодове'!T2:T8,37)+COUNTIF('Програма-кодове'!T2:T8,38)+COUNTIF('Програма-кодове'!T2:T8,39)+COUNTIF('Програма-кодове'!T2:T8,40)+COUNTIF('Програма-кодове'!T2:T8,41)+COUNTIF('Програма-кодове'!T2:T8,42)+COUNTIF('Програма-кодове'!T2:T8,43)+COUNTIF('Програма-кодове'!T2:T8,44)+COUNTIF('Програма-кодове'!T2:T8,"34*")+COUNTIF('Програма-кодове'!T2:T8,"35*")+COUNTIF('Програма-кодове'!T2:T8,"41*")+COUNTIF('Програма-кодове'!T2:T8,"43*")</f>
        <v>3</v>
      </c>
      <c r="T46" s="152">
        <f>COUNTIF('Програма-кодове'!U2:U8,33)+COUNTIF('Програма-кодове'!U2:U8,34)+COUNTIF('Програма-кодове'!U2:U8,35)+COUNTIF('Програма-кодове'!U2:U8,36)+COUNTIF('Програма-кодове'!U2:U8,37)+COUNTIF('Програма-кодове'!U2:U8,38)+COUNTIF('Програма-кодове'!U2:U8,39)+COUNTIF('Програма-кодове'!U2:U8,40)+COUNTIF('Програма-кодове'!U2:U8,41)+COUNTIF('Програма-кодове'!U2:U8,42)+COUNTIF('Програма-кодове'!U2:U8,43)+COUNTIF('Програма-кодове'!U2:U8,44)+COUNTIF('Програма-кодове'!U2:U8,"34*")+COUNTIF('Програма-кодове'!U2:U8,"35*")+COUNTIF('Програма-кодове'!U2:U8,"41*")+COUNTIF('Програма-кодове'!U2:U8,"43*")</f>
        <v>2</v>
      </c>
      <c r="U46" s="152">
        <f>COUNTIF('Програма-кодове'!V2:V8,33)+COUNTIF('Програма-кодове'!V2:V8,34)+COUNTIF('Програма-кодове'!V2:V8,35)+COUNTIF('Програма-кодове'!V2:V8,36)+COUNTIF('Програма-кодове'!V2:V8,37)+COUNTIF('Програма-кодове'!V2:V8,38)+COUNTIF('Програма-кодове'!V2:V8,39)+COUNTIF('Програма-кодове'!V2:V8,40)+COUNTIF('Програма-кодове'!V2:V8,41)+COUNTIF('Програма-кодове'!V2:V8,42)+COUNTIF('Програма-кодове'!V2:V8,43)+COUNTIF('Програма-кодове'!V2:V8,44)+COUNTIF('Програма-кодове'!V2:V8,"34*")+COUNTIF('Програма-кодове'!V2:V8,"35*")+COUNTIF('Програма-кодове'!V2:V8,"41*")+COUNTIF('Програма-кодове'!V2:V8,"43*")</f>
        <v>2</v>
      </c>
      <c r="V46" s="152">
        <f>COUNTIF('Програма-кодове'!W2:W8,33)+COUNTIF('Програма-кодове'!W2:W8,34)+COUNTIF('Програма-кодове'!W2:W8,35)+COUNTIF('Програма-кодове'!W2:W8,36)+COUNTIF('Програма-кодове'!W2:W8,37)+COUNTIF('Програма-кодове'!W2:W8,38)+COUNTIF('Програма-кодове'!W2:W8,39)+COUNTIF('Програма-кодове'!W2:W8,40)+COUNTIF('Програма-кодове'!W2:W8,41)+COUNTIF('Програма-кодове'!W2:W8,42)+COUNTIF('Програма-кодове'!W2:W8,43)+COUNTIF('Програма-кодове'!W2:W8,44)+COUNTIF('Програма-кодове'!W2:W8,"34*")+COUNTIF('Програма-кодове'!W2:W8,"35*")+COUNTIF('Програма-кодове'!W2:W8,"41*")+COUNTIF('Програма-кодове'!W2:W8,"43*")</f>
        <v>1</v>
      </c>
      <c r="W46" s="152">
        <f>COUNTIF('Програма-кодове'!X2:X8,33)+COUNTIF('Програма-кодове'!X2:X8,34)+COUNTIF('Програма-кодове'!X2:X8,35)+COUNTIF('Програма-кодове'!X2:X8,36)+COUNTIF('Програма-кодове'!X2:X8,37)+COUNTIF('Програма-кодове'!X2:X8,38)+COUNTIF('Програма-кодове'!X2:X8,39)+COUNTIF('Програма-кодове'!X2:X8,40)+COUNTIF('Програма-кодове'!X2:X8,41)+COUNTIF('Програма-кодове'!X2:X8,42)+COUNTIF('Програма-кодове'!X2:X8,43)+COUNTIF('Програма-кодове'!X2:X8,44)+COUNTIF('Програма-кодове'!X2:X8,"34*")+COUNTIF('Програма-кодове'!X2:X8,"35*")+COUNTIF('Програма-кодове'!X2:X8,"41*")+COUNTIF('Програма-кодове'!X2:X8,"43*")</f>
        <v>3</v>
      </c>
      <c r="X46" s="152">
        <f>COUNTIF('Програма-кодове'!Y2:Y8,33)+COUNTIF('Програма-кодове'!Y2:Y8,34)+COUNTIF('Програма-кодове'!Y2:Y8,35)+COUNTIF('Програма-кодове'!Y2:Y8,36)+COUNTIF('Програма-кодове'!Y2:Y8,37)+COUNTIF('Програма-кодове'!Y2:Y8,38)+COUNTIF('Програма-кодове'!Y2:Y8,39)+COUNTIF('Програма-кодове'!Y2:Y8,40)+COUNTIF('Програма-кодове'!Y2:Y8,41)+COUNTIF('Програма-кодове'!Y2:Y8,42)+COUNTIF('Програма-кодове'!Y2:Y8,43)+COUNTIF('Програма-кодове'!Y2:Y8,44)+COUNTIF('Програма-кодове'!Y2:Y8,"34*")+COUNTIF('Програма-кодове'!Y2:Y8,"35*")+COUNTIF('Програма-кодове'!Y2:Y8,"41*")+COUNTIF('Програма-кодове'!Y2:Y8,"43*")</f>
        <v>4</v>
      </c>
      <c r="Y46" s="152">
        <f>COUNTIF('Програма-кодове'!Z2:Z8,33)+COUNTIF('Програма-кодове'!Z2:Z8,34)+COUNTIF('Програма-кодове'!Z2:Z8,35)+COUNTIF('Програма-кодове'!Z2:Z8,36)+COUNTIF('Програма-кодове'!Z2:Z8,37)+COUNTIF('Програма-кодове'!Z2:Z8,38)+COUNTIF('Програма-кодове'!Z2:Z8,39)+COUNTIF('Програма-кодове'!Z2:Z8,40)+COUNTIF('Програма-кодове'!Z2:Z8,41)+COUNTIF('Програма-кодове'!Z2:Z8,42)+COUNTIF('Програма-кодове'!Z2:Z8,43)+COUNTIF('Програма-кодове'!Z2:Z8,44)+COUNTIF('Програма-кодове'!Z2:Z8,"34*")+COUNTIF('Програма-кодове'!Z2:Z8,"35*")+COUNTIF('Програма-кодове'!Z2:Z8,"41*")+COUNTIF('Програма-кодове'!Z2:Z8,"33*")+COUNTIF('Програма-кодове'!Z2:Z8,50)</f>
        <v>1</v>
      </c>
      <c r="Z46" s="152">
        <f>COUNTIF('Програма-кодове'!AA2:AA8,33)+COUNTIF('Програма-кодове'!AA2:AA8,34)+COUNTIF('Програма-кодове'!AA2:AA8,35)+COUNTIF('Програма-кодове'!AA2:AA8,36)+COUNTIF('Програма-кодове'!AA2:AA8,37)+COUNTIF('Програма-кодове'!AA2:AA8,38)+COUNTIF('Програма-кодове'!AA2:AA8,39)+COUNTIF('Програма-кодове'!AA2:AA8,40)+COUNTIF('Програма-кодове'!AA2:AA8,41)+COUNTIF('Програма-кодове'!AA2:AA8,42)+COUNTIF('Програма-кодове'!AA2:AA8,43)+COUNTIF('Програма-кодове'!AA2:AA8,44)+COUNTIF('Програма-кодове'!AA2:AA8,"34*")+COUNTIF('Програма-кодове'!AA2:AA8,"35*")+COUNTIF('Програма-кодове'!AA2:AA8,"41*")+COUNTIF('Програма-кодове'!AA2:AA8,"33*")+COUNTIF('Програма-кодове'!AA2:AA8,50)</f>
        <v>1</v>
      </c>
      <c r="AA46" s="152">
        <f>COUNTIF('Програма-кодове'!AB2:AB8,33)+COUNTIF('Програма-кодове'!AB2:AB8,34)+COUNTIF('Програма-кодове'!AB2:AB8,35)+COUNTIF('Програма-кодове'!AB2:AB8,36)+COUNTIF('Програма-кодове'!AB2:AB8,37)+COUNTIF('Програма-кодове'!AB2:AB8,38)+COUNTIF('Програма-кодове'!AB2:AB8,39)+COUNTIF('Програма-кодове'!AB2:AB8,40)+COUNTIF('Програма-кодове'!AB2:AB8,41)+COUNTIF('Програма-кодове'!AB2:AB8,42)+COUNTIF('Програма-кодове'!AB2:AB8,43)+COUNTIF('Програма-кодове'!AB2:AB8,44)+COUNTIF('Програма-кодове'!AB2:AB8,"34*")+COUNTIF('Програма-кодове'!AB2:AB8,"35*")+COUNTIF('Програма-кодове'!AB2:AB8,"41*")+COUNTIF('Програма-кодове'!AB2:AB8,"33*")+COUNTIF('Програма-кодове'!AB2:AB8,50)+COUNTIF('Програма-кодове'!AB2:AB8,341)</f>
        <v>2</v>
      </c>
      <c r="AB46" s="152">
        <f>COUNTIF('Програма-кодове'!AC2:AC8,33)+COUNTIF('Програма-кодове'!AC2:AC8,34)+COUNTIF('Програма-кодове'!AC2:AC8,35)+COUNTIF('Програма-кодове'!AC2:AC8,36)+COUNTIF('Програма-кодове'!AC2:AC8,37)+COUNTIF('Програма-кодове'!AC2:AC8,38)+COUNTIF('Програма-кодове'!AC2:AC8,39)+COUNTIF('Програма-кодове'!AC2:AC8,40)+COUNTIF('Програма-кодове'!AC2:AC8,41)+COUNTIF('Програма-кодове'!AC2:AC8,42)+COUNTIF('Програма-кодове'!AC2:AC8,43)+COUNTIF('Програма-кодове'!AC2:AC8,44)+COUNTIF('Програма-кодове'!AC2:AC8,"34*")+COUNTIF('Програма-кодове'!AC2:AC8,"35*#")+COUNTIF('Програма-кодове'!AC2:AC8,"41*")+COUNTIF('Програма-кодове'!AC2:AC8,"33*")+COUNTIF('Програма-кодове'!AC2:AC8,50)</f>
        <v>3</v>
      </c>
      <c r="AC46" s="152">
        <f>COUNTIF('Програма-кодове'!AD2:AD8,33)+COUNTIF('Програма-кодове'!AD2:AD8,34)+COUNTIF('Програма-кодове'!AD2:AD8,35)+COUNTIF('Програма-кодове'!AD2:AD8,36)+COUNTIF('Програма-кодове'!AD2:AD8,37)+COUNTIF('Програма-кодове'!AD2:AD8,38)+COUNTIF('Програма-кодове'!AD2:AD8,39)+COUNTIF('Програма-кодове'!AD2:AD8,40)+COUNTIF('Програма-кодове'!AD2:AD8,41)+COUNTIF('Програма-кодове'!AD2:AD8,42)+COUNTIF('Програма-кодове'!AD2:AD8,43)+COUNTIF('Програма-кодове'!AD2:AD8,44)+COUNTIF('Програма-кодове'!AD2:AD8,"34*")+COUNTIF('Програма-кодове'!AD2:AD8,"35*")+COUNTIF('Програма-кодове'!AD2:AD8,"41*")+COUNTIF('Програма-кодове'!AD2:AD8,"33*")+COUNTIF('Програма-кодове'!AD2:AD8,50)</f>
        <v>5</v>
      </c>
      <c r="AD46" s="58"/>
      <c r="AE46" s="58"/>
      <c r="AF46" s="153">
        <f>COUNTIF('Програма-кодове'!C2:C8,45)+COUNTIF('Програма-кодове'!C2:C8,"45*")+COUNTIF('Програма-кодове'!C2:C8,46)+COUNTIF('Програма-кодове'!C2:C8,48)+COUNTIF('Програма-кодове'!C2:C8,49)+(COUNTIF('Програма-кодове'!C2:C8,"29/46")+COUNTIF('Програма-кодове'!C2:C8,"28/46"))/2</f>
        <v>2</v>
      </c>
      <c r="AG46" s="153">
        <f>COUNTIF('Програма-кодове'!D2:D8,45)+COUNTIF('Програма-кодове'!D2:D8,"45*")+COUNTIF('Програма-кодове'!D2:D8,46)+COUNTIF('Програма-кодове'!D2:D8,47)+COUNTIF('Програма-кодове'!D2:D8,48)+COUNTIF('Програма-кодове'!D2:D8,49)+(COUNTIF('Програма-кодове'!D2:D8,"25/46")+COUNTIF('Програма-кодове'!D2:D8,"31/46"))/2</f>
        <v>1</v>
      </c>
      <c r="AH46" s="153">
        <f>COUNTIF('Програма-кодове'!E2:E8,45)+COUNTIF('Програма-кодове'!E2:E8,"45*")+COUNTIF('Програма-кодове'!E2:E8,46)+COUNTIF('Програма-кодове'!E2:E8,47)+COUNTIF('Програма-кодове'!E2:E8,48)+COUNTIF('Програма-кодове'!E2:E8,49)+(COUNTIF('Програма-кодове'!E2:E8,"31/46")+COUNTIF('Програма-кодове'!E2:E8,"25/46"))/2</f>
        <v>1</v>
      </c>
      <c r="AI46" s="152">
        <f>COUNTIF('Програма-кодове'!F2:F8,45)+COUNTIF('Програма-кодове'!F2:F8,46)+COUNTIF('Програма-кодове'!F2:F8,47)+COUNTIF('Програма-кодове'!F2:F8,48)+COUNTIF('Програма-кодове'!F2:F8,49)+COUNTIF('Програма-кодове'!F2:F8,"45*")</f>
        <v>0</v>
      </c>
      <c r="AJ46" s="152">
        <f>COUNTIF('Програма-кодове'!G2:G8,45)+COUNTIF('Програма-кодове'!G2:G8,46)+COUNTIF('Програма-кодове'!G2:G8,47)+COUNTIF('Програма-кодове'!G2:G8,48)+COUNTIF('Програма-кодове'!G2:G8,49)+COUNTIF('Програма-кодове'!G2:G8,"45*")</f>
        <v>1</v>
      </c>
      <c r="AK46" s="152">
        <f>COUNTIF('Програма-кодове'!H2:H8,45)+COUNTIF('Програма-кодове'!H2:H8,46)+COUNTIF('Програма-кодове'!H2:H8,47)+COUNTIF('Програма-кодове'!H2:H8,48)+COUNTIF('Програма-кодове'!H2:H8,49)+COUNTIF('Програма-кодове'!H2:H8,"45*")</f>
        <v>0</v>
      </c>
      <c r="AL46" s="152">
        <f>COUNTIF('Програма-кодове'!I2:I8,45)+COUNTIF('Програма-кодове'!I2:I8,46)+COUNTIF('Програма-кодове'!I2:I8,47)+COUNTIF('Програма-кодове'!I2:I8,48)+COUNTIF('Програма-кодове'!I2:I8,49)</f>
        <v>0</v>
      </c>
      <c r="AM46" s="152">
        <f>COUNTIF('Програма-кодове'!J2:J8,45)+COUNTIF('Програма-кодове'!J2:J8,46)+COUNTIF('Програма-кодове'!J2:J8,47)+COUNTIF('Програма-кодове'!J2:J8,48)+COUNTIF('Програма-кодове'!J2:J8,49)</f>
        <v>0</v>
      </c>
      <c r="AN46" s="152">
        <f>COUNTIF('Програма-кодове'!K2:K8,45)+COUNTIF('Програма-кодове'!K2:K8,46)+COUNTIF('Програма-кодове'!K2:K8,47)+COUNTIF('Програма-кодове'!K2:K8,48)+COUNTIF('Програма-кодове'!K2:K8,49)</f>
        <v>1</v>
      </c>
      <c r="AO46" s="152">
        <f>COUNTIF('Програма-кодове'!L2:L8,45)+COUNTIF('Програма-кодове'!L2:L8,46)+COUNTIF('Програма-кодове'!L2:L8,47)+COUNTIF('Програма-кодове'!L2:L8,48)+COUNTIF('Програма-кодове'!L2:L8,49)</f>
        <v>0</v>
      </c>
      <c r="AP46" s="152">
        <f>COUNTIF('Програма-кодове'!M2:M8,45)+COUNTIF('Програма-кодове'!M2:M8,"45*")+COUNTIF('Програма-кодове'!M2:M8,46)+COUNTIF('Програма-кодове'!M2:M8,47)+COUNTIF('Програма-кодове'!M2:M8,48)+COUNTIF('Програма-кодове'!M2:M8,49)</f>
        <v>0</v>
      </c>
      <c r="AQ46" s="152">
        <f>COUNTIF('Програма-кодове'!N2:N8,45)+COUNTIF('Програма-кодове'!N2:N8,"45*")+COUNTIF('Програма-кодове'!N2:N8,46)+COUNTIF('Програма-кодове'!N2:N8,47)+COUNTIF('Програма-кодове'!N2:N8,48)+COUNTIF('Програма-кодове'!N2:N8,49)</f>
        <v>0</v>
      </c>
      <c r="AR46" s="152">
        <f>COUNTIF('Програма-кодове'!O2:O8,45)+COUNTIF('Програма-кодове'!O2:O8,"45*")+COUNTIF('Програма-кодове'!O2:O8,46)+COUNTIF('Програма-кодове'!O2:O8,47)+COUNTIF('Програма-кодове'!O2:O8,48)+COUNTIF('Програма-кодове'!O2:O8,49)</f>
        <v>1</v>
      </c>
      <c r="AS46" s="152">
        <f>COUNTIF('Програма-кодове'!P2:P8,45)+COUNTIF('Програма-кодове'!P2:P8,46)+COUNTIF('Програма-кодове'!P2:P8,47)+COUNTIF('Програма-кодове'!P2:P8,48)+COUNTIF('Програма-кодове'!P2:P8,49)</f>
        <v>0</v>
      </c>
      <c r="AT46" s="152">
        <f>COUNTIF('Програма-кодове'!Q2:Q8,45)+COUNTIF('Програма-кодове'!Q2:Q8,46)+COUNTIF('Програма-кодове'!Q2:Q8,47)+COUNTIF('Програма-кодове'!Q2:Q8,48)+COUNTIF('Програма-кодове'!Q2:Q8,49)</f>
        <v>1</v>
      </c>
      <c r="AU46" s="152">
        <f>COUNTIF('Програма-кодове'!R2:R8,45)+COUNTIF('Програма-кодове'!R2:R8,"45*")+COUNTIF('Програма-кодове'!R2:R8,46)+COUNTIF('Програма-кодове'!R2:R8,47)+COUNTIF('Програма-кодове'!R2:R8,48)+COUNTIF('Програма-кодове'!R2:R8,49)</f>
        <v>1</v>
      </c>
      <c r="AV46" s="152">
        <f>COUNTIF('Програма-кодове'!S2:S8,45)+COUNTIF('Програма-кодове'!S2:S8,"45*")+COUNTIF('Програма-кодове'!S2:S8,46)+COUNTIF('Програма-кодове'!S2:S8,47)+COUNTIF('Програма-кодове'!S2:S8,48)+COUNTIF('Програма-кодове'!S2:S8,49)</f>
        <v>0</v>
      </c>
      <c r="AW46" s="152">
        <f>COUNTIF('Програма-кодове'!T2:T8,45)+COUNTIF('Програма-кодове'!T2:T8,"45*")+COUNTIF('Програма-кодове'!T2:T8,46)+COUNTIF('Програма-кодове'!T2:T8,47)+COUNTIF('Програма-кодове'!T2:T8,48)+COUNTIF('Програма-кодове'!T2:T8,49)</f>
        <v>1</v>
      </c>
      <c r="AX46" s="152">
        <f>COUNTIF('Програма-кодове'!U2:U8,"45*")+COUNTIF('Програма-кодове'!U2:U8,46)+COUNTIF('Програма-кодове'!U2:U8,47)+COUNTIF('Програма-кодове'!U2:U8,48)+COUNTIF('Програма-кодове'!U2:U8,49)</f>
        <v>0</v>
      </c>
      <c r="AY46" s="152">
        <f>COUNTIF('Програма-кодове'!V2:V8,"45*")+COUNTIF('Програма-кодове'!V2:V8,46)+COUNTIF('Програма-кодове'!V2:V8,47)+COUNTIF('Програма-кодове'!V2:V8,48)+COUNTIF('Програма-кодове'!V2:V8,49)</f>
        <v>0</v>
      </c>
      <c r="AZ46" s="152">
        <f>COUNTIF('Програма-кодове'!W2:W8,"45*")+COUNTIF('Програма-кодове'!W2:W8,46)+COUNTIF('Програма-кодове'!W2:W8,47)+COUNTIF('Програма-кодове'!W2:W8,48)+COUNTIF('Програма-кодове'!W2:W8,49)</f>
        <v>0</v>
      </c>
      <c r="BA46" s="152">
        <f>COUNTIF('Програма-кодове'!X2:X8,45)+COUNTIF('Програма-кодове'!X2:X8,46)+COUNTIF('Програма-кодове'!X2:X8,47)+COUNTIF('Програма-кодове'!X2:X8,48)+COUNTIF('Програма-кодове'!X2:X8,49)</f>
        <v>1</v>
      </c>
      <c r="BB46" s="152">
        <f>COUNTIF('Програма-кодове'!Y2:Y8,45)+COUNTIF('Програма-кодове'!Y2:Y8,46)+COUNTIF('Програма-кодове'!Y2:Y8,47)+COUNTIF('Програма-кодове'!Y2:Y8,48)+COUNTIF('Програма-кодове'!Y2:Y8,49)</f>
        <v>0</v>
      </c>
      <c r="BC46" s="152">
        <f>COUNTIF('Програма-кодове'!Z2:Z8,"45*")+COUNTIF('Програма-кодове'!Z2:Z8,46)+COUNTIF('Програма-кодове'!Z2:Z8,47)+COUNTIF('Програма-кодове'!Z2:Z8,48)+COUNTIF('Програма-кодове'!Z2:Z8,49)</f>
        <v>0</v>
      </c>
      <c r="BD46" s="152">
        <f>COUNTIF('Програма-кодове'!AA2:AA8,"45*")+COUNTIF('Програма-кодове'!AA2:AA8,46)+COUNTIF('Програма-кодове'!AA2:AA8,47)+COUNTIF('Програма-кодове'!AA2:AA8,48)+COUNTIF('Програма-кодове'!AA2:AA8,49)</f>
        <v>1</v>
      </c>
      <c r="BE46" s="152">
        <f>COUNTIF('Програма-кодове'!AB2:AB8,45)+COUNTIF('Програма-кодове'!AB2:AB8,46)+COUNTIF('Програма-кодове'!AB2:AB8,47)+COUNTIF('Програма-кодове'!AB2:AB8,48)+COUNTIF('Програма-кодове'!AB2:AB8,49)</f>
        <v>1</v>
      </c>
      <c r="BF46" s="152">
        <f>COUNTIF('Програма-кодове'!AC2:AC8,45)+COUNTIF('Програма-кодове'!AC2:AC8,46)+COUNTIF('Програма-кодове'!AC2:AC8,47)+COUNTIF('Програма-кодове'!AC2:AC8,48)+COUNTIF('Програма-кодове'!AC2:AC8,49)</f>
        <v>1</v>
      </c>
      <c r="BG46" s="152">
        <f>COUNTIF('Програма-кодове'!AD2:AD8,45)+COUNTIF('Програма-кодове'!AD2:AD8,46)+COUNTIF('Програма-кодове'!AD2:AD8,47)+COUNTIF('Програма-кодове'!AD2:AD8,48)+COUNTIF('Програма-кодове'!AD2:AD8,49)</f>
        <v>0</v>
      </c>
    </row>
    <row r="47" spans="1:83">
      <c r="A47" s="150" t="s">
        <v>125</v>
      </c>
      <c r="B47" s="152">
        <f>COUNTIF('Програма-кодове'!C9:C15,33)+COUNTIF('Програма-кодове'!C9:C15,34)+COUNTIF('Програма-кодове'!C9:C15,35)+COUNTIF('Програма-кодове'!C9:C15,36)+COUNTIF('Програма-кодове'!C9:C15,37)+COUNTIF('Програма-кодове'!C9:C15,38)+COUNTIF('Програма-кодове'!C9:C15,39)+COUNTIF('Програма-кодове'!C9:C15,40)+COUNTIF('Програма-кодове'!C9:C15,41)+COUNTIF('Програма-кодове'!C9:C15,42)+COUNTIF('Програма-кодове'!C9:C15,43)+COUNTIF('Програма-кодове'!C9:C15,44)+COUNTIF('Програма-кодове'!C9:C15,"34*")+COUNTIF('Програма-кодове'!C9:C15,"35*")+COUNTIF('Програма-кодове'!C9:C15,"41*")+COUNTIF('Програма-кодове'!C9:C15,"43*")</f>
        <v>1</v>
      </c>
      <c r="C47" s="152">
        <f>COUNTIF('Програма-кодове'!D9:D15,33)+COUNTIF('Програма-кодове'!D9:D15,34)+COUNTIF('Програма-кодове'!D9:D15,35)+COUNTIF('Програма-кодове'!D9:D15,36)+COUNTIF('Програма-кодове'!D9:D15,37)+COUNTIF('Програма-кодове'!D9:D15,38)+COUNTIF('Програма-кодове'!D9:D15,39)+COUNTIF('Програма-кодове'!D9:D15,40)+COUNTIF('Програма-кодове'!D9:D15,41)+COUNTIF('Програма-кодове'!D9:D15,42)+COUNTIF('Програма-кодове'!D9:D15,43)+COUNTIF('Програма-кодове'!D9:D15,44)+COUNTIF('Програма-кодове'!D9:D15,"34*")+COUNTIF('Програма-кодове'!D9:D15,"35*")+COUNTIF('Програма-кодове'!D9:D15,"41*")+COUNTIF('Програма-кодове'!D9:D15,"43*")</f>
        <v>1</v>
      </c>
      <c r="D47" s="152">
        <f>COUNTIF('Програма-кодове'!E9:E15,33)+COUNTIF('Програма-кодове'!E9:E15,34)+COUNTIF('Програма-кодове'!E9:E15,35)+COUNTIF('Програма-кодове'!E9:E15,36)+COUNTIF('Програма-кодове'!E9:E15,37)+COUNTIF('Програма-кодове'!E9:E15,38)+COUNTIF('Програма-кодове'!E9:E15,39)+COUNTIF('Програма-кодове'!E9:E15,40)+COUNTIF('Програма-кодове'!E9:E15,41)+COUNTIF('Програма-кодове'!E9:E15,42)+COUNTIF('Програма-кодове'!E9:E15,43)+COUNTIF('Програма-кодове'!E9:E15,44)+COUNTIF('Програма-кодове'!E9:E15,"34*")+COUNTIF('Програма-кодове'!E9:E15,"35*")+COUNTIF('Програма-кодове'!E9:E15,"41*")+COUNTIF('Програма-кодове'!E9:E15,"43*")</f>
        <v>2</v>
      </c>
      <c r="E47" s="152">
        <f>COUNTIF('Програма-кодове'!F9:F15,33)+COUNTIF('Програма-кодове'!F9:F15,34)+COUNTIF('Програма-кодове'!F9:F15,35)+COUNTIF('Програма-кодове'!F9:F15,36)+COUNTIF('Програма-кодове'!F9:F15,37)+COUNTIF('Програма-кодове'!F9:F15,38)+COUNTIF('Програма-кодове'!F9:F15,39)+COUNTIF('Програма-кодове'!F9:F15,40)+COUNTIF('Програма-кодове'!F9:F15,41)+COUNTIF('Програма-кодове'!F9:F15,42)+COUNTIF('Програма-кодове'!F9:F15,43)+COUNTIF('Програма-кодове'!F9:F15,44)+COUNTIF('Програма-кодове'!F9:F15,"34*")+COUNTIF('Програма-кодове'!F9:F15,"35*")+COUNTIF('Програма-кодове'!F9:F15,"41*")+COUNTIF('Програма-кодове'!F9:F15,"43*")</f>
        <v>1</v>
      </c>
      <c r="F47" s="152">
        <f>COUNTIF('Програма-кодове'!G9:G15,33)+COUNTIF('Програма-кодове'!G9:G15,34)+COUNTIF('Програма-кодове'!G9:G15,35)+COUNTIF('Програма-кодове'!G9:G15,36)+COUNTIF('Програма-кодове'!G9:G15,37)+COUNTIF('Програма-кодове'!G9:G15,38)+COUNTIF('Програма-кодове'!G9:G15,39)+COUNTIF('Програма-кодове'!G9:G15,40)+COUNTIF('Програма-кодове'!G9:G15,41)+COUNTIF('Програма-кодове'!G9:G15,42)+COUNTIF('Програма-кодове'!G9:G15,43)+COUNTIF('Програма-кодове'!G9:G15,44)+COUNTIF('Програма-кодове'!G9:G15,"34*")+COUNTIF('Програма-кодове'!G9:G15,"35*")+COUNTIF('Програма-кодове'!G9:G15,"41*")+COUNTIF('Програма-кодове'!G9:G15,"43*")</f>
        <v>1</v>
      </c>
      <c r="G47" s="152">
        <f>COUNTIF('Програма-кодове'!H9:H15,33)+COUNTIF('Програма-кодове'!H9:H15,34)+COUNTIF('Програма-кодове'!H9:H15,35)+COUNTIF('Програма-кодове'!H9:H15,36)+COUNTIF('Програма-кодове'!H9:H15,37)+COUNTIF('Програма-кодове'!H9:H15,38)+COUNTIF('Програма-кодове'!H9:H15,39)+COUNTIF('Програма-кодове'!H9:H15,40)+COUNTIF('Програма-кодове'!H9:H15,41)+COUNTIF('Програма-кодове'!H9:H15,42)+COUNTIF('Програма-кодове'!H9:H15,43)+COUNTIF('Програма-кодове'!H9:H15,44)+COUNTIF('Програма-кодове'!H9:H15,"34*")+COUNTIF('Програма-кодове'!H9:H15,"35*")+COUNTIF('Програма-кодове'!H9:H15,"41*")+COUNTIF('Програма-кодове'!H9:H15,"43*")</f>
        <v>0</v>
      </c>
      <c r="H47" s="152">
        <f>COUNTIF('Програма-кодове'!I9:I15,33)+COUNTIF('Програма-кодове'!I9:I15,34)+COUNTIF('Програма-кодове'!I9:I15,35)+COUNTIF('Програма-кодове'!I9:I15,36)+COUNTIF('Програма-кодове'!I9:I15,37)+COUNTIF('Програма-кодове'!I9:I15,38)+COUNTIF('Програма-кодове'!I9:I15,39)+COUNTIF('Програма-кодове'!I9:I15,40)+COUNTIF('Програма-кодове'!I9:I15,41)+COUNTIF('Програма-кодове'!I9:I15,42)+COUNTIF('Програма-кодове'!I9:I15,43)+COUNTIF('Програма-кодове'!I9:I15,44)+COUNTIF('Програма-кодове'!I9:I15,"34*")+COUNTIF('Програма-кодове'!I9:I15,"35*")+COUNTIF('Програма-кодове'!I9:I15,"41*")+COUNTIF('Програма-кодове'!I9:I15,"43*")</f>
        <v>0</v>
      </c>
      <c r="I47" s="152">
        <f>COUNTIF('Програма-кодове'!J9:J15,33)+COUNTIF('Програма-кодове'!J9:J15,34)+COUNTIF('Програма-кодове'!J9:J15,35)+COUNTIF('Програма-кодове'!J9:J15,36)+COUNTIF('Програма-кодове'!J9:J15,37)+COUNTIF('Програма-кодове'!J9:J15,38)+COUNTIF('Програма-кодове'!J9:J15,39)+COUNTIF('Програма-кодове'!J9:J15,40)+COUNTIF('Програма-кодове'!J9:J15,41)+COUNTIF('Програма-кодове'!J9:J15,42)+COUNTIF('Програма-кодове'!J9:J15,43)+COUNTIF('Програма-кодове'!J9:J15,44)+COUNTIF('Програма-кодове'!J9:J15,"34*")+COUNTIF('Програма-кодове'!J9:J15,"35*")+COUNTIF('Програма-кодове'!J9:J15,"41*")+COUNTIF('Програма-кодове'!J9:J15,"43*")</f>
        <v>0</v>
      </c>
      <c r="J47" s="152">
        <f>COUNTIF('Програма-кодове'!K9:K15,33)+COUNTIF('Програма-кодове'!K9:K15,34)+COUNTIF('Програма-кодове'!K9:K15,35)+COUNTIF('Програма-кодове'!K9:K15,36)+COUNTIF('Програма-кодове'!K9:K15,37)+COUNTIF('Програма-кодове'!K9:K15,38)+COUNTIF('Програма-кодове'!K9:K15,39)+COUNTIF('Програма-кодове'!K9:K15,40)+COUNTIF('Програма-кодове'!K9:K15,41)+COUNTIF('Програма-кодове'!K9:K15,42)+COUNTIF('Програма-кодове'!K9:K15,43)+COUNTIF('Програма-кодове'!K9:K15,44)+COUNTIF('Програма-кодове'!K9:K15,"34*")+COUNTIF('Програма-кодове'!K9:K15,"35*")+COUNTIF('Програма-кодове'!K9:K15,"41*")+COUNTIF('Програма-кодове'!K9:K15,"43*")+COUNTIF('Програма-кодове'!K9:K15,50)</f>
        <v>4</v>
      </c>
      <c r="K47" s="152">
        <f>COUNTIF('Програма-кодове'!L9:L15,33)+COUNTIF('Програма-кодове'!L9:L15,34)+COUNTIF('Програма-кодове'!L9:L15,35)+COUNTIF('Програма-кодове'!L9:L15,36)+COUNTIF('Програма-кодове'!L9:L15,37)+COUNTIF('Програма-кодове'!L9:L15,38)+COUNTIF('Програма-кодове'!L9:L15,39)+COUNTIF('Програма-кодове'!L9:L15,40)+COUNTIF('Програма-кодове'!L9:L15,41)+COUNTIF('Програма-кодове'!L9:L15,42)+COUNTIF('Програма-кодове'!L9:L15,43)+COUNTIF('Програма-кодове'!L9:L15,44)+COUNTIF('Програма-кодове'!L9:L15,"34*")+COUNTIF('Програма-кодове'!L9:L15,"35*")+COUNTIF('Програма-кодове'!L9:L15,"41*")+COUNTIF('Програма-кодове'!L9:L15,"43*")+COUNTIF('Програма-кодове'!L9:L15,50)</f>
        <v>3</v>
      </c>
      <c r="L47" s="152">
        <f>COUNTIF('Програма-кодове'!M9:M15,33)+COUNTIF('Програма-кодове'!M9:M15,34)+COUNTIF('Програма-кодове'!M9:M15,35)+COUNTIF('Програма-кодове'!M9:M15,36)+COUNTIF('Програма-кодове'!M9:M15,37)+COUNTIF('Програма-кодове'!M9:M15,38)+COUNTIF('Програма-кодове'!M9:M15,39)+COUNTIF('Програма-кодове'!M9:M15,40)+COUNTIF('Програма-кодове'!M9:M15,41)+COUNTIF('Програма-кодове'!M9:M15,42)+COUNTIF('Програма-кодове'!M9:M15,43)+COUNTIF('Програма-кодове'!M9:M15,44)+COUNTIF('Програма-кодове'!M9:M15,"34*")+COUNTIF('Програма-кодове'!M9:M15,"35*")+COUNTIF('Програма-кодове'!M9:M15,"41*")+COUNTIF('Програма-кодове'!M9:M15,"43*")+COUNTIF('Програма-кодове'!M9:M15,50)</f>
        <v>3</v>
      </c>
      <c r="M47" s="152">
        <f>COUNTIF('Програма-кодове'!N9:N15,33)+COUNTIF('Програма-кодове'!N9:N15,34)+COUNTIF('Програма-кодове'!N9:N15,35)+COUNTIF('Програма-кодове'!N9:N15,36)+COUNTIF('Програма-кодове'!N9:N15,37)+COUNTIF('Програма-кодове'!N9:N15,38)+COUNTIF('Програма-кодове'!N9:N15,39)+COUNTIF('Програма-кодове'!N9:N15,40)+COUNTIF('Програма-кодове'!N9:N15,41)+COUNTIF('Програма-кодове'!N9:N15,42)+COUNTIF('Програма-кодове'!N9:N15,43)+COUNTIF('Програма-кодове'!N9:N15,44)+COUNTIF('Програма-кодове'!N9:N15,"34*")+COUNTIF('Програма-кодове'!N9:N15,"35*")+COUNTIF('Програма-кодове'!N9:N15,"41*")+COUNTIF('Програма-кодове'!N9:N15,"43*")+COUNTIF('Програма-кодове'!N9:N15,50)</f>
        <v>3</v>
      </c>
      <c r="N47" s="152">
        <f>COUNTIF('Програма-кодове'!O9:O15,33)+COUNTIF('Програма-кодове'!O9:O15,34)+COUNTIF('Програма-кодове'!O9:O15,35)+COUNTIF('Програма-кодове'!O9:O15,36)+COUNTIF('Програма-кодове'!O9:O15,37)+COUNTIF('Програма-кодове'!O9:O15,38)+COUNTIF('Програма-кодове'!O9:O15,39)+COUNTIF('Програма-кодове'!O9:O15,40)+COUNTIF('Програма-кодове'!O9:O15,41)+COUNTIF('Програма-кодове'!O9:O15,42)+COUNTIF('Програма-кодове'!O9:O15,43)+COUNTIF('Програма-кодове'!O9:O15,44)+COUNTIF('Програма-кодове'!O9:O15,"34*")+COUNTIF('Програма-кодове'!O9:O15,"35*")+COUNTIF('Програма-кодове'!O9:O15,"41*")+COUNTIF('Програма-кодове'!O9:O15,"43*")+COUNTIF('Програма-кодове'!O9:O15,50)</f>
        <v>4</v>
      </c>
      <c r="O47" s="152">
        <f>COUNTIF('Програма-кодове'!P9:P15,33)+COUNTIF('Програма-кодове'!P9:P15,34)+COUNTIF('Програма-кодове'!P9:P15,35)+COUNTIF('Програма-кодове'!P9:P15,36)+COUNTIF('Програма-кодове'!P9:P15,37)+COUNTIF('Програма-кодове'!P9:P15,38)+COUNTIF('Програма-кодове'!P9:P15,39)+COUNTIF('Програма-кодове'!P9:P15,40)+COUNTIF('Програма-кодове'!P9:P15,41)+COUNTIF('Програма-кодове'!P9:P15,42)+COUNTIF('Програма-кодове'!P9:P15,43)+COUNTIF('Програма-кодове'!P9:P15,44)+COUNTIF('Програма-кодове'!P9:P15,"33*")+COUNTIF('Програма-кодове'!P9:P15,"34*")+COUNTIF('Програма-кодове'!P9:P15,"35*")+COUNTIF('Програма-кодове'!P9:P15,"41*")+COUNTIF('Програма-кодове'!P9:P15,"43*")</f>
        <v>2</v>
      </c>
      <c r="P47" s="152">
        <f>COUNTIF('Програма-кодове'!Q9:Q15,33)+COUNTIF('Програма-кодове'!Q9:Q15,34)+COUNTIF('Програма-кодове'!Q9:Q15,35)+COUNTIF('Програма-кодове'!Q9:Q15,36)+COUNTIF('Програма-кодове'!Q9:Q15,37)+COUNTIF('Програма-кодове'!Q9:Q15,38)+COUNTIF('Програма-кодове'!Q9:Q15,39)+COUNTIF('Програма-кодове'!Q9:Q15,40)+COUNTIF('Програма-кодове'!Q9:Q15,41)+COUNTIF('Програма-кодове'!Q9:Q15,42)+COUNTIF('Програма-кодове'!Q9:Q15,43)+COUNTIF('Програма-кодове'!Q9:Q15,44)+COUNTIF('Програма-кодове'!Q9:Q15,"34*")+COUNTIF('Програма-кодове'!Q9:Q15,"35*")+COUNTIF('Програма-кодове'!Q9:Q15,"41*")+COUNTIF('Програма-кодове'!Q9:Q15,"43*")</f>
        <v>2</v>
      </c>
      <c r="Q47" s="152">
        <f>COUNTIF('Програма-кодове'!R9:R15,33)+COUNTIF('Програма-кодове'!R9:R15,34)+COUNTIF('Програма-кодове'!R9:R15,35)+COUNTIF('Програма-кодове'!R9:R15,36)+COUNTIF('Програма-кодове'!R9:R15,37)+COUNTIF('Програма-кодове'!R9:R15,38)+COUNTIF('Програма-кодове'!R9:R15,39)+COUNTIF('Програма-кодове'!R9:R15,40)+COUNTIF('Програма-кодове'!R9:R15,41)+COUNTIF('Програма-кодове'!R9:R15,42)+COUNTIF('Програма-кодове'!R9:R15,43)+COUNTIF('Програма-кодове'!R9:R15,44)+COUNTIF('Програма-кодове'!R9:R15,"34*")+COUNTIF('Програма-кодове'!R9:R15,"35*")+COUNTIF('Програма-кодове'!R9:R15,"41*")+COUNTIF('Програма-кодове'!R9:R15,"43*")</f>
        <v>2</v>
      </c>
      <c r="R47" s="152">
        <f>COUNTIF('Програма-кодове'!S9:S15,33)+COUNTIF('Програма-кодове'!S9:S15,34)+COUNTIF('Програма-кодове'!S9:S15,35)+COUNTIF('Програма-кодове'!S9:S15,36)+COUNTIF('Програма-кодове'!S9:S15,37)+COUNTIF('Програма-кодове'!S9:S15,38)+COUNTIF('Програма-кодове'!S9:S15,39)+COUNTIF('Програма-кодове'!S9:S15,40)+COUNTIF('Програма-кодове'!S9:S15,41)+COUNTIF('Програма-кодове'!S9:S15,42)+COUNTIF('Програма-кодове'!S9:S15,43)+COUNTIF('Програма-кодове'!S9:S15,44)+COUNTIF('Програма-кодове'!S9:S15,"34*")+COUNTIF('Програма-кодове'!S9:S15,"35*")+COUNTIF('Програма-кодове'!S9:S15,"41*")+COUNTIF('Програма-кодове'!S9:S15,"43*")</f>
        <v>2</v>
      </c>
      <c r="S47" s="152">
        <f>COUNTIF('Програма-кодове'!T9:T15,33)+COUNTIF('Програма-кодове'!T9:T15,34)+COUNTIF('Програма-кодове'!T9:T15,35)+COUNTIF('Програма-кодове'!T9:T15,36)+COUNTIF('Програма-кодове'!T9:T15,37)+COUNTIF('Програма-кодове'!T9:T15,38)+COUNTIF('Програма-кодове'!T9:T15,39)+COUNTIF('Програма-кодове'!T9:T15,40)+COUNTIF('Програма-кодове'!T9:T15,41)+COUNTIF('Програма-кодове'!T9:T15,42)+COUNTIF('Програма-кодове'!T9:T15,43)+COUNTIF('Програма-кодове'!T9:T15,44)+COUNTIF('Програма-кодове'!T9:T15,"34*")+COUNTIF('Програма-кодове'!T9:T15,"35*")+COUNTIF('Програма-кодове'!T9:T15,"41*")+COUNTIF('Програма-кодове'!T9:T15,"43*")</f>
        <v>3</v>
      </c>
      <c r="T47" s="152">
        <f>COUNTIF('Програма-кодове'!U9:U15,33)+COUNTIF('Програма-кодове'!U9:U15,34)+COUNTIF('Програма-кодове'!U9:U15,35)+COUNTIF('Програма-кодове'!U9:U15,36)+COUNTIF('Програма-кодове'!U9:U15,37)+COUNTIF('Програма-кодове'!U9:U15,38)+COUNTIF('Програма-кодове'!U9:U15,39)+COUNTIF('Програма-кодове'!U9:U15,40)+COUNTIF('Програма-кодове'!U9:U15,41)+COUNTIF('Програма-кодове'!U9:U15,42)+COUNTIF('Програма-кодове'!U9:U15,43)+COUNTIF('Програма-кодове'!U9:U15,44)+COUNTIF('Програма-кодове'!U9:U15,"34*")+COUNTIF('Програма-кодове'!U9:U15,"35*")+COUNTIF('Програма-кодове'!U9:U15,"41*")+COUNTIF('Програма-кодове'!U9:U15,"43*")</f>
        <v>3</v>
      </c>
      <c r="U47" s="152">
        <f>COUNTIF('Програма-кодове'!V9:V15,33)+COUNTIF('Програма-кодове'!V9:V15,34)+COUNTIF('Програма-кодове'!V9:V15,35)+COUNTIF('Програма-кодове'!V9:V15,36)+COUNTIF('Програма-кодове'!V9:V15,37)+COUNTIF('Програма-кодове'!V9:V15,38)+COUNTIF('Програма-кодове'!V9:V15,39)+COUNTIF('Програма-кодове'!V9:V15,40)+COUNTIF('Програма-кодове'!V9:V15,41)+COUNTIF('Програма-кодове'!V9:V15,42)+COUNTIF('Програма-кодове'!V9:V15,43)+COUNTIF('Програма-кодове'!V9:V15,44)+COUNTIF('Програма-кодове'!V9:V15,"34*")+COUNTIF('Програма-кодове'!V9:V15,"35*")+COUNTIF('Програма-кодове'!V9:V15,"41*")+COUNTIF('Програма-кодове'!V9:V15,"43*")</f>
        <v>2</v>
      </c>
      <c r="V47" s="152">
        <f>COUNTIF('Програма-кодове'!W9:W15,33)+COUNTIF('Програма-кодове'!W9:W15,34)+COUNTIF('Програма-кодове'!W9:W15,35)+COUNTIF('Програма-кодове'!W9:W15,36)+COUNTIF('Програма-кодове'!W9:W15,37)+COUNTIF('Програма-кодове'!W9:W15,38)+COUNTIF('Програма-кодове'!W9:W15,39)+COUNTIF('Програма-кодове'!W9:W15,40)+COUNTIF('Програма-кодове'!W9:W15,41)+COUNTIF('Програма-кодове'!W9:W15,42)+COUNTIF('Програма-кодове'!W9:W15,43)+COUNTIF('Програма-кодове'!W9:W15,44)+COUNTIF('Програма-кодове'!W9:W15,"34*")+COUNTIF('Програма-кодове'!W9:W15,"35*")+COUNTIF('Програма-кодове'!W9:W15,"41*")+COUNTIF('Програма-кодове'!W9:W15,"43*")</f>
        <v>3</v>
      </c>
      <c r="W47" s="152">
        <f>COUNTIF('Програма-кодове'!X9:X15,33)+COUNTIF('Програма-кодове'!X9:X15,34)+COUNTIF('Програма-кодове'!X9:X15,35)+COUNTIF('Програма-кодове'!X9:X15,36)+COUNTIF('Програма-кодове'!X9:X15,37)+COUNTIF('Програма-кодове'!X9:X15,38)+COUNTIF('Програма-кодове'!X9:X15,39)+COUNTIF('Програма-кодове'!X9:X15,40)+COUNTIF('Програма-кодове'!X9:X15,41)+COUNTIF('Програма-кодове'!X9:X15,42)+COUNTIF('Програма-кодове'!X9:X15,43)+COUNTIF('Програма-кодове'!X9:X15,44)+COUNTIF('Програма-кодове'!X9:X15,"34*")+COUNTIF('Програма-кодове'!X9:X15,"35*")+COUNTIF('Програма-кодове'!X9:X15,"41*")+COUNTIF('Програма-кодове'!X9:X15,"43*")</f>
        <v>2</v>
      </c>
      <c r="X47" s="152">
        <f>COUNTIF('Програма-кодове'!Y9:Y15,33)+COUNTIF('Програма-кодове'!Y9:Y15,34)+COUNTIF('Програма-кодове'!Y9:Y15,35)+COUNTIF('Програма-кодове'!Y9:Y15,36)+COUNTIF('Програма-кодове'!Y9:Y15,37)+COUNTIF('Програма-кодове'!Y9:Y15,38)+COUNTIF('Програма-кодове'!Y9:Y15,39)+COUNTIF('Програма-кодове'!Y9:Y15,40)+COUNTIF('Програма-кодове'!Y9:Y15,41)+COUNTIF('Програма-кодове'!Y9:Y15,42)+COUNTIF('Програма-кодове'!Y9:Y15,43)+COUNTIF('Програма-кодове'!Y9:Y15,44)+COUNTIF('Програма-кодове'!Y9:Y15,"34*")+COUNTIF('Програма-кодове'!Y9:Y15,"35*")+COUNTIF('Програма-кодове'!Y9:Y15,"41*")+COUNTIF('Програма-кодове'!Y9:Y15,"43*")</f>
        <v>4</v>
      </c>
      <c r="Y47" s="152">
        <f>COUNTIF('Програма-кодове'!Z9:Z15,33)+COUNTIF('Програма-кодове'!Z9:Z15,34)+COUNTIF('Програма-кодове'!Z9:Z15,35)+COUNTIF('Програма-кодове'!Z9:Z15,36)+COUNTIF('Програма-кодове'!Z9:Z15,37)+COUNTIF('Програма-кодове'!Z9:Z15,38)+COUNTIF('Програма-кодове'!Z9:Z15,39)+COUNTIF('Програма-кодове'!Z9:Z15,40)+COUNTIF('Програма-кодове'!Z9:Z15,41)+COUNTIF('Програма-кодове'!Z9:Z15,42)+COUNTIF('Програма-кодове'!Z9:Z15,43)+COUNTIF('Програма-кодове'!Z9:Z15,44)+COUNTIF('Програма-кодове'!Z9:Z15,"34*")+COUNTIF('Програма-кодове'!Z9:Z15,"35*")+COUNTIF('Програма-кодове'!Z9:Z15,"41*")+COUNTIF('Програма-кодове'!Z9:Z15,"33*")+COUNTIF('Програма-кодове'!Z9:Z15,50)</f>
        <v>2</v>
      </c>
      <c r="Z47" s="152">
        <f>COUNTIF('Програма-кодове'!AA9:AA15,33)+COUNTIF('Програма-кодове'!AA9:AA15,34)+COUNTIF('Програма-кодове'!AA9:AA15,35)+COUNTIF('Програма-кодове'!AA9:AA15,36)+COUNTIF('Програма-кодове'!AA9:AA15,37)+COUNTIF('Програма-кодове'!AA9:AA15,38)+COUNTIF('Програма-кодове'!AA9:AA15,39)+COUNTIF('Програма-кодове'!AA9:AA15,40)+COUNTIF('Програма-кодове'!AA9:AA15,41)+COUNTIF('Програма-кодове'!AA9:AA15,42)+COUNTIF('Програма-кодове'!AA9:AA15,43)+COUNTIF('Програма-кодове'!AA9:AA15,44)+COUNTIF('Програма-кодове'!AA9:AA15,"34*")+COUNTIF('Програма-кодове'!AA9:AA15,"35*")+COUNTIF('Програма-кодове'!AA9:AA15,"41*")+COUNTIF('Програма-кодове'!AA9:AA15,"33*")+COUNTIF('Програма-кодове'!AA9:AA15,50)</f>
        <v>2</v>
      </c>
      <c r="AA47" s="152">
        <f>COUNTIF('Програма-кодове'!AB9:AB15,33)+COUNTIF('Програма-кодове'!AB9:AB15,34)+COUNTIF('Програма-кодове'!AB9:AB15,35)+COUNTIF('Програма-кодове'!AB9:AB15,36)+COUNTIF('Програма-кодове'!AB9:AB15,37)+COUNTIF('Програма-кодове'!AB9:AB15,38)+COUNTIF('Програма-кодове'!AB9:AB15,39)+COUNTIF('Програма-кодове'!AB9:AB15,40)+COUNTIF('Програма-кодове'!AB9:AB15,41)+COUNTIF('Програма-кодове'!AB9:AB15,42)+COUNTIF('Програма-кодове'!AB9:AB15,43)+COUNTIF('Програма-кодове'!AB9:AB15,44)+COUNTIF('Програма-кодове'!AB9:AB15,"34*")+COUNTIF('Програма-кодове'!AB9:AB15,"35*")+COUNTIF('Програма-кодове'!AB9:AB15,"41*")+COUNTIF('Програма-кодове'!AB9:AB15,"33*")+COUNTIF('Програма-кодове'!AB9:AB15,50)+COUNTIF('Програма-кодове'!AB9:AB15,341)</f>
        <v>2</v>
      </c>
      <c r="AB47" s="152">
        <f>COUNTIF('Програма-кодове'!AC9:AC15,33)+COUNTIF('Програма-кодове'!AC9:AC15,34)+COUNTIF('Програма-кодове'!AC9:AC15,35)+COUNTIF('Програма-кодове'!AC9:AC15,36)+COUNTIF('Програма-кодове'!AC9:AC15,37)+COUNTIF('Програма-кодове'!AC9:AC15,38)+COUNTIF('Програма-кодове'!AC9:AC15,39)+COUNTIF('Програма-кодове'!AC9:AC15,40)+COUNTIF('Програма-кодове'!AC9:AC15,41)+COUNTIF('Програма-кодове'!AC9:AC15,42)+COUNTIF('Програма-кодове'!AC9:AC15,43)+COUNTIF('Програма-кодове'!AC9:AC15,44)+COUNTIF('Програма-кодове'!AC9:AC15,"34*")+COUNTIF('Програма-кодове'!AC9:AC15,"35*")+COUNTIF('Програма-кодове'!AC9:AC15,"41*")+COUNTIF('Програма-кодове'!AC9:AC15,"33*")+COUNTIF('Програма-кодове'!AC9:AC15,50)</f>
        <v>1</v>
      </c>
      <c r="AC47" s="152">
        <f>COUNTIF('Програма-кодове'!AD9:AD15,33)+COUNTIF('Програма-кодове'!AD9:AD15,34)+COUNTIF('Програма-кодове'!AD9:AD15,35)+COUNTIF('Програма-кодове'!AD9:AD15,36)+COUNTIF('Програма-кодове'!AD9:AD15,37)+COUNTIF('Програма-кодове'!AD9:AD15,38)+COUNTIF('Програма-кодове'!AD9:AD15,39)+COUNTIF('Програма-кодове'!AD9:AD15,40)+COUNTIF('Програма-кодове'!AD9:AD15,41)+COUNTIF('Програма-кодове'!AD9:AD15,42)+COUNTIF('Програма-кодове'!AD9:AD15,43)+COUNTIF('Програма-кодове'!AD9:AD15,44)+COUNTIF('Програма-кодове'!AD9:AD15,"34*")+COUNTIF('Програма-кодове'!AD9:AD15,"35*")+COUNTIF('Програма-кодове'!AD9:AD15,"41*")+COUNTIF('Програма-кодове'!AD9:AD15,"33*")+COUNTIF('Програма-кодове'!AD9:AD15,50)</f>
        <v>3</v>
      </c>
      <c r="AF47" s="153">
        <f>COUNTIF('Програма-кодове'!C9:C15,45)+COUNTIF('Програма-кодове'!C9:C15,"45*")+COUNTIF('Програма-кодове'!C9:C15,46)+COUNTIF('Програма-кодове'!C9:C15,48)+COUNTIF('Програма-кодове'!C9:C15,49)+(COUNTIF('Програма-кодове'!C9:C15,"29/46")+COUNTIF('Програма-кодове'!C9:C15,"28/46"))/2</f>
        <v>2</v>
      </c>
      <c r="AG47" s="153">
        <f>COUNTIF('Програма-кодове'!D9:D15,45)+COUNTIF('Програма-кодове'!D9:D15,"45*")+COUNTIF('Програма-кодове'!D9:D15,46)+COUNTIF('Програма-кодове'!D9:D15,47)+COUNTIF('Програма-кодове'!D9:D15,48)+COUNTIF('Програма-кодове'!D9:D15,49)+(COUNTIF('Програма-кодове'!D9:D15,"25/46")+COUNTIF('Програма-кодове'!D9:D15,"31/46"))/2</f>
        <v>2</v>
      </c>
      <c r="AH47" s="153">
        <f>COUNTIF('Програма-кодове'!E9:E15,45)+COUNTIF('Програма-кодове'!E9:E15,"45*")+COUNTIF('Програма-кодове'!E9:E15,46)+COUNTIF('Програма-кодове'!E9:E15,47)+COUNTIF('Програма-кодове'!E9:E15,48)+COUNTIF('Програма-кодове'!E9:E15,49)+(COUNTIF('Програма-кодове'!E9:E15,"31/46")+COUNTIF('Програма-кодове'!E9:E15,"25/46"))/2</f>
        <v>1</v>
      </c>
      <c r="AI47" s="152">
        <f>COUNTIF('Програма-кодове'!F9:F15,45)+COUNTIF('Програма-кодове'!F9:F15,46)+COUNTIF('Програма-кодове'!F9:F15,47)+COUNTIF('Програма-кодове'!F9:F15,48)+COUNTIF('Програма-кодове'!F9:F15,49)+COUNTIF('Програма-кодове'!F9:F15,"45*")</f>
        <v>1</v>
      </c>
      <c r="AJ47" s="152">
        <f>COUNTIF('Програма-кодове'!G9:G15,45)+COUNTIF('Програма-кодове'!G9:G15,46)+COUNTIF('Програма-кодове'!G9:G15,47)+COUNTIF('Програма-кодове'!G9:G15,48)+COUNTIF('Програма-кодове'!G9:G15,49)+COUNTIF('Програма-кодове'!G9:G15,"45*")</f>
        <v>0</v>
      </c>
      <c r="AK47" s="152">
        <f>COUNTIF('Програма-кодове'!H9:H15,45)+COUNTIF('Програма-кодове'!H9:H15,46)+COUNTIF('Програма-кодове'!H9:H15,47)+COUNTIF('Програма-кодове'!H9:H15,48)+COUNTIF('Програма-кодове'!H9:H15,49)+COUNTIF('Програма-кодове'!H9:H15,"45*")</f>
        <v>1</v>
      </c>
      <c r="AL47" s="152">
        <f>COUNTIF('Програма-кодове'!I9:I15,45)+COUNTIF('Програма-кодове'!I9:I15,46)+COUNTIF('Програма-кодове'!I9:I15,47)+COUNTIF('Програма-кодове'!I9:I15,48)+COUNTIF('Програма-кодове'!I9:I15,49)</f>
        <v>1</v>
      </c>
      <c r="AM47" s="152">
        <f>COUNTIF('Програма-кодове'!J9:J15,45)+COUNTIF('Програма-кодове'!J9:J15,46)+COUNTIF('Програма-кодове'!J9:J15,47)+COUNTIF('Програма-кодове'!J9:J15,48)+COUNTIF('Програма-кодове'!J9:J15,49)</f>
        <v>1</v>
      </c>
      <c r="AN47" s="152">
        <f>COUNTIF('Програма-кодове'!K9:K15,45)+COUNTIF('Програма-кодове'!K9:K15,46)+COUNTIF('Програма-кодове'!K9:K15,47)+COUNTIF('Програма-кодове'!K9:K15,48)+COUNTIF('Програма-кодове'!K9:K15,49)</f>
        <v>0</v>
      </c>
      <c r="AO47" s="152">
        <f>COUNTIF('Програма-кодове'!L9:L15,45)+COUNTIF('Програма-кодове'!L9:L15,46)+COUNTIF('Програма-кодове'!L9:L15,47)+COUNTIF('Програма-кодове'!L9:L15,48)+COUNTIF('Програма-кодове'!L9:L15,49)</f>
        <v>1</v>
      </c>
      <c r="AP47" s="152">
        <f>COUNTIF('Програма-кодове'!M9:M15,45)+COUNTIF('Програма-кодове'!M9:M15,"45*")+COUNTIF('Програма-кодове'!M9:M15,46)+COUNTIF('Програма-кодове'!M9:M15,47)+COUNTIF('Програма-кодове'!M9:M15,48)+COUNTIF('Програма-кодове'!M9:M15,49)</f>
        <v>1</v>
      </c>
      <c r="AQ47" s="152">
        <f>COUNTIF('Програма-кодове'!N9:N15,45)+COUNTIF('Програма-кодове'!N9:N15,"45*")+COUNTIF('Програма-кодове'!N9:N15,46)+COUNTIF('Програма-кодове'!N9:N15,47)+COUNTIF('Програма-кодове'!N9:N15,48)+COUNTIF('Програма-кодове'!N9:N15,49)</f>
        <v>1</v>
      </c>
      <c r="AR47" s="152">
        <f>COUNTIF('Програма-кодове'!O9:O15,45)+COUNTIF('Програма-кодове'!O9:O15,"45*")+COUNTIF('Програма-кодове'!O9:O15,46)+COUNTIF('Програма-кодове'!O9:O15,47)+COUNTIF('Програма-кодове'!O9:O15,48)+COUNTIF('Програма-кодове'!O9:O15,49)</f>
        <v>1</v>
      </c>
      <c r="AS47" s="152">
        <f>COUNTIF('Програма-кодове'!P9:P15,45)+COUNTIF('Програма-кодове'!P9:P15,46)+COUNTIF('Програма-кодове'!P9:P15,47)+COUNTIF('Програма-кодове'!P9:P15,48)+COUNTIF('Програма-кодове'!P9:P15,49)</f>
        <v>1</v>
      </c>
      <c r="AT47" s="152">
        <f>COUNTIF('Програма-кодове'!Q9:Q15,45)+COUNTIF('Програма-кодове'!Q9:Q15,46)+COUNTIF('Програма-кодове'!Q9:Q15,47)+COUNTIF('Програма-кодове'!Q9:Q15,48)+COUNTIF('Програма-кодове'!Q9:Q15,49)</f>
        <v>1</v>
      </c>
      <c r="AU47" s="152">
        <f>COUNTIF('Програма-кодове'!R9:R15,45)+COUNTIF('Програма-кодове'!R9:R15,"45*")+COUNTIF('Програма-кодове'!R9:R15,46)+COUNTIF('Програма-кодове'!R9:R15,47)+COUNTIF('Програма-кодове'!R9:R15,48)+COUNTIF('Програма-кодове'!R9:R15,49)</f>
        <v>0</v>
      </c>
      <c r="AV47" s="152">
        <f>COUNTIF('Програма-кодове'!S9:S15,45)+COUNTIF('Програма-кодове'!S9:S15,"45*")+COUNTIF('Програма-кодове'!S9:S15,46)+COUNTIF('Програма-кодове'!S9:S15,47)+COUNTIF('Програма-кодове'!S9:S15,48)+COUNTIF('Програма-кодове'!S9:S15,49)</f>
        <v>1</v>
      </c>
      <c r="AW47" s="152">
        <f>COUNTIF('Програма-кодове'!T9:T15,45)+COUNTIF('Програма-кодове'!T9:T15,"45*")+COUNTIF('Програма-кодове'!T9:T15,46)+COUNTIF('Програма-кодове'!T9:T15,47)+COUNTIF('Програма-кодове'!T9:T15,48)+COUNTIF('Програма-кодове'!T9:T15,49)</f>
        <v>0</v>
      </c>
      <c r="AX47" s="152">
        <f>COUNTIF('Програма-кодове'!U9:U15,"45*")+COUNTIF('Програма-кодове'!U9:U15,46)+COUNTIF('Програма-кодове'!U9:U15,47)+COUNTIF('Програма-кодове'!U9:U15,48)+COUNTIF('Програма-кодове'!U9:U15,49)</f>
        <v>0</v>
      </c>
      <c r="AY47" s="152">
        <f>COUNTIF('Програма-кодове'!V9:V15,"45*")+COUNTIF('Програма-кодове'!V9:V15,46)+COUNTIF('Програма-кодове'!V9:V15,47)+COUNTIF('Програма-кодове'!V9:V15,48)+COUNTIF('Програма-кодове'!V9:V15,49)</f>
        <v>0</v>
      </c>
      <c r="AZ47" s="152">
        <f>COUNTIF('Програма-кодове'!W9:W15,"45*")+COUNTIF('Програма-кодове'!W9:W15,46)+COUNTIF('Програма-кодове'!W9:W15,47)+COUNTIF('Програма-кодове'!W9:W15,48)+COUNTIF('Програма-кодове'!W9:W15,49)</f>
        <v>0</v>
      </c>
      <c r="BA47" s="152">
        <f>COUNTIF('Програма-кодове'!X9:X15,45)+COUNTIF('Програма-кодове'!X9:X15,46)+COUNTIF('Програма-кодове'!X9:X15,47)+COUNTIF('Програма-кодове'!X9:X15,48)+COUNTIF('Програма-кодове'!X9:X15,49)</f>
        <v>0</v>
      </c>
      <c r="BB47" s="152">
        <f>COUNTIF('Програма-кодове'!Y9:Y15,45)+COUNTIF('Програма-кодове'!Y9:Y15,46)+COUNTIF('Програма-кодове'!Y9:Y15,47)+COUNTIF('Програма-кодове'!Y9:Y15,48)+COUNTIF('Програма-кодове'!Y9:Y15,49)</f>
        <v>1</v>
      </c>
      <c r="BC47" s="152">
        <f>COUNTIF('Програма-кодове'!Z9:Z15,"45*")+COUNTIF('Програма-кодове'!Z9:Z15,46)+COUNTIF('Програма-кодове'!Z9:Z15,47)+COUNTIF('Програма-кодове'!Z9:Z15,48)+COUNTIF('Програма-кодове'!Z9:Z15,49)</f>
        <v>1</v>
      </c>
      <c r="BD47" s="152">
        <f>COUNTIF('Програма-кодове'!AA9:AA15,"45*")+COUNTIF('Програма-кодове'!AA9:AA15,46)+COUNTIF('Програма-кодове'!AA9:AA15,47)+COUNTIF('Програма-кодове'!AA9:AA15,48)+COUNTIF('Програма-кодове'!AA9:AA15,49)</f>
        <v>0</v>
      </c>
      <c r="BE47" s="152">
        <f>COUNTIF('Програма-кодове'!AB9:AB15,45)+COUNTIF('Програма-кодове'!AB9:AB15,46)+COUNTIF('Програма-кодове'!AB9:AB15,47)+COUNTIF('Програма-кодове'!AB9:AB15,48)+COUNTIF('Програма-кодове'!AB9:AB15,49)</f>
        <v>0</v>
      </c>
      <c r="BF47" s="152">
        <f>COUNTIF('Програма-кодове'!AC9:AC15,45)+COUNTIF('Програма-кодове'!AC9:AC15,46)+COUNTIF('Програма-кодове'!AC9:AC15,47)+COUNTIF('Програма-кодове'!AC9:AC15,48)+COUNTIF('Програма-кодове'!AC9:AC15,49)</f>
        <v>0</v>
      </c>
      <c r="BG47" s="152">
        <f>COUNTIF('Програма-кодове'!AD9:AD15,45)+COUNTIF('Програма-кодове'!AD9:AD15,46)+COUNTIF('Програма-кодове'!AD9:AD15,47)+COUNTIF('Програма-кодове'!AD9:AD15,48)+COUNTIF('Програма-кодове'!AD9:AD15,49)</f>
        <v>1</v>
      </c>
    </row>
    <row r="48" spans="1:83">
      <c r="A48" s="150" t="s">
        <v>126</v>
      </c>
      <c r="B48" s="152">
        <f>COUNTIF('Програма-кодове'!C16:C21,33)+COUNTIF('Програма-кодове'!C16:C21,34)+COUNTIF('Програма-кодове'!C16:C21,35)+COUNTIF('Програма-кодове'!C16:C21,36)+COUNTIF('Програма-кодове'!C16:C21,37)+COUNTIF('Програма-кодове'!C16:C21,38)+COUNTIF('Програма-кодове'!C16:C21,39)+COUNTIF('Програма-кодове'!C16:C21,40)+COUNTIF('Програма-кодове'!C16:C21,41)+COUNTIF('Програма-кодове'!C16:C21,42)+COUNTIF('Програма-кодове'!C16:C21,43)+COUNTIF('Програма-кодове'!C16:C21,44)+COUNTIF('Програма-кодове'!C16:C21,"34*")+COUNTIF('Програма-кодове'!C16:C21,"35*")+COUNTIF('Програма-кодове'!C16:C21,"41*")+COUNTIF('Програма-кодове'!C16:C21,"43*")</f>
        <v>1</v>
      </c>
      <c r="C48" s="152">
        <f>COUNTIF('Програма-кодове'!D16:D21,33)+COUNTIF('Програма-кодове'!D16:D21,34)+COUNTIF('Програма-кодове'!D16:D21,35)+COUNTIF('Програма-кодове'!D16:D21,36)+COUNTIF('Програма-кодове'!D16:D21,37)+COUNTIF('Програма-кодове'!D16:D21,38)+COUNTIF('Програма-кодове'!D16:D21,39)+COUNTIF('Програма-кодове'!D16:D21,40)+COUNTIF('Програма-кодове'!D16:D21,41)+COUNTIF('Програма-кодове'!D16:D21,42)+COUNTIF('Програма-кодове'!D16:D21,43)+COUNTIF('Програма-кодове'!D16:D21,44)+COUNTIF('Програма-кодове'!D16:D21,"34*")+COUNTIF('Програма-кодове'!D16:D21,"35*")+COUNTIF('Програма-кодове'!D16:D21,"41*")+COUNTIF('Програма-кодове'!D16:D21,"43*")</f>
        <v>1</v>
      </c>
      <c r="D48" s="152">
        <f>COUNTIF('Програма-кодове'!E16:E21,33)+COUNTIF('Програма-кодове'!E16:E21,34)+COUNTIF('Програма-кодове'!E16:E21,35)+COUNTIF('Програма-кодове'!E16:E21,36)+COUNTIF('Програма-кодове'!E16:E21,37)+COUNTIF('Програма-кодове'!E16:E21,38)+COUNTIF('Програма-кодове'!E16:E21,39)+COUNTIF('Програма-кодове'!E16:E21,40)+COUNTIF('Програма-кодове'!E16:E21,41)+COUNTIF('Програма-кодове'!E16:E21,42)+COUNTIF('Програма-кодове'!E16:E21,43)+COUNTIF('Програма-кодове'!E16:E21,44)+COUNTIF('Програма-кодове'!E16:E21,"34*")+COUNTIF('Програма-кодове'!E16:E21,"35*")+COUNTIF('Програма-кодове'!E16:E21,"41*")+COUNTIF('Програма-кодове'!E16:E21,"43*")</f>
        <v>1</v>
      </c>
      <c r="E48" s="152">
        <f>COUNTIF('Програма-кодове'!F16:F21,33)+COUNTIF('Програма-кодове'!F16:F21,34)+COUNTIF('Програма-кодове'!F16:F21,35)+COUNTIF('Програма-кодове'!F16:F21,36)+COUNTIF('Програма-кодове'!F16:F21,37)+COUNTIF('Програма-кодове'!F16:F21,38)+COUNTIF('Програма-кодове'!F16:F21,39)+COUNTIF('Програма-кодове'!F16:F21,40)+COUNTIF('Програма-кодове'!F16:F21,41)+COUNTIF('Програма-кодове'!F16:F21,42)+COUNTIF('Програма-кодове'!F16:F21,43)+COUNTIF('Програма-кодове'!F16:F21,44)+COUNTIF('Програма-кодове'!F16:F21,"34*")+COUNTIF('Програма-кодове'!F16:F21,"35*")+COUNTIF('Програма-кодове'!F16:F21,"41*")+COUNTIF('Програма-кодове'!F16:F21,"43*")</f>
        <v>0</v>
      </c>
      <c r="F48" s="152">
        <f>COUNTIF('Програма-кодове'!G16:G21,33)+COUNTIF('Програма-кодове'!G16:G21,34)+COUNTIF('Програма-кодове'!G16:G21,35)+COUNTIF('Програма-кодове'!G16:G21,36)+COUNTIF('Програма-кодове'!G16:G21,37)+COUNTIF('Програма-кодове'!G16:G21,38)+COUNTIF('Програма-кодове'!G16:G21,39)+COUNTIF('Програма-кодове'!G16:G21,40)+COUNTIF('Програма-кодове'!G16:G21,41)+COUNTIF('Програма-кодове'!G16:G21,42)+COUNTIF('Програма-кодове'!G16:G21,43)+COUNTIF('Програма-кодове'!G16:G21,44)+COUNTIF('Програма-кодове'!G16:G21,"34*")+COUNTIF('Програма-кодове'!G16:G21,"35*")+COUNTIF('Програма-кодове'!G16:G21,"41*")+COUNTIF('Програма-кодове'!G16:G21,"43*")</f>
        <v>0</v>
      </c>
      <c r="G48" s="152">
        <f>COUNTIF('Програма-кодове'!H16:H21,33)+COUNTIF('Програма-кодове'!H16:H21,34)+COUNTIF('Програма-кодове'!H16:H21,35)+COUNTIF('Програма-кодове'!H16:H21,36)+COUNTIF('Програма-кодове'!H16:H21,37)+COUNTIF('Програма-кодове'!H16:H21,38)+COUNTIF('Програма-кодове'!H16:H21,39)+COUNTIF('Програма-кодове'!H16:H21,40)+COUNTIF('Програма-кодове'!H16:H21,41)+COUNTIF('Програма-кодове'!H16:H21,42)+COUNTIF('Програма-кодове'!H16:H21,43)+COUNTIF('Програма-кодове'!H16:H21,44)+COUNTIF('Програма-кодове'!H16:H21,"34*")+COUNTIF('Програма-кодове'!H16:H21,"35*")+COUNTIF('Програма-кодове'!H16:H21,"41*")+COUNTIF('Програма-кодове'!H16:H21,"43*")</f>
        <v>0</v>
      </c>
      <c r="H48" s="152">
        <f>COUNTIF('Програма-кодове'!I16:I21,33)+COUNTIF('Програма-кодове'!I16:I21,34)+COUNTIF('Програма-кодове'!I16:I21,35)+COUNTIF('Програма-кодове'!I16:I21,36)+COUNTIF('Програма-кодове'!I16:I21,37)+COUNTIF('Програма-кодове'!I16:I21,38)+COUNTIF('Програма-кодове'!I16:I21,39)+COUNTIF('Програма-кодове'!I16:I21,40)+COUNTIF('Програма-кодове'!I16:I21,41)+COUNTIF('Програма-кодове'!I16:I21,42)+COUNTIF('Програма-кодове'!I16:I21,43)+COUNTIF('Програма-кодове'!I16:I21,44)+COUNTIF('Програма-кодове'!I16:I21,"34*")+COUNTIF('Програма-кодове'!I16:I21,"35*")+COUNTIF('Програма-кодове'!I16:I21,"41*")+COUNTIF('Програма-кодове'!I16:I21,"43*")</f>
        <v>0</v>
      </c>
      <c r="I48" s="152">
        <f>COUNTIF('Програма-кодове'!J16:J21,33)+COUNTIF('Програма-кодове'!J16:J21,34)+COUNTIF('Програма-кодове'!J16:J21,35)+COUNTIF('Програма-кодове'!J16:J21,36)+COUNTIF('Програма-кодове'!J16:J21,37)+COUNTIF('Програма-кодове'!J16:J21,38)+COUNTIF('Програма-кодове'!J16:J21,39)+COUNTIF('Програма-кодове'!J16:J21,40)+COUNTIF('Програма-кодове'!J16:J21,41)+COUNTIF('Програма-кодове'!J16:J21,42)+COUNTIF('Програма-кодове'!J16:J21,43)+COUNTIF('Програма-кодове'!J16:J21,44)+COUNTIF('Програма-кодове'!J16:J21,"34*")+COUNTIF('Програма-кодове'!J16:J21,"35*")+COUNTIF('Програма-кодове'!J16:J21,"41*")+COUNTIF('Програма-кодове'!J16:J21,"43*")</f>
        <v>0</v>
      </c>
      <c r="J48" s="152">
        <f>COUNTIF('Програма-кодове'!K16:K21,33)+COUNTIF('Програма-кодове'!K16:K21,34)+COUNTIF('Програма-кодове'!K16:K21,35)+COUNTIF('Програма-кодове'!K16:K21,36)+COUNTIF('Програма-кодове'!K16:K21,37)+COUNTIF('Програма-кодове'!K16:K21,38)+COUNTIF('Програма-кодове'!K16:K21,39)+COUNTIF('Програма-кодове'!K16:K21,40)+COUNTIF('Програма-кодове'!K16:K21,41)+COUNTIF('Програма-кодове'!K16:K21,42)+COUNTIF('Програма-кодове'!K16:K21,43)+COUNTIF('Програма-кодове'!K16:K21,44)+COUNTIF('Програма-кодове'!K16:K21,"34*")+COUNTIF('Програма-кодове'!K16:K21,"35*")+COUNTIF('Програма-кодове'!K16:K21,"41*")+COUNTIF('Програма-кодове'!K16:K21,"43*")+COUNTIF('Програма-кодове'!K16:K21,50)</f>
        <v>3</v>
      </c>
      <c r="K48" s="152">
        <f>COUNTIF('Програма-кодове'!L16:L21,33)+COUNTIF('Програма-кодове'!L16:L21,34)+COUNTIF('Програма-кодове'!L16:L21,35)+COUNTIF('Програма-кодове'!L16:L21,36)+COUNTIF('Програма-кодове'!L16:L21,37)+COUNTIF('Програма-кодове'!L16:L21,38)+COUNTIF('Програма-кодове'!L16:L21,39)+COUNTIF('Програма-кодове'!L16:L21,40)+COUNTIF('Програма-кодове'!L16:L21,41)+COUNTIF('Програма-кодове'!L16:L21,42)+COUNTIF('Програма-кодове'!L16:L21,43)+COUNTIF('Програма-кодове'!L16:L21,44)+COUNTIF('Програма-кодове'!L16:L21,"34*")+COUNTIF('Програма-кодове'!L16:L21,"35*")+COUNTIF('Програма-кодове'!L16:L21,"41*")+COUNTIF('Програма-кодове'!L16:L21,"43*")+COUNTIF('Програма-кодове'!L16:L21,50)</f>
        <v>2</v>
      </c>
      <c r="L48" s="152">
        <f>COUNTIF('Програма-кодове'!M16:M21,33)+COUNTIF('Програма-кодове'!M16:M21,34)+COUNTIF('Програма-кодове'!M16:M21,35)+COUNTIF('Програма-кодове'!M16:M21,36)+COUNTIF('Програма-кодове'!M16:M21,37)+COUNTIF('Програма-кодове'!M16:M21,38)+COUNTIF('Програма-кодове'!M16:M21,39)+COUNTIF('Програма-кодове'!M16:M21,40)+COUNTIF('Програма-кодове'!M16:M21,41)+COUNTIF('Програма-кодове'!M16:M21,42)+COUNTIF('Програма-кодове'!M16:M21,43)+COUNTIF('Програма-кодове'!M16:M21,44)+COUNTIF('Програма-кодове'!M16:M21,"34*")+COUNTIF('Програма-кодове'!M16:M21,"35*")+COUNTIF('Програма-кодове'!M16:M21,"41*")+COUNTIF('Програма-кодове'!M16:M21,"43*")+COUNTIF('Програма-кодове'!M16:M21,50)</f>
        <v>3</v>
      </c>
      <c r="M48" s="152">
        <f>COUNTIF('Програма-кодове'!N16:N21,33)+COUNTIF('Програма-кодове'!N16:N21,34)+COUNTIF('Програма-кодове'!N16:N21,35)+COUNTIF('Програма-кодове'!N16:N21,36)+COUNTIF('Програма-кодове'!N16:N21,37)+COUNTIF('Програма-кодове'!N16:N21,38)+COUNTIF('Програма-кодове'!N16:N21,39)+COUNTIF('Програма-кодове'!N16:N21,40)+COUNTIF('Програма-кодове'!N16:N21,41)+COUNTIF('Програма-кодове'!N16:N21,42)+COUNTIF('Програма-кодове'!N16:N21,43)+COUNTIF('Програма-кодове'!N16:N21,44)+COUNTIF('Програма-кодове'!N16:N21,"34*")+COUNTIF('Програма-кодове'!N16:N21,"35*")+COUNTIF('Програма-кодове'!N16:N21,"41*")+COUNTIF('Програма-кодове'!N16:N21,"43*")+COUNTIF('Програма-кодове'!N16:N21,50)</f>
        <v>3</v>
      </c>
      <c r="N48" s="152">
        <f>COUNTIF('Програма-кодове'!O16:O21,33)+COUNTIF('Програма-кодове'!O16:O21,34)+COUNTIF('Програма-кодове'!O16:O21,35)+COUNTIF('Програма-кодове'!O16:O21,36)+COUNTIF('Програма-кодове'!O16:O21,37)+COUNTIF('Програма-кодове'!O16:O21,38)+COUNTIF('Програма-кодове'!O16:O21,39)+COUNTIF('Програма-кодове'!O16:O21,40)+COUNTIF('Програма-кодове'!O16:O21,41)+COUNTIF('Програма-кодове'!O16:O21,42)+COUNTIF('Програма-кодове'!O16:O21,43)+COUNTIF('Програма-кодове'!O16:O21,44)+COUNTIF('Програма-кодове'!O16:O21,"34*")+COUNTIF('Програма-кодове'!O16:O21,"35*")+COUNTIF('Програма-кодове'!O16:O21,"41*")+COUNTIF('Програма-кодове'!O16:O21,"43*")+COUNTIF('Програма-кодове'!O16:O21,50)</f>
        <v>3</v>
      </c>
      <c r="O48" s="152">
        <f>COUNTIF('Програма-кодове'!P16:P21,33)+COUNTIF('Програма-кодове'!P16:P21,34)+COUNTIF('Програма-кодове'!P16:P21,35)+COUNTIF('Програма-кодове'!P16:P21,36)+COUNTIF('Програма-кодове'!P16:P21,37)+COUNTIF('Програма-кодове'!P16:P21,38)+COUNTIF('Програма-кодове'!P16:P21,39)+COUNTIF('Програма-кодове'!P16:P21,40)+COUNTIF('Програма-кодове'!P16:P21,41)+COUNTIF('Програма-кодове'!P16:P21,42)+COUNTIF('Програма-кодове'!P16:P21,43)+COUNTIF('Програма-кодове'!P16:P21,44)+COUNTIF('Програма-кодове'!P16:P21,"33*")+COUNTIF('Програма-кодове'!P16:P21,"34*")+COUNTIF('Програма-кодове'!P16:P21,"35*")+COUNTIF('Програма-кодове'!P16:P21,"41*")+COUNTIF('Програма-кодове'!P16:P21,"43*")</f>
        <v>3</v>
      </c>
      <c r="P48" s="152">
        <f>COUNTIF('Програма-кодове'!Q16:Q21,33)+COUNTIF('Програма-кодове'!Q16:Q21,34)+COUNTIF('Програма-кодове'!Q16:Q21,35)+COUNTIF('Програма-кодове'!Q16:Q21,36)+COUNTIF('Програма-кодове'!Q16:Q21,37)+COUNTIF('Програма-кодове'!Q16:Q21,38)+COUNTIF('Програма-кодове'!Q16:Q21,39)+COUNTIF('Програма-кодове'!Q16:Q21,40)+COUNTIF('Програма-кодове'!Q16:Q21,41)+COUNTIF('Програма-кодове'!Q16:Q21,42)+COUNTIF('Програма-кодове'!Q16:Q21,43)+COUNTIF('Програма-кодове'!Q16:Q21,44)+COUNTIF('Програма-кодове'!Q16:Q21,"34*")+COUNTIF('Програма-кодове'!Q16:Q21,"35*")+COUNTIF('Програма-кодове'!Q16:Q21,"41*")+COUNTIF('Програма-кодове'!Q16:Q21,"43*")</f>
        <v>2</v>
      </c>
      <c r="Q48" s="152">
        <f>COUNTIF('Програма-кодове'!R16:R21,33)+COUNTIF('Програма-кодове'!R16:R21,34)+COUNTIF('Програма-кодове'!R16:R21,35)+COUNTIF('Програма-кодове'!R16:R21,36)+COUNTIF('Програма-кодове'!R16:R21,37)+COUNTIF('Програма-кодове'!R16:R21,38)+COUNTIF('Програма-кодове'!R16:R21,39)+COUNTIF('Програма-кодове'!R16:R21,40)+COUNTIF('Програма-кодове'!R16:R21,41)+COUNTIF('Програма-кодове'!R16:R21,42)+COUNTIF('Програма-кодове'!R16:R21,43)+COUNTIF('Програма-кодове'!R16:R21,44)+COUNTIF('Програма-кодове'!R16:R21,"34*")+COUNTIF('Програма-кодове'!R16:R21,"35*#")+COUNTIF('Програма-кодове'!R16:R21,"41*")+COUNTIF('Програма-кодове'!R16:R21,"43*")</f>
        <v>1</v>
      </c>
      <c r="R48" s="152">
        <f>COUNTIF('Програма-кодове'!S16:S21,33)+COUNTIF('Програма-кодове'!S16:S21,34)+COUNTIF('Програма-кодове'!S16:S21,35)+COUNTIF('Програма-кодове'!S16:S21,36)+COUNTIF('Програма-кодове'!S16:S21,37)+COUNTIF('Програма-кодове'!S16:S21,38)+COUNTIF('Програма-кодове'!S16:S21,39)+COUNTIF('Програма-кодове'!S16:S21,40)+COUNTIF('Програма-кодове'!S16:S21,41)+COUNTIF('Програма-кодове'!S16:S21,42)+COUNTIF('Програма-кодове'!S16:S21,43)+COUNTIF('Програма-кодове'!S16:S21,44)+COUNTIF('Програма-кодове'!S16:S21,"34*")+COUNTIF('Програма-кодове'!S16:S21,"35*")+COUNTIF('Програма-кодове'!S16:S21,"41*")+COUNTIF('Програма-кодове'!S16:S21,"43*")</f>
        <v>4</v>
      </c>
      <c r="S48" s="152">
        <f>COUNTIF('Програма-кодове'!T16:T21,33)+COUNTIF('Програма-кодове'!T16:T21,34)+COUNTIF('Програма-кодове'!T16:T21,35)+COUNTIF('Програма-кодове'!T16:T21,36)+COUNTIF('Програма-кодове'!T16:T21,37)+COUNTIF('Програма-кодове'!T16:T21,38)+COUNTIF('Програма-кодове'!T16:T21,39)+COUNTIF('Програма-кодове'!T16:T21,40)+COUNTIF('Програма-кодове'!T16:T21,41)+COUNTIF('Програма-кодове'!T16:T21,42)+COUNTIF('Програма-кодове'!T16:T21,43)+COUNTIF('Програма-кодове'!T16:T21,44)+COUNTIF('Програма-кодове'!T16:T21,"34*")+COUNTIF('Програма-кодове'!T16:T21,"35*")+COUNTIF('Програма-кодове'!T16:T21,"41*")+COUNTIF('Програма-кодове'!T16:T21,"43*")</f>
        <v>3</v>
      </c>
      <c r="T48" s="152">
        <f>COUNTIF('Програма-кодове'!U16:U21,33)+COUNTIF('Програма-кодове'!U16:U21,34)+COUNTIF('Програма-кодове'!U16:U21,35)+COUNTIF('Програма-кодове'!U16:U21,36)+COUNTIF('Програма-кодове'!U16:U21,37)+COUNTIF('Програма-кодове'!U16:U21,38)+COUNTIF('Програма-кодове'!U16:U21,39)+COUNTIF('Програма-кодове'!U16:U21,40)+COUNTIF('Програма-кодове'!U16:U21,41)+COUNTIF('Програма-кодове'!U16:U21,42)+COUNTIF('Програма-кодове'!U16:U21,43)+COUNTIF('Програма-кодове'!U16:U21,44)+COUNTIF('Програма-кодове'!U16:U21,"34*")+COUNTIF('Програма-кодове'!U16:U21,"35*")+COUNTIF('Програма-кодове'!U16:U21,"41*")+COUNTIF('Програма-кодове'!U16:U21,"43*")</f>
        <v>2</v>
      </c>
      <c r="U48" s="152">
        <f>COUNTIF('Програма-кодове'!V16:V21,33)+COUNTIF('Програма-кодове'!V16:V21,34)+COUNTIF('Програма-кодове'!V16:V21,35)+COUNTIF('Програма-кодове'!V16:V21,36)+COUNTIF('Програма-кодове'!V16:V21,37)+COUNTIF('Програма-кодове'!V16:V21,38)+COUNTIF('Програма-кодове'!V16:V21,39)+COUNTIF('Програма-кодове'!V16:V21,40)+COUNTIF('Програма-кодове'!V16:V21,41)+COUNTIF('Програма-кодове'!V16:V21,42)+COUNTIF('Програма-кодове'!V16:V21,43)+COUNTIF('Програма-кодове'!V16:V21,44)+COUNTIF('Програма-кодове'!V16:V21,"34*")+COUNTIF('Програма-кодове'!V16:V21,"35*")+COUNTIF('Програма-кодове'!V16:V21,"41*")+COUNTIF('Програма-кодове'!V16:V21,"43*")</f>
        <v>2</v>
      </c>
      <c r="V48" s="152">
        <f>COUNTIF('Програма-кодове'!W16:W21,33)+COUNTIF('Програма-кодове'!W16:W21,34)+COUNTIF('Програма-кодове'!W16:W21,35)+COUNTIF('Програма-кодове'!W16:W21,36)+COUNTIF('Програма-кодове'!W16:W21,37)+COUNTIF('Програма-кодове'!W16:W21,38)+COUNTIF('Програма-кодове'!W16:W21,39)+COUNTIF('Програма-кодове'!W16:W21,40)+COUNTIF('Програма-кодове'!W16:W21,41)+COUNTIF('Програма-кодове'!W16:W21,42)+COUNTIF('Програма-кодове'!W16:W21,43)+COUNTIF('Програма-кодове'!W16:W21,44)+COUNTIF('Програма-кодове'!W16:W21,"34*")+COUNTIF('Програма-кодове'!W16:W21,"35*")+COUNTIF('Програма-кодове'!W16:W21,"41*")+COUNTIF('Програма-кодове'!W16:W21,"43*")</f>
        <v>2</v>
      </c>
      <c r="W48" s="152">
        <f>COUNTIF('Програма-кодове'!X16:X21,33)+COUNTIF('Програма-кодове'!X16:X21,34)+COUNTIF('Програма-кодове'!X16:X21,35)+COUNTIF('Програма-кодове'!X16:X21,36)+COUNTIF('Програма-кодове'!X16:X21,37)+COUNTIF('Програма-кодове'!X16:X21,38)+COUNTIF('Програма-кодове'!X16:X21,39)+COUNTIF('Програма-кодове'!X16:X21,40)+COUNTIF('Програма-кодове'!X16:X21,41)+COUNTIF('Програма-кодове'!X16:X21,42)+COUNTIF('Програма-кодове'!X16:X21,43)+COUNTIF('Програма-кодове'!X16:X21,44)+COUNTIF('Програма-кодове'!X16:X21,"34*")+COUNTIF('Програма-кодове'!X16:X21,"35*")+COUNTIF('Програма-кодове'!X16:X21,"41*")+COUNTIF('Програма-кодове'!X16:X21,"43*")</f>
        <v>2</v>
      </c>
      <c r="X48" s="152">
        <f>COUNTIF('Програма-кодове'!Y16:Y21,33)+COUNTIF('Програма-кодове'!Y16:Y21,34)+COUNTIF('Програма-кодове'!Y16:Y21,35)+COUNTIF('Програма-кодове'!Y16:Y21,36)+COUNTIF('Програма-кодове'!Y16:Y21,37)+COUNTIF('Програма-кодове'!Y16:Y21,38)+COUNTIF('Програма-кодове'!Y16:Y21,39)+COUNTIF('Програма-кодове'!Y16:Y21,40)+COUNTIF('Програма-кодове'!Y16:Y21,41)+COUNTIF('Програма-кодове'!Y16:Y21,42)+COUNTIF('Програма-кодове'!Y16:Y21,43)+COUNTIF('Програма-кодове'!Y16:Y21,44)+COUNTIF('Програма-кодове'!Y16:Y21,"34*")+COUNTIF('Програма-кодове'!Y16:Y21,"35*")+COUNTIF('Програма-кодове'!Y16:Y21,"41*")+COUNTIF('Програма-кодове'!Y16:Y21,"43*")</f>
        <v>4</v>
      </c>
      <c r="Y48" s="152">
        <f>COUNTIF('Програма-кодове'!Z16:Z21,33)+COUNTIF('Програма-кодове'!Z16:Z21,34)+COUNTIF('Програма-кодове'!Z16:Z21,35)+COUNTIF('Програма-кодове'!Z16:Z21,36)+COUNTIF('Програма-кодове'!Z16:Z21,37)+COUNTIF('Програма-кодове'!Z16:Z21,38)+COUNTIF('Програма-кодове'!Z16:Z21,39)+COUNTIF('Програма-кодове'!Z16:Z21,40)+COUNTIF('Програма-кодове'!Z16:Z21,41)+COUNTIF('Програма-кодове'!Z16:Z21,42)+COUNTIF('Програма-кодове'!Z16:Z21,43)+COUNTIF('Програма-кодове'!Z16:Z21,44)+COUNTIF('Програма-кодове'!Z16:Z21,"34*")+COUNTIF('Програма-кодове'!Z16:Z21,"35*")+COUNTIF('Програма-кодове'!Z16:Z21,"41*")+COUNTIF('Програма-кодове'!Z16:Z21,"33*")+COUNTIF('Програма-кодове'!Z16:Z21,50)</f>
        <v>1</v>
      </c>
      <c r="Z48" s="152">
        <f>COUNTIF('Програма-кодове'!AA16:AA21,33)+COUNTIF('Програма-кодове'!AA16:AA21,34)+COUNTIF('Програма-кодове'!AA16:AA21,35)+COUNTIF('Програма-кодове'!AA16:AA21,36)+COUNTIF('Програма-кодове'!AA16:AA21,37)+COUNTIF('Програма-кодове'!AA16:AA21,38)+COUNTIF('Програма-кодове'!AA16:AA21,39)+COUNTIF('Програма-кодове'!AA16:AA21,40)+COUNTIF('Програма-кодове'!AA16:AA21,41)+COUNTIF('Програма-кодове'!AA16:AA21,42)+COUNTIF('Програма-кодове'!AA16:AA21,43)+COUNTIF('Програма-кодове'!AA16:AA21,44)+COUNTIF('Програма-кодове'!AA16:AA21,"34*")+COUNTIF('Програма-кодове'!AA16:AA21,"35*")+COUNTIF('Програма-кодове'!AA16:AA21,"41*")+COUNTIF('Програма-кодове'!AA16:AA21,"33*")+COUNTIF('Програма-кодове'!AA16:AA21,50)</f>
        <v>0</v>
      </c>
      <c r="AA48" s="152">
        <f>COUNTIF('Програма-кодове'!AB16:AB21,33)+COUNTIF('Програма-кодове'!AB16:AB21,34)+COUNTIF('Програма-кодове'!AB16:AB21,35)+COUNTIF('Програма-кодове'!AB16:AB21,36)+COUNTIF('Програма-кодове'!AB16:AB21,37)+COUNTIF('Програма-кодове'!AB16:AB21,38)+COUNTIF('Програма-кодове'!AB16:AB21,39)+COUNTIF('Програма-кодове'!AB16:AB21,40)+COUNTIF('Програма-кодове'!AB16:AB21,41)+COUNTIF('Програма-кодове'!AB16:AB21,42)+COUNTIF('Програма-кодове'!AB16:AB21,43)+COUNTIF('Програма-кодове'!AB16:AB21,44)+COUNTIF('Програма-кодове'!AB16:AB21,"34*")+COUNTIF('Програма-кодове'!AB16:AB21,"35*")+COUNTIF('Програма-кодове'!AB16:AB21,"41*")+COUNTIF('Програма-кодове'!AB16:AB21,"33*")+COUNTIF('Програма-кодове'!AB16:AB21,50)+COUNTIF('Програма-кодове'!AB16:AB21,341)</f>
        <v>0</v>
      </c>
      <c r="AB48" s="152">
        <f>COUNTIF('Програма-кодове'!AC16:AC21,33)+COUNTIF('Програма-кодове'!AC16:AC21,34)+COUNTIF('Програма-кодове'!AC16:AC21,35)+COUNTIF('Програма-кодове'!AC16:AC21,36)+COUNTIF('Програма-кодове'!AC16:AC21,37)+COUNTIF('Програма-кодове'!AC16:AC21,38)+COUNTIF('Програма-кодове'!AC16:AC21,39)+COUNTIF('Програма-кодове'!AC16:AC21,40)+COUNTIF('Програма-кодове'!AC16:AC21,41)+COUNTIF('Програма-кодове'!AC16:AC21,42)+COUNTIF('Програма-кодове'!AC16:AC21,43)+COUNTIF('Програма-кодове'!AC16:AC21,44)+COUNTIF('Програма-кодове'!AC16:AC21,"34*")+COUNTIF('Програма-кодове'!AC16:AC21,"35*")+COUNTIF('Програма-кодове'!AC16:AC21,"41*")+COUNTIF('Програма-кодове'!AC16:AC21,"33*")+COUNTIF('Програма-кодове'!AC16:AC21,50)</f>
        <v>0</v>
      </c>
      <c r="AC48" s="152">
        <f>COUNTIF('Програма-кодове'!AD16:AD21,33)+COUNTIF('Програма-кодове'!AD16:AD21,34)+COUNTIF('Програма-кодове'!AD16:AD21,35)+COUNTIF('Програма-кодове'!AD16:AD21,36)+COUNTIF('Програма-кодове'!AD16:AD21,37)+COUNTIF('Програма-кодове'!AD16:AD21,38)+COUNTIF('Програма-кодове'!AD16:AD21,39)+COUNTIF('Програма-кодове'!AD16:AD21,40)+COUNTIF('Програма-кодове'!AD16:AD21,41)+COUNTIF('Програма-кодове'!AD16:AD21,42)+COUNTIF('Програма-кодове'!AD16:AD21,43)+COUNTIF('Програма-кодове'!AD16:AD21,44)+COUNTIF('Програма-кодове'!AD16:AD21,"34*")+COUNTIF('Програма-кодове'!AD16:AD21,"35*")+COUNTIF('Програма-кодове'!AD16:AD21,"41*")+COUNTIF('Програма-кодове'!AD16:AD21,"33*")+COUNTIF('Програма-кодове'!AD16:AD21,50)</f>
        <v>3</v>
      </c>
      <c r="AF48" s="153">
        <f>COUNTIF('Програма-кодове'!C16:C21,45)+COUNTIF('Програма-кодове'!C16:C21,"45*")+COUNTIF('Програма-кодове'!C16:C21,46)+COUNTIF('Програма-кодове'!C16:C21,48)+COUNTIF('Програма-кодове'!C16:C21,49)+(COUNTIF('Програма-кодове'!C16:C21,"29/46")+COUNTIF('Програма-кодове'!C16:C21,"28/46"))/2</f>
        <v>2</v>
      </c>
      <c r="AG48" s="153">
        <f>COUNTIF('Програма-кодове'!D16:D21,45)+COUNTIF('Програма-кодове'!D16:D21,"45*")+COUNTIF('Програма-кодове'!D16:D21,46)+COUNTIF('Програма-кодове'!D16:D21,47)+COUNTIF('Програма-кодове'!D16:D21,48)+COUNTIF('Програма-кодове'!D16:D21,49)+(COUNTIF('Програма-кодове'!D16:D21,"25/46")+COUNTIF('Програма-кодове'!D16:D21,"31/46"))/2</f>
        <v>2</v>
      </c>
      <c r="AH48" s="153">
        <f>COUNTIF('Програма-кодове'!E16:E21,45)+COUNTIF('Програма-кодове'!E16:E21,"45*")+COUNTIF('Програма-кодове'!E16:E21,46)+COUNTIF('Програма-кодове'!E16:E21,47)+COUNTIF('Програма-кодове'!E16:E21,48)+COUNTIF('Програма-кодове'!E16:E21,49)+(COUNTIF('Програма-кодове'!E16:E21,"31/46")+COUNTIF('Програма-кодове'!E16:E21,"25/46"))/2</f>
        <v>1</v>
      </c>
      <c r="AI48" s="152">
        <f>COUNTIF('Програма-кодове'!F16:F21,45)+COUNTIF('Програма-кодове'!F16:F21,46)+COUNTIF('Програма-кодове'!F16:F21,47)+COUNTIF('Програма-кодове'!F16:F21,48)+COUNTIF('Програма-кодове'!F16:F21,49)+COUNTIF('Програма-кодове'!F16:F21,"45*")</f>
        <v>1</v>
      </c>
      <c r="AJ48" s="152">
        <f>COUNTIF('Програма-кодове'!G16:G21,45)+COUNTIF('Програма-кодове'!G16:G21,46)+COUNTIF('Програма-кодове'!G16:G21,47)+COUNTIF('Програма-кодове'!G16:G21,48)+COUNTIF('Програма-кодове'!G16:G21,49)+COUNTIF('Програма-кодове'!G16:G21,"45*")</f>
        <v>1</v>
      </c>
      <c r="AK48" s="152">
        <f>COUNTIF('Програма-кодове'!H16:H21,45)+COUNTIF('Програма-кодове'!H16:H21,46)+COUNTIF('Програма-кодове'!H16:H21,47)+COUNTIF('Програма-кодове'!H16:H21,48)+COUNTIF('Програма-кодове'!H16:H21,49)+COUNTIF('Програма-кодове'!H16:H21,"45*")</f>
        <v>0</v>
      </c>
      <c r="AL48" s="152">
        <f>COUNTIF('Програма-кодове'!I16:I21,45)+COUNTIF('Програма-кодове'!I16:I21,46)+COUNTIF('Програма-кодове'!I16:I21,47)+COUNTIF('Програма-кодове'!I16:I21,48)+COUNTIF('Програма-кодове'!I16:I21,49)</f>
        <v>0</v>
      </c>
      <c r="AM48" s="152">
        <f>COUNTIF('Програма-кодове'!J16:J21,45)+COUNTIF('Програма-кодове'!J16:J21,46)+COUNTIF('Програма-кодове'!J16:J21,47)+COUNTIF('Програма-кодове'!J16:J21,48)+COUNTIF('Програма-кодове'!J16:J21,49)</f>
        <v>1</v>
      </c>
      <c r="AN48" s="152">
        <f>COUNTIF('Програма-кодове'!K16:K21,45)+COUNTIF('Програма-кодове'!K16:K21,46)+COUNTIF('Програма-кодове'!K16:K21,47)+COUNTIF('Програма-кодове'!K16:K21,48)+COUNTIF('Програма-кодове'!K16:K21,49)</f>
        <v>1</v>
      </c>
      <c r="AO48" s="152">
        <f>COUNTIF('Програма-кодове'!L16:L21,45)+COUNTIF('Програма-кодове'!L16:L21,46)+COUNTIF('Програма-кодове'!L16:L21,47)+COUNTIF('Програма-кодове'!L16:L21,48)+COUNTIF('Програма-кодове'!L16:L21,49)</f>
        <v>0</v>
      </c>
      <c r="AP48" s="152">
        <f>COUNTIF('Програма-кодове'!M16:M21,45)+COUNTIF('Програма-кодове'!M16:M21,"45*")+COUNTIF('Програма-кодове'!M16:M21,46)+COUNTIF('Програма-кодове'!M16:M21,47)+COUNTIF('Програма-кодове'!M16:M21,48)+COUNTIF('Програма-кодове'!M16:M21,49)</f>
        <v>0</v>
      </c>
      <c r="AQ48" s="152">
        <f>COUNTIF('Програма-кодове'!N16:N21,45)+COUNTIF('Програма-кодове'!N16:N21,"45*")+COUNTIF('Програма-кодове'!N16:N21,46)+COUNTIF('Програма-кодове'!N16:N21,47)+COUNTIF('Програма-кодове'!N16:N21,48)+COUNTIF('Програма-кодове'!N16:N21,49)</f>
        <v>1</v>
      </c>
      <c r="AR48" s="152">
        <f>COUNTIF('Програма-кодове'!O16:O21,45)+COUNTIF('Програма-кодове'!O16:O21,"45*")+COUNTIF('Програма-кодове'!O16:O21,46)+COUNTIF('Програма-кодове'!O16:O21,47)+COUNTIF('Програма-кодове'!O16:O21,48)+COUNTIF('Програма-кодове'!O16:O21,49)</f>
        <v>1</v>
      </c>
      <c r="AS48" s="152">
        <f>COUNTIF('Програма-кодове'!P16:P21,45)+COUNTIF('Програма-кодове'!P16:P21,46)+COUNTIF('Програма-кодове'!P16:P21,47)+COUNTIF('Програма-кодове'!P16:P21,48)+COUNTIF('Програма-кодове'!P16:P21,49)</f>
        <v>0</v>
      </c>
      <c r="AT48" s="152">
        <f>COUNTIF('Програма-кодове'!Q16:Q21,45)+COUNTIF('Програма-кодове'!Q16:Q21,46)+COUNTIF('Програма-кодове'!Q16:Q21,47)+COUNTIF('Програма-кодове'!Q16:Q21,48)+COUNTIF('Програма-кодове'!Q16:Q21,49)</f>
        <v>0</v>
      </c>
      <c r="AU48" s="152">
        <f>COUNTIF('Програма-кодове'!R16:R21,45)+COUNTIF('Програма-кодове'!R16:R21,"45*")+COUNTIF('Програма-кодове'!R16:R21,46)+COUNTIF('Програма-кодове'!R16:R21,47)+COUNTIF('Програма-кодове'!R16:R21,48)+COUNTIF('Програма-кодове'!R16:R21,49)</f>
        <v>1</v>
      </c>
      <c r="AV48" s="152">
        <f>COUNTIF('Програма-кодове'!S16:S21,45)+COUNTIF('Програма-кодове'!S16:S21,"45*")+COUNTIF('Програма-кодове'!S16:S21,46)+COUNTIF('Програма-кодове'!S16:S21,47)+COUNTIF('Програма-кодове'!S16:S21,48)+COUNTIF('Програма-кодове'!S16:S21,49)</f>
        <v>0</v>
      </c>
      <c r="AW48" s="152">
        <f>COUNTIF('Програма-кодове'!T16:T21,45)+COUNTIF('Програма-кодове'!T16:T21,"45*")+COUNTIF('Програма-кодове'!T16:T21,46)+COUNTIF('Програма-кодове'!T16:T21,47)+COUNTIF('Програма-кодове'!T16:T21,48)+COUNTIF('Програма-кодове'!T16:T21,49)</f>
        <v>0</v>
      </c>
      <c r="AX48" s="152">
        <f>COUNTIF('Програма-кодове'!U16:U21,"45*")+COUNTIF('Програма-кодове'!U16:U21,46)+COUNTIF('Програма-кодове'!U16:U21,47)+COUNTIF('Програма-кодове'!U16:U21,48)+COUNTIF('Програма-кодове'!U16:U22,49)</f>
        <v>0</v>
      </c>
      <c r="AY48" s="152">
        <f>COUNTIF('Програма-кодове'!V16:V21,"45*")+COUNTIF('Програма-кодове'!V16:V21,46)+COUNTIF('Програма-кодове'!V16:V21,47)+COUNTIF('Програма-кодове'!V16:V21,48)+COUNTIF('Програма-кодове'!V16:V21,49)</f>
        <v>1</v>
      </c>
      <c r="AZ48" s="152">
        <f>COUNTIF('Програма-кодове'!W16:W21,"45*")+COUNTIF('Програма-кодове'!W16:W21,46)+COUNTIF('Програма-кодове'!W16:W21,47)+COUNTIF('Програма-кодове'!W16:W21,48)+COUNTIF('Програма-кодове'!W16:W21,49)</f>
        <v>1</v>
      </c>
      <c r="BA48" s="152">
        <f>COUNTIF('Програма-кодове'!X16:X21,45)+COUNTIF('Програма-кодове'!X16:X21,46)+COUNTIF('Програма-кодове'!X16:X21,47)+COUNTIF('Програма-кодове'!X16:X21,48)+COUNTIF('Програма-кодове'!X16:X21,49)</f>
        <v>1</v>
      </c>
      <c r="BB48" s="152">
        <f>COUNTIF('Програма-кодове'!Y16:Y21,45)+COUNTIF('Програма-кодове'!Y16:Y21,46)+COUNTIF('Програма-кодове'!Y16:Y21,47)+COUNTIF('Програма-кодове'!Y16:Y21,48)+COUNTIF('Програма-кодове'!Y16:Y21,49)</f>
        <v>0</v>
      </c>
      <c r="BC48" s="152">
        <f>COUNTIF('Програма-кодове'!Z16:Z21,"45*")+COUNTIF('Програма-кодове'!Z16:Z21,46)+COUNTIF('Програма-кодове'!Z16:Z21,47)+COUNTIF('Програма-кодове'!Z16:Z21,48)+COUNTIF('Програма-кодове'!Z16:Z21,49)</f>
        <v>1</v>
      </c>
      <c r="BD48" s="152">
        <f>COUNTIF('Програма-кодове'!AA16:AA21,"45*")+COUNTIF('Програма-кодове'!AA16:AA21,46)+COUNTIF('Програма-кодове'!AA16:AA21,47)+COUNTIF('Програма-кодове'!AA16:AA21,48)+COUNTIF('Програма-кодове'!AA16:AA21,49)</f>
        <v>1</v>
      </c>
      <c r="BE48" s="152">
        <f>COUNTIF('Програма-кодове'!AB16:AB21,45)+COUNTIF('Програма-кодове'!AB16:AB21,46)+COUNTIF('Програма-кодове'!AB16:AB21,47)+COUNTIF('Програма-кодове'!AB16:AB21,48)+COUNTIF('Програма-кодове'!AB16:AB21,49)</f>
        <v>0</v>
      </c>
      <c r="BF48" s="152">
        <f>COUNTIF('Програма-кодове'!AC16:AC21,45)+COUNTIF('Програма-кодове'!AC16:AC21,46)+COUNTIF('Програма-кодове'!AC16:AC21,47)+COUNTIF('Програма-кодове'!AC16:AC21,48)+COUNTIF('Програма-кодове'!AC16:AC21,49)</f>
        <v>0</v>
      </c>
      <c r="BG48" s="152">
        <f>COUNTIF('Програма-кодове'!AD16:AD21,45)+COUNTIF('Програма-кодове'!AD16:AD21,46)+COUNTIF('Програма-кодове'!AD16:AD21,47)+COUNTIF('Програма-кодове'!AD16:AD21,48)+COUNTIF('Програма-кодове'!AD16:AD21,49)</f>
        <v>1</v>
      </c>
    </row>
    <row r="49" spans="1:59">
      <c r="A49" s="150" t="s">
        <v>127</v>
      </c>
      <c r="B49" s="152">
        <f>COUNTIF('Програма-кодове'!C23:C29,33)+COUNTIF('Програма-кодове'!C23:C29,34)+COUNTIF('Програма-кодове'!C23:C29,35)+COUNTIF('Програма-кодове'!C23:C29,36)+COUNTIF('Програма-кодове'!C23:C29,37)+COUNTIF('Програма-кодове'!C23:C29,38)+COUNTIF('Програма-кодове'!C23:C29,39)+COUNTIF('Програма-кодове'!C23:C29,40)+COUNTIF('Програма-кодове'!C23:C29,41)+COUNTIF('Програма-кодове'!C23:C29,42)+COUNTIF('Програма-кодове'!C23:C29,43)+COUNTIF('Програма-кодове'!C23:C29,44)+COUNTIF('Програма-кодове'!C23:C29,"34*")+COUNTIF('Програма-кодове'!C23:C29,"35*")+COUNTIF('Програма-кодове'!C23:C29,"41*")+COUNTIF('Програма-кодове'!C23:C29,"43*")</f>
        <v>2</v>
      </c>
      <c r="C49" s="152">
        <f>COUNTIF('Програма-кодове'!D23:D29,33)+COUNTIF('Програма-кодове'!D23:D29,34)+COUNTIF('Програма-кодове'!D23:D29,35)+COUNTIF('Програма-кодове'!D23:D29,36)+COUNTIF('Програма-кодове'!D23:D29,37)+COUNTIF('Програма-кодове'!D23:D29,38)+COUNTIF('Програма-кодове'!D23:D29,39)+COUNTIF('Програма-кодове'!D23:D29,40)+COUNTIF('Програма-кодове'!D23:D29,41)+COUNTIF('Програма-кодове'!D23:D29,42)+COUNTIF('Програма-кодове'!D23:D29,43)+COUNTIF('Програма-кодове'!D23:D29,44)+COUNTIF('Програма-кодове'!D23:D29,"34*")+COUNTIF('Програма-кодове'!D23:D29,"35*")+COUNTIF('Програма-кодове'!D23:D29,"41*")+COUNTIF('Програма-кодове'!D23:D29,"43*")</f>
        <v>1</v>
      </c>
      <c r="D49" s="152">
        <f>COUNTIF('Програма-кодове'!E23:E29,33)+COUNTIF('Програма-кодове'!E23:E29,34)+COUNTIF('Програма-кодове'!E23:E29,35)+COUNTIF('Програма-кодове'!E23:E29,36)+COUNTIF('Програма-кодове'!E23:E29,37)+COUNTIF('Програма-кодове'!E23:E29,38)+COUNTIF('Програма-кодове'!E23:E29,39)+COUNTIF('Програма-кодове'!E23:E29,40)+COUNTIF('Програма-кодове'!E23:E29,41)+COUNTIF('Програма-кодове'!E23:E29,42)+COUNTIF('Програма-кодове'!E23:E29,43)+COUNTIF('Програма-кодове'!E23:E29,44)+COUNTIF('Програма-кодове'!E23:E29,"34*")+COUNTIF('Програма-кодове'!E23:E29,"35*")+COUNTIF('Програма-кодове'!E23:E29,"41*")+COUNTIF('Програма-кодове'!E23:E29,"43*")</f>
        <v>2</v>
      </c>
      <c r="E49" s="152">
        <f>COUNTIF('Програма-кодове'!F23:F29,33)+COUNTIF('Програма-кодове'!F23:F29,34)+COUNTIF('Програма-кодове'!F23:F29,35)+COUNTIF('Програма-кодове'!F23:F29,36)+COUNTIF('Програма-кодове'!F23:F29,37)+COUNTIF('Програма-кодове'!F23:F29,38)+COUNTIF('Програма-кодове'!F23:F29,39)+COUNTIF('Програма-кодове'!F23:F29,40)+COUNTIF('Програма-кодове'!F23:F29,41)+COUNTIF('Програма-кодове'!F23:F29,42)+COUNTIF('Програма-кодове'!F23:F29,43)+COUNTIF('Програма-кодове'!F23:F29,44)+COUNTIF('Програма-кодове'!F23:F29,"34*")+COUNTIF('Програма-кодове'!F23:F29,"35*")+COUNTIF('Програма-кодове'!F23:F29,"41*")+COUNTIF('Програма-кодове'!F23:F29,"43*")</f>
        <v>0</v>
      </c>
      <c r="F49" s="152">
        <f>COUNTIF('Програма-кодове'!G23:G29,33)+COUNTIF('Програма-кодове'!G23:G29,34)+COUNTIF('Програма-кодове'!G23:G29,35)+COUNTIF('Програма-кодове'!G23:G29,36)+COUNTIF('Програма-кодове'!G23:G29,37)+COUNTIF('Програма-кодове'!G23:G29,38)+COUNTIF('Програма-кодове'!G23:G29,39)+COUNTIF('Програма-кодове'!G23:G29,40)+COUNTIF('Програма-кодове'!G23:G29,41)+COUNTIF('Програма-кодове'!G23:G29,42)+COUNTIF('Програма-кодове'!G23:G29,43)+COUNTIF('Програма-кодове'!G23:G29,44)+COUNTIF('Програма-кодове'!G23:G29,"34*")+COUNTIF('Програма-кодове'!G23:G29,"35*")+COUNTIF('Програма-кодове'!G23:G29,"41*")+COUNTIF('Програма-кодове'!G23:G29,"43*")</f>
        <v>0</v>
      </c>
      <c r="G49" s="152">
        <f>COUNTIF('Програма-кодове'!H23:H29,33)+COUNTIF('Програма-кодове'!H23:H29,34)+COUNTIF('Програма-кодове'!H23:H29,35)+COUNTIF('Програма-кодове'!H23:H29,36)+COUNTIF('Програма-кодове'!H23:H29,37)+COUNTIF('Програма-кодове'!H23:H29,38)+COUNTIF('Програма-кодове'!H23:H29,39)+COUNTIF('Програма-кодове'!H23:H29,40)+COUNTIF('Програма-кодове'!H23:H29,41)+COUNTIF('Програма-кодове'!H23:H29,42)+COUNTIF('Програма-кодове'!H23:H29,43)+COUNTIF('Програма-кодове'!H23:H29,44)+COUNTIF('Програма-кодове'!H23:H29,"34*")+COUNTIF('Програма-кодове'!H23:H29,"35*")+COUNTIF('Програма-кодове'!H23:H29,"41*")+COUNTIF('Програма-кодове'!H23:H29,"43*")</f>
        <v>0</v>
      </c>
      <c r="H49" s="152">
        <f>COUNTIF('Програма-кодове'!I23:I29,33)+COUNTIF('Програма-кодове'!I23:I29,34)+COUNTIF('Програма-кодове'!I23:I29,35)+COUNTIF('Програма-кодове'!I23:I29,36)+COUNTIF('Програма-кодове'!I23:I29,37)+COUNTIF('Програма-кодове'!I23:I29,38)+COUNTIF('Програма-кодове'!I23:I29,39)+COUNTIF('Програма-кодове'!I23:I29,40)+COUNTIF('Програма-кодове'!I23:I29,41)+COUNTIF('Програма-кодове'!I23:I29,42)+COUNTIF('Програма-кодове'!I23:I29,43)+COUNTIF('Програма-кодове'!I23:I29,44)+COUNTIF('Програма-кодове'!I23:I29,"34*")+COUNTIF('Програма-кодове'!I23:I29,"35*")+COUNTIF('Програма-кодове'!I23:I29,"41*")+COUNTIF('Програма-кодове'!I23:I29,"43*")</f>
        <v>0</v>
      </c>
      <c r="I49" s="152">
        <f>COUNTIF('Програма-кодове'!J23:J29,33)+COUNTIF('Програма-кодове'!J23:J29,34)+COUNTIF('Програма-кодове'!J23:J29,35)+COUNTIF('Програма-кодове'!J23:J29,36)+COUNTIF('Програма-кодове'!J23:J29,37)+COUNTIF('Програма-кодове'!J23:J29,38)+COUNTIF('Програма-кодове'!J23:J29,39)+COUNTIF('Програма-кодове'!J23:J29,40)+COUNTIF('Програма-кодове'!J23:J29,41)+COUNTIF('Програма-кодове'!J23:J29,42)+COUNTIF('Програма-кодове'!J23:J29,43)+COUNTIF('Програма-кодове'!J23:J29,44)+COUNTIF('Програма-кодове'!J23:J29,"34*")+COUNTIF('Програма-кодове'!J23:J29,"35*")+COUNTIF('Програма-кодове'!J23:J29,"41*")+COUNTIF('Програма-кодове'!J23:J29,"43*")</f>
        <v>0</v>
      </c>
      <c r="J49" s="152">
        <f>COUNTIF('Програма-кодове'!K23:K28,33)+COUNTIF('Програма-кодове'!K23:K28,34)+COUNTIF('Програма-кодове'!K23:K28,35)+COUNTIF('Програма-кодове'!K23:K28,36)+COUNTIF('Програма-кодове'!K23:K28,37)+COUNTIF('Програма-кодове'!K23:K28,38)+COUNTIF('Програма-кодове'!K23:K28,39)+COUNTIF('Програма-кодове'!K23:K28,40)+COUNTIF('Програма-кодове'!K23:K28,41)+COUNTIF('Програма-кодове'!K23:K28,42)+COUNTIF('Програма-кодове'!K23:K28,43)+COUNTIF('Програма-кодове'!K23:K28,44)+COUNTIF('Програма-кодове'!K23:K28,"34*")+COUNTIF('Програма-кодове'!K23:K28,"35*")+COUNTIF('Програма-кодове'!K23:K28,"41*")+COUNTIF('Програма-кодове'!K23:K28,"43*")+COUNTIF('Програма-кодове'!K23:K28,50)</f>
        <v>2</v>
      </c>
      <c r="K49" s="152">
        <f>COUNTIF('Програма-кодове'!L23:L28,33)+COUNTIF('Програма-кодове'!L23:L28,34)+COUNTIF('Програма-кодове'!L23:L28,35)+COUNTIF('Програма-кодове'!L23:L28,36)+COUNTIF('Програма-кодове'!L23:L28,37)+COUNTIF('Програма-кодове'!L23:L28,38)+COUNTIF('Програма-кодове'!L23:L28,39)+COUNTIF('Програма-кодове'!L23:L28,40)+COUNTIF('Програма-кодове'!L23:L28,41)+COUNTIF('Програма-кодове'!L23:L28,42)+COUNTIF('Програма-кодове'!L23:L28,43)+COUNTIF('Програма-кодове'!L23:L28,44)+COUNTIF('Програма-кодове'!L23:L28,"34*")+COUNTIF('Програма-кодове'!L23:L28,"35*")+COUNTIF('Програма-кодове'!L23:L28,"41*")+COUNTIF('Програма-кодове'!L23:L28,"43*")+COUNTIF('Програма-кодове'!L23:L28,50)</f>
        <v>4</v>
      </c>
      <c r="L49" s="152">
        <f>COUNTIF('Програма-кодове'!M23:M28,33)+COUNTIF('Програма-кодове'!M23:M28,34)+COUNTIF('Програма-кодове'!M23:M28,35)+COUNTIF('Програма-кодове'!M23:M28,36)+COUNTIF('Програма-кодове'!M23:M28,37)+COUNTIF('Програма-кодове'!M23:M28,38)+COUNTIF('Програма-кодове'!M23:M28,39)+COUNTIF('Програма-кодове'!M23:M28,40)+COUNTIF('Програма-кодове'!M23:M28,41)+COUNTIF('Програма-кодове'!M23:M28,42)+COUNTIF('Програма-кодове'!M23:M28,43)+COUNTIF('Програма-кодове'!M23:M28,44)+COUNTIF('Програма-кодове'!M23:M28,"34*")+COUNTIF('Програма-кодове'!M23:M28,"35*")+COUNTIF('Програма-кодове'!M23:M28,"41*")+COUNTIF('Програма-кодове'!M23:M28,"43*")+COUNTIF('Програма-кодове'!M23:M28,50)</f>
        <v>3</v>
      </c>
      <c r="M49" s="152">
        <f>COUNTIF('Програма-кодове'!N23:N28,33)+COUNTIF('Програма-кодове'!N23:N28,34)+COUNTIF('Програма-кодове'!N23:N28,35)+COUNTIF('Програма-кодове'!N23:N28,36)+COUNTIF('Програма-кодове'!N23:N28,37)+COUNTIF('Програма-кодове'!N23:N28,38)+COUNTIF('Програма-кодове'!N23:N28,39)+COUNTIF('Програма-кодове'!N23:N28,40)+COUNTIF('Програма-кодове'!N23:N28,41)+COUNTIF('Програма-кодове'!N23:N28,42)+COUNTIF('Програма-кодове'!N23:N28,43)+COUNTIF('Програма-кодове'!N23:N28,44)+COUNTIF('Програма-кодове'!N23:N28,"34*")+COUNTIF('Програма-кодове'!N23:N28,"35*")+COUNTIF('Програма-кодове'!N23:N28,"41*")+COUNTIF('Програма-кодове'!N23:N28,"43*")+COUNTIF('Програма-кодове'!N23:N28,50)</f>
        <v>3</v>
      </c>
      <c r="N49" s="152">
        <f>COUNTIF('Програма-кодове'!O23:O28,33)+COUNTIF('Програма-кодове'!O23:O28,34)+COUNTIF('Програма-кодове'!O23:O28,35)+COUNTIF('Програма-кодове'!O23:O28,36)+COUNTIF('Програма-кодове'!O23:O28,37)+COUNTIF('Програма-кодове'!O23:O28,38)+COUNTIF('Програма-кодове'!O23:O28,39)+COUNTIF('Програма-кодове'!O23:O28,40)+COUNTIF('Програма-кодове'!O23:O28,41)+COUNTIF('Програма-кодове'!O23:O28,42)+COUNTIF('Програма-кодове'!O23:O28,43)+COUNTIF('Програма-кодове'!O23:O28,44)+COUNTIF('Програма-кодове'!O23:O28,"34*")+COUNTIF('Програма-кодове'!O23:O28,"35*")+COUNTIF('Програма-кодове'!O23:O28,"41*")+COUNTIF('Програма-кодове'!O23:O28,"43*")+COUNTIF('Програма-кодове'!O23:O28,50)</f>
        <v>3</v>
      </c>
      <c r="O49" s="152">
        <f>COUNTIF('Програма-кодове'!P23:P28,33)+COUNTIF('Програма-кодове'!P23:P28,34)+COUNTIF('Програма-кодове'!P23:P28,35)+COUNTIF('Програма-кодове'!P23:P28,36)+COUNTIF('Програма-кодове'!P23:P28,37)+COUNTIF('Програма-кодове'!P23:P28,38)+COUNTIF('Програма-кодове'!P23:P28,39)+COUNTIF('Програма-кодове'!P23:P28,40)+COUNTIF('Програма-кодове'!P23:P28,41)+COUNTIF('Програма-кодове'!P23:P28,42)+COUNTIF('Програма-кодове'!P23:P28,43)+COUNTIF('Програма-кодове'!P23:P28,44)+COUNTIF('Програма-кодове'!P23:P28,"33*")+COUNTIF('Програма-кодове'!P23:P28,"34*")+COUNTIF('Програма-кодове'!P23:P28,"35*")+COUNTIF('Програма-кодове'!P23:P28,"41*")+COUNTIF('Програма-кодове'!P23:P28,"43*")</f>
        <v>2</v>
      </c>
      <c r="P49" s="152">
        <f>COUNTIF('Програма-кодове'!Q23:Q28,33)+COUNTIF('Програма-кодове'!Q23:Q28,34)+COUNTIF('Програма-кодове'!Q23:Q28,35)+COUNTIF('Програма-кодове'!Q23:Q28,36)+COUNTIF('Програма-кодове'!Q23:Q28,37)+COUNTIF('Програма-кодове'!Q23:Q28,38)+COUNTIF('Програма-кодове'!Q23:Q28,39)+COUNTIF('Програма-кодове'!Q23:Q28,40)+COUNTIF('Програма-кодове'!Q23:Q28,41)+COUNTIF('Програма-кодове'!Q23:Q28,42)+COUNTIF('Програма-кодове'!Q23:Q28,43)+COUNTIF('Програма-кодове'!Q23:Q28,44)+COUNTIF('Програма-кодове'!Q23:Q28,"34*")+COUNTIF('Програма-кодове'!Q23:Q28,"35*")+COUNTIF('Програма-кодове'!Q23:Q28,"41*")+COUNTIF('Програма-кодове'!Q23:Q28,"43*")</f>
        <v>2</v>
      </c>
      <c r="Q49" s="152">
        <f>COUNTIF('Програма-кодове'!R23:R28,33)+COUNTIF('Програма-кодове'!R23:R28,34)+COUNTIF('Програма-кодове'!R23:R28,35)+COUNTIF('Програма-кодове'!R23:R28,36)+COUNTIF('Програма-кодове'!R23:R28,37)+COUNTIF('Програма-кодове'!R23:R28,38)+COUNTIF('Програма-кодове'!R23:R28,39)+COUNTIF('Програма-кодове'!R23:R28,40)+COUNTIF('Програма-кодове'!R23:R28,41)+COUNTIF('Програма-кодове'!R23:R28,42)+COUNTIF('Програма-кодове'!R23:R28,43)+COUNTIF('Програма-кодове'!R23:R28,44)+COUNTIF('Програма-кодове'!R23:R28,"34*")+COUNTIF('Програма-кодове'!R23:R28,"35*")+COUNTIF('Програма-кодове'!R23:R28,"41*")+COUNTIF('Програма-кодове'!R23:R28,"43*")</f>
        <v>2</v>
      </c>
      <c r="R49" s="152">
        <f>COUNTIF('Програма-кодове'!S23:S28,33)+COUNTIF('Програма-кодове'!S23:S28,34)+COUNTIF('Програма-кодове'!S23:S28,35)+COUNTIF('Програма-кодове'!S23:S28,36)+COUNTIF('Програма-кодове'!S23:S28,37)+COUNTIF('Програма-кодове'!S23:S28,38)+COUNTIF('Програма-кодове'!S23:S28,39)+COUNTIF('Програма-кодове'!S23:S28,40)+COUNTIF('Програма-кодове'!S23:S28,41)+COUNTIF('Програма-кодове'!S23:S28,42)+COUNTIF('Програма-кодове'!S23:S28,43)+COUNTIF('Програма-кодове'!S23:S28,44)+COUNTIF('Програма-кодове'!S23:S28,"34*")+COUNTIF('Програма-кодове'!S23:S28,"35*")+COUNTIF('Програма-кодове'!S23:S28,"41*")+COUNTIF('Програма-кодове'!S23:S28,"43*")</f>
        <v>1</v>
      </c>
      <c r="S49" s="152">
        <f>COUNTIF('Програма-кодове'!T23:T28,33)+COUNTIF('Програма-кодове'!T23:T28,34)+COUNTIF('Програма-кодове'!T23:T28,35)+COUNTIF('Програма-кодове'!T23:T28,36)+COUNTIF('Програма-кодове'!T23:T28,37)+COUNTIF('Програма-кодове'!T23:T28,38)+COUNTIF('Програма-кодове'!T23:T28,39)+COUNTIF('Програма-кодове'!T23:T28,40)+COUNTIF('Програма-кодове'!T23:T28,41)+COUNTIF('Програма-кодове'!T23:T28,42)+COUNTIF('Програма-кодове'!T23:T28,43)+COUNTIF('Програма-кодове'!T23:T28,44)+COUNTIF('Програма-кодове'!T23:T28,"34*")+COUNTIF('Програма-кодове'!T23:T28,"35*")+COUNTIF('Програма-кодове'!T23:T28,"41*")+COUNTIF('Програма-кодове'!T23:T28,"43*")</f>
        <v>3</v>
      </c>
      <c r="T49" s="152">
        <f>COUNTIF('Програма-кодове'!U23:U29,33)+COUNTIF('Програма-кодове'!U23:U29,34)+COUNTIF('Програма-кодове'!U23:U29,35)+COUNTIF('Програма-кодове'!U23:U29,36)+COUNTIF('Програма-кодове'!U23:U29,37)+COUNTIF('Програма-кодове'!U23:U29,38)+COUNTIF('Програма-кодове'!U23:U29,39)+COUNTIF('Програма-кодове'!U23:U29,40)+COUNTIF('Програма-кодове'!U23:U29,41)+COUNTIF('Програма-кодове'!U23:U29,42)+COUNTIF('Програма-кодове'!U23:U29,43)+COUNTIF('Програма-кодове'!U23:U29,44)+COUNTIF('Програма-кодове'!U23:U29,"34*")+COUNTIF('Програма-кодове'!U23:U29,"35*")+COUNTIF('Програма-кодове'!U23:U29,"41*")+COUNTIF('Програма-кодове'!U23:U29,"43*")</f>
        <v>2</v>
      </c>
      <c r="U49" s="152">
        <f>COUNTIF('Програма-кодове'!V23:V29,33)+COUNTIF('Програма-кодове'!V23:V29,34)+COUNTIF('Програма-кодове'!V23:V29,35)+COUNTIF('Програма-кодове'!V23:V29,36)+COUNTIF('Програма-кодове'!V23:V29,37)+COUNTIF('Програма-кодове'!V23:V29,38)+COUNTIF('Програма-кодове'!V23:V29,39)+COUNTIF('Програма-кодове'!V23:V29,40)+COUNTIF('Програма-кодове'!V23:V29,41)+COUNTIF('Програма-кодове'!V23:V29,42)+COUNTIF('Програма-кодове'!V23:V29,43)+COUNTIF('Програма-кодове'!V23:V29,44)+COUNTIF('Програма-кодове'!V23:V29,"34*")+COUNTIF('Програма-кодове'!V23:V29,"35*")+COUNTIF('Програма-кодове'!V23:V29,"41*")+COUNTIF('Програма-кодове'!V23:V29,"43*")</f>
        <v>3</v>
      </c>
      <c r="V49" s="152">
        <f>COUNTIF('Програма-кодове'!W23:W29,33)+COUNTIF('Програма-кодове'!W23:W29,34)+COUNTIF('Програма-кодове'!W23:W29,35)+COUNTIF('Програма-кодове'!W23:W29,36)+COUNTIF('Програма-кодове'!W23:W29,37)+COUNTIF('Програма-кодове'!W23:W29,38)+COUNTIF('Програма-кодове'!W23:W29,39)+COUNTIF('Програма-кодове'!W23:W29,40)+COUNTIF('Програма-кодове'!W23:W29,41)+COUNTIF('Програма-кодове'!W23:W29,42)+COUNTIF('Програма-кодове'!W23:W29,43)+COUNTIF('Програма-кодове'!W23:W29,44)+COUNTIF('Програма-кодове'!W23:W29,"34*")+COUNTIF('Програма-кодове'!W23:W29,"35*")+COUNTIF('Програма-кодове'!W23:W29,"41*")+COUNTIF('Програма-кодове'!W23:W29,"43*")</f>
        <v>3</v>
      </c>
      <c r="W49" s="152">
        <f>COUNTIF('Програма-кодове'!X23:X29,33)+COUNTIF('Програма-кодове'!X23:X29,34)+COUNTIF('Програма-кодове'!X23:X29,35)+COUNTIF('Програма-кодове'!X23:X29,36)+COUNTIF('Програма-кодове'!X23:X29,37)+COUNTIF('Програма-кодове'!X23:X29,38)+COUNTIF('Програма-кодове'!X23:X29,39)+COUNTIF('Програма-кодове'!X23:X29,40)+COUNTIF('Програма-кодове'!X23:X29,41)+COUNTIF('Програма-кодове'!X23:X29,42)+COUNTIF('Програма-кодове'!X23:X29,43)+COUNTIF('Програма-кодове'!X23:X29,44)+COUNTIF('Програма-кодове'!X23:X29,"34*")+COUNTIF('Програма-кодове'!X23:X29,"35*")+COUNTIF('Програма-кодове'!X23:X29,"41*")+COUNTIF('Програма-кодове'!X23:X29,"43*")</f>
        <v>3</v>
      </c>
      <c r="X49" s="152">
        <f>COUNTIF('Програма-кодове'!Y23:Y29,33)+COUNTIF('Програма-кодове'!Y23:Y29,34)+COUNTIF('Програма-кодове'!Y23:Y29,35)+COUNTIF('Програма-кодове'!Y23:Y29,36)+COUNTIF('Програма-кодове'!Y23:Y29,37)+COUNTIF('Програма-кодове'!Y23:Y29,38)+COUNTIF('Програма-кодове'!Y23:Y29,39)+COUNTIF('Програма-кодове'!Y23:Y29,40)+COUNTIF('Програма-кодове'!Y23:Y29,41)+COUNTIF('Програма-кодове'!Y23:Y29,42)+COUNTIF('Програма-кодове'!Y23:Y29,43)+COUNTIF('Програма-кодове'!Y23:Y29,44)+COUNTIF('Програма-кодове'!Y23:Y29,"34*")+COUNTIF('Програма-кодове'!Y23:Y29,"35*")+COUNTIF('Програма-кодове'!Y23:Y29,"41*")+COUNTIF('Програма-кодове'!Y23:Y29,"43*")</f>
        <v>2</v>
      </c>
      <c r="Y49" s="152">
        <f>COUNTIF('Програма-кодове'!Z23:Z29,33)+COUNTIF('Програма-кодове'!Z23:Z29,34)+COUNTIF('Програма-кодове'!Z23:Z29,35)+COUNTIF('Програма-кодове'!Z23:Z29,36)+COUNTIF('Програма-кодове'!Z23:Z29,37)+COUNTIF('Програма-кодове'!Z23:Z29,38)+COUNTIF('Програма-кодове'!Z23:Z29,39)+COUNTIF('Програма-кодове'!Z23:Z29,40)+COUNTIF('Програма-кодове'!Z23:Z29,41)+COUNTIF('Програма-кодове'!Z23:Z29,42)+COUNTIF('Програма-кодове'!Z23:Z29,43)+COUNTIF('Програма-кодове'!Z23:Z29,44)+COUNTIF('Програма-кодове'!Z23:Z29,"34*")+COUNTIF('Програма-кодове'!Z23:Z29,"35*")+COUNTIF('Програма-кодове'!Z23:Z29,"41*")+COUNTIF('Програма-кодове'!Z23:Z29,"33*")+COUNTIF('Програма-кодове'!Z23:Z29,50)</f>
        <v>1</v>
      </c>
      <c r="Z49" s="152">
        <f>COUNTIF('Програма-кодове'!AA23:AA29,33)+COUNTIF('Програма-кодове'!AA23:AA29,34)+COUNTIF('Програма-кодове'!AA23:AA29,35)+COUNTIF('Програма-кодове'!AA23:AA29,36)+COUNTIF('Програма-кодове'!AA23:AA29,37)+COUNTIF('Програма-кодове'!AA23:AA29,38)+COUNTIF('Програма-кодове'!AA23:AA29,39)+COUNTIF('Програма-кодове'!AA23:AA29,40)+COUNTIF('Програма-кодове'!AA23:AA29,41)+COUNTIF('Програма-кодове'!AA23:AA29,42)+COUNTIF('Програма-кодове'!AA23:AA29,43)+COUNTIF('Програма-кодове'!AA23:AA29,44)+COUNTIF('Програма-кодове'!AA23:AA29,"34*")+COUNTIF('Програма-кодове'!AA23:AA29,"35*")+COUNTIF('Програма-кодове'!AA23:AA29,"41*")+COUNTIF('Програма-кодове'!AA23:AA29,"33*")+COUNTIF('Програма-кодове'!AA23:AA29,50)</f>
        <v>1</v>
      </c>
      <c r="AA49" s="152">
        <f>COUNTIF('Програма-кодове'!AB23:AB29,33)+COUNTIF('Програма-кодове'!AB23:AB29,34)+COUNTIF('Програма-кодове'!AB23:AB29,35)+COUNTIF('Програма-кодове'!AB23:AB29,36)+COUNTIF('Програма-кодове'!AB23:AB29,37)+COUNTIF('Програма-кодове'!AB23:AB29,38)+COUNTIF('Програма-кодове'!AB23:AB29,39)+COUNTIF('Програма-кодове'!AB23:AB29,40)+COUNTIF('Програма-кодове'!AB23:AB29,41)+COUNTIF('Програма-кодове'!AB23:AB29,42)+COUNTIF('Програма-кодове'!AB23:AB29,43)+COUNTIF('Програма-кодове'!AB23:AB29,44)+COUNTIF('Програма-кодове'!AB23:AB29,"34*")+COUNTIF('Програма-кодове'!AB23:AB29,"35*")+COUNTIF('Програма-кодове'!AB23:AB29,"41*")+COUNTIF('Програма-кодове'!AB23:AB29,"33*")+COUNTIF('Програма-кодове'!AB23:AB29,50)+COUNTIF('Програма-кодове'!AB23:AB29,341)</f>
        <v>1</v>
      </c>
      <c r="AB49" s="152">
        <f>COUNTIF('Програма-кодове'!AC23:AC29,33)+COUNTIF('Програма-кодове'!AC23:AC29,34)+COUNTIF('Програма-кодове'!AC23:AC29,35)+COUNTIF('Програма-кодове'!AC23:AC29,36)+COUNTIF('Програма-кодове'!AC23:AC29,37)+COUNTIF('Програма-кодове'!AC23:AC29,38)+COUNTIF('Програма-кодове'!AC23:AC29,39)+COUNTIF('Програма-кодове'!AC23:AC29,40)+COUNTIF('Програма-кодове'!AC23:AC29,41)+COUNTIF('Програма-кодове'!AC23:AC29,42)+COUNTIF('Програма-кодове'!AC23:AC29,43)+COUNTIF('Програма-кодове'!AC23:AC29,44)+COUNTIF('Програма-кодове'!AC23:AC29,"34*")+COUNTIF('Програма-кодове'!AC23:AC29,"35*")+COUNTIF('Програма-кодове'!AC23:AC29,"41*")+COUNTIF('Програма-кодове'!AC23:AC29,"33*")+COUNTIF('Програма-кодове'!AC23:AC29,50)</f>
        <v>2</v>
      </c>
      <c r="AC49" s="152">
        <f>COUNTIF('Програма-кодове'!AD23:AD29,33)+COUNTIF('Програма-кодове'!AD23:AD29,34)+COUNTIF('Програма-кодове'!AD23:AD29,35)+COUNTIF('Програма-кодове'!AD23:AD29,36)+COUNTIF('Програма-кодове'!AD23:AD29,37)+COUNTIF('Програма-кодове'!AD23:AD29,38)+COUNTIF('Програма-кодове'!AD23:AD29,39)+COUNTIF('Програма-кодове'!AD23:AD29,40)+COUNTIF('Програма-кодове'!AD23:AD29,41)+COUNTIF('Програма-кодове'!AD23:AD29,42)+COUNTIF('Програма-кодове'!AD23:AD29,43)+COUNTIF('Програма-кодове'!AD23:AD29,44)+COUNTIF('Програма-кодове'!AD23:AD29,"34*")+COUNTIF('Програма-кодове'!AD23:AD29,"35*")+COUNTIF('Програма-кодове'!AD23:AD29,"41*")+COUNTIF('Програма-кодове'!AD23:AD29,"33*")+COUNTIF('Програма-кодове'!AD23:AD29,50)</f>
        <v>4</v>
      </c>
      <c r="AF49" s="153">
        <f>COUNTIF('Програма-кодове'!C23:C28,45)+COUNTIF('Програма-кодове'!C23:C28,"45*")+COUNTIF('Програма-кодове'!C23:C28,46)+COUNTIF('Програма-кодове'!C23:C28,48)+COUNTIF('Програма-кодове'!C23:C28,49)+(COUNTIF('Програма-кодове'!C23:C28,"29/46")+COUNTIF('Програма-кодове'!C23:C28,"28/46"))/2</f>
        <v>1</v>
      </c>
      <c r="AG49" s="153">
        <f>COUNTIF('Програма-кодове'!D23:D28,45)+COUNTIF('Програма-кодове'!D23:D28,"45*")+COUNTIF('Програма-кодове'!D23:D28,46)+COUNTIF('Програма-кодове'!D23:D28,47)+COUNTIF('Програма-кодове'!D23:D28,48)+COUNTIF('Програма-кодове'!D23:D28,49)+(COUNTIF('Програма-кодове'!D23:D28,"25/46")+COUNTIF('Програма-кодове'!D23:D28,"31/46"))/2</f>
        <v>1</v>
      </c>
      <c r="AH49" s="153">
        <f>COUNTIF('Програма-кодове'!E23:E28,45)+COUNTIF('Програма-кодове'!E23:E28,"45*")+COUNTIF('Програма-кодове'!E23:E28,46)+COUNTIF('Програма-кодове'!E23:E28,47)+COUNTIF('Програма-кодове'!E23:E28,48)+COUNTIF('Програма-кодове'!E23:E28,49)+(COUNTIF('Програма-кодове'!E23:E28,"31/46")+COUNTIF('Програма-кодове'!E23:E28,"25/46"))/2</f>
        <v>2</v>
      </c>
      <c r="AI49" s="152">
        <f>COUNTIF('Програма-кодове'!F23:F28,45)+COUNTIF('Програма-кодове'!F23:F28,46)+COUNTIF('Програма-кодове'!F23:F28,47)+COUNTIF('Програма-кодове'!F23:F28,48)+COUNTIF('Програма-кодове'!F23:F28,49)+COUNTIF('Програма-кодове'!F23:F28,"45*")</f>
        <v>1</v>
      </c>
      <c r="AJ49" s="152">
        <f>COUNTIF('Програма-кодове'!G23:G28,45)+COUNTIF('Програма-кодове'!G23:G28,46)+COUNTIF('Програма-кодове'!G23:G28,47)+COUNTIF('Програма-кодове'!G23:G28,48)+COUNTIF('Програма-кодове'!G23:G28,49)+COUNTIF('Програма-кодове'!G23:G28,"45*")</f>
        <v>1</v>
      </c>
      <c r="AK49" s="152">
        <f>COUNTIF('Програма-кодове'!H23:H28,45)+COUNTIF('Програма-кодове'!H23:H28,46)+COUNTIF('Програма-кодове'!H23:H28,47)+COUNTIF('Програма-кодове'!H23:H28,48)+COUNTIF('Програма-кодове'!H23:H28,49)+COUNTIF('Програма-кодове'!H23:H28,"45*")</f>
        <v>1</v>
      </c>
      <c r="AL49" s="152">
        <f>COUNTIF('Програма-кодове'!I23:I28,45)+COUNTIF('Програма-кодове'!I23:I28,46)+COUNTIF('Програма-кодове'!I23:I28,47)+COUNTIF('Програма-кодове'!I23:I28,48)+COUNTIF('Програма-кодове'!I23:I28,49)</f>
        <v>1</v>
      </c>
      <c r="AM49" s="152">
        <f>COUNTIF('Програма-кодове'!J23:J28,45)+COUNTIF('Програма-кодове'!J23:J28,46)+COUNTIF('Програма-кодове'!J23:J28,47)+COUNTIF('Програма-кодове'!J23:J28,48)+COUNTIF('Програма-кодове'!J23:J28,49)</f>
        <v>0</v>
      </c>
      <c r="AN49" s="152">
        <f>COUNTIF('Програма-кодове'!K23:K28,45)+COUNTIF('Програма-кодове'!K23:K28,46)+COUNTIF('Програма-кодове'!K23:K28,47)+COUNTIF('Програма-кодове'!K23:K28,48)+COUNTIF('Програма-кодове'!K23:K28,49)</f>
        <v>0</v>
      </c>
      <c r="AO49" s="152">
        <f>COUNTIF('Програма-кодове'!L23:L28,45)+COUNTIF('Програма-кодове'!L23:L28,46)+COUNTIF('Програма-кодове'!L23:L28,47)+COUNTIF('Програма-кодове'!L23:L28,48)+COUNTIF('Програма-кодове'!L23:L28,49)</f>
        <v>1</v>
      </c>
      <c r="AP49" s="152">
        <f>COUNTIF('Програма-кодове'!M23:M28,45)+COUNTIF('Програма-кодове'!M23:M28,"45*")+COUNTIF('Програма-кодове'!M23:M28,46)+COUNTIF('Програма-кодове'!M23:M28,47)+COUNTIF('Програма-кодове'!M23:M28,48)+COUNTIF('Програма-кодове'!M23:M28,49)</f>
        <v>1</v>
      </c>
      <c r="AQ49" s="152">
        <f>COUNTIF('Програма-кодове'!N23:N28,45)+COUNTIF('Програма-кодове'!N23:N28,"45*")+COUNTIF('Програма-кодове'!N23:N28,46)+COUNTIF('Програма-кодове'!N23:N28,47)+COUNTIF('Програма-кодове'!N23:N28,48)+COUNTIF('Програма-кодове'!N23:N28,49)</f>
        <v>1</v>
      </c>
      <c r="AR49" s="152">
        <f>COUNTIF('Програма-кодове'!O23:O28,45)+COUNTIF('Програма-кодове'!O23:O28,"45*")+COUNTIF('Програма-кодове'!O23:O28,46)+COUNTIF('Програма-кодове'!O23:O28,47)+COUNTIF('Програма-кодове'!O23:O28,48)+COUNTIF('Програма-кодове'!O23:O28,49)</f>
        <v>0</v>
      </c>
      <c r="AS49" s="152">
        <f>COUNTIF('Програма-кодове'!P23:P28,45)+COUNTIF('Програма-кодове'!P23:P28,46)+COUNTIF('Програма-кодове'!P23:P28,47)+COUNTIF('Програма-кодове'!P23:P28,48)+COUNTIF('Програма-кодове'!P23:P28,49)</f>
        <v>0</v>
      </c>
      <c r="AT49" s="152">
        <f>COUNTIF('Програма-кодове'!Q23:Q28,45)+COUNTIF('Програма-кодове'!Q23:Q28,46)+COUNTIF('Програма-кодове'!Q23:Q28,47)+COUNTIF('Програма-кодове'!Q23:Q28,48)+COUNTIF('Програма-кодове'!Q23:Q28,49)</f>
        <v>0</v>
      </c>
      <c r="AU49" s="152">
        <f>COUNTIF('Програма-кодове'!R23:R28,45)+COUNTIF('Програма-кодове'!R23:R28,"45*")+COUNTIF('Програма-кодове'!R23:R28,46)+COUNTIF('Програма-кодове'!R23:R28,47)+COUNTIF('Програма-кодове'!R23:R28,48)+COUNTIF('Програма-кодове'!R23:R28,49)</f>
        <v>0</v>
      </c>
      <c r="AV49" s="152">
        <f>COUNTIF('Програма-кодове'!S23:S28,45)+COUNTIF('Програма-кодове'!S23:S28,"45*")+COUNTIF('Програма-кодове'!S23:S28,46)+COUNTIF('Програма-кодове'!S23:S28,47)+COUNTIF('Програма-кодове'!S23:S28,48)+COUNTIF('Програма-кодове'!S23:S28,49)</f>
        <v>0</v>
      </c>
      <c r="AW49" s="152">
        <f>COUNTIF('Програма-кодове'!T23:T28,45)+COUNTIF('Програма-кодове'!T23:T28,"45*")+COUNTIF('Програма-кодове'!T23:T28,46)+COUNTIF('Програма-кодове'!T23:T28,47)+COUNTIF('Програма-кодове'!T23:T28,48)+COUNTIF('Програма-кодове'!T23:T28,49)</f>
        <v>1</v>
      </c>
      <c r="AX49" s="152">
        <f>COUNTIF('Програма-кодове'!U23:U28,"45*")+COUNTIF('Програма-кодове'!U23:U28,46)+COUNTIF('Програма-кодове'!U23:U28,47)+COUNTIF('Програма-кодове'!U23:U28,48)+COUNTIF('Програма-кодове'!U28:U523,49)</f>
        <v>1</v>
      </c>
      <c r="AY49" s="152">
        <f>COUNTIF('Програма-кодове'!V23:V28,"45*")+COUNTIF('Програма-кодове'!V23:V28,46)+COUNTIF('Програма-кодове'!V23:V28,47)+COUNTIF('Програма-кодове'!V23:V28,48)+COUNTIF('Програма-кодове'!V23:V28,49)</f>
        <v>0</v>
      </c>
      <c r="AZ49" s="152">
        <f>COUNTIF('Програма-кодове'!W23:W298,"45*")+COUNTIF('Програма-кодове'!W23:W28,46)+COUNTIF('Програма-кодове'!W23:W28,47)+COUNTIF('Програма-кодове'!W23:W28,48)+COUNTIF('Програма-кодове'!W23:W28,49)</f>
        <v>0</v>
      </c>
      <c r="BA49" s="152">
        <f>COUNTIF('Програма-кодове'!X23:X28,45)+COUNTIF('Програма-кодове'!X23:X28,46)+COUNTIF('Програма-кодове'!X23:X28,47)+COUNTIF('Програма-кодове'!X23:X28,48)+COUNTIF('Програма-кодове'!X23:X28,49)</f>
        <v>0</v>
      </c>
      <c r="BB49" s="152">
        <f>COUNTIF('Програма-кодове'!Y23:Y28,45)+COUNTIF('Програма-кодове'!Y23:Y28,46)+COUNTIF('Програма-кодове'!Y23:Y28,47)+COUNTIF('Програма-кодове'!Y23:Y28,48)+COUNTIF('Програма-кодове'!Y23:Y28,49)</f>
        <v>0</v>
      </c>
      <c r="BC49" s="152">
        <f>COUNTIF('Програма-кодове'!Z23:Z28,"45*")+COUNTIF('Програма-кодове'!Z23:Z28,46)+COUNTIF('Програма-кодове'!Z23:Z28,47)+COUNTIF('Програма-кодове'!Z23:Z28,48)+COUNTIF('Програма-кодове'!Z23:Z28,49)</f>
        <v>0</v>
      </c>
      <c r="BD49" s="152">
        <f>COUNTIF('Програма-кодове'!AA23:AA28,"45*")+COUNTIF('Програма-кодове'!AA23:AA28,46)+COUNTIF('Програма-кодове'!AA23:AA28,47)+COUNTIF('Програма-кодове'!AA23:AA28,48)+COUNTIF('Програма-кодове'!AA23:AA28,49)</f>
        <v>0</v>
      </c>
      <c r="BE49" s="152">
        <f>COUNTIF('Програма-кодове'!AB23:AB28,45)+COUNTIF('Програма-кодове'!AB23:AB28,46)+COUNTIF('Програма-кодове'!AB23:AB28,47)+COUNTIF('Програма-кодове'!AB23:AB28,48)+COUNTIF('Програма-кодове'!AB23:AB28,49)</f>
        <v>1</v>
      </c>
      <c r="BF49" s="152">
        <f>COUNTIF('Програма-кодове'!AC23:AC28,45)+COUNTIF('Програма-кодове'!AC23:AC28,46)+COUNTIF('Програма-кодове'!AC23:AC28,47)+COUNTIF('Програма-кодове'!AC23:AC28,48)+COUNTIF('Програма-кодове'!AC23:AC28,49)</f>
        <v>0</v>
      </c>
      <c r="BG49" s="152">
        <f>COUNTIF('Програма-кодове'!AD23:AD28,45)+COUNTIF('Програма-кодове'!AD23:AD28,46)+COUNTIF('Програма-кодове'!AD23:AD28,47)+COUNTIF('Програма-кодове'!AD23:AD28,48)+COUNTIF('Програма-кодове'!AD23:AD28,49)</f>
        <v>0</v>
      </c>
    </row>
    <row r="50" spans="1:59">
      <c r="A50" s="150" t="s">
        <v>124</v>
      </c>
      <c r="B50" s="152">
        <f>COUNTIF('Програма-кодове'!C30:C36,33)+COUNTIF('Програма-кодове'!C30:C36,34)+COUNTIF('Програма-кодове'!C30:C36,35)+COUNTIF('Програма-кодове'!C30:C36,36)+COUNTIF('Програма-кодове'!C30:C36,37)+COUNTIF('Програма-кодове'!C30:C36,38)+COUNTIF('Програма-кодове'!C30:C36,39)+COUNTIF('Програма-кодове'!C30:C36,40)+COUNTIF('Програма-кодове'!C30:C36,41)+COUNTIF('Програма-кодове'!C30:C36,42)+COUNTIF('Програма-кодове'!C30:C36,43)+COUNTIF('Програма-кодове'!C30:C36,44)+COUNTIF('Програма-кодове'!C30:C36,"34*")+COUNTIF('Програма-кодове'!C30:C36,"35*")+COUNTIF('Програма-кодове'!C30:C36,"41*")+COUNTIF('Програма-кодове'!C30:C36,"43*")</f>
        <v>1</v>
      </c>
      <c r="C50" s="152">
        <f>COUNTIF('Програма-кодове'!D30:D36,33)+COUNTIF('Програма-кодове'!D30:D36,34)+COUNTIF('Програма-кодове'!D30:D36,35)+COUNTIF('Програма-кодове'!D30:D36,36)+COUNTIF('Програма-кодове'!D30:D36,37)+COUNTIF('Програма-кодове'!D30:D36,38)+COUNTIF('Програма-кодове'!D30:D36,39)+COUNTIF('Програма-кодове'!D30:D36,40)+COUNTIF('Програма-кодове'!D30:D36,41)+COUNTIF('Програма-кодове'!D30:D36,42)+COUNTIF('Програма-кодове'!D30:D36,43)+COUNTIF('Програма-кодове'!D30:D36,44)+COUNTIF('Програма-кодове'!D30:D36,"34*")+COUNTIF('Програма-кодове'!D30:D36,"35*")+COUNTIF('Програма-кодове'!D30:D36,"41*")+COUNTIF('Програма-кодове'!D30:D36,"43*")</f>
        <v>1</v>
      </c>
      <c r="D50" s="152">
        <f>COUNTIF('Програма-кодове'!E30:E36,33)+COUNTIF('Програма-кодове'!E30:E36,34)+COUNTIF('Програма-кодове'!E30:E36,35)+COUNTIF('Програма-кодове'!E30:E36,36)+COUNTIF('Програма-кодове'!E30:E36,37)+COUNTIF('Програма-кодове'!E30:E36,38)+COUNTIF('Програма-кодове'!E30:E36,39)+COUNTIF('Програма-кодове'!E30:E36,40)+COUNTIF('Програма-кодове'!E30:E36,41)+COUNTIF('Програма-кодове'!E30:E36,42)+COUNTIF('Програма-кодове'!E30:E36,43)+COUNTIF('Програма-кодове'!E30:E36,44)+COUNTIF('Програма-кодове'!E30:E36,"34*")+COUNTIF('Програма-кодове'!E30:E36,"35*")+COUNTIF('Програма-кодове'!E30:E36,"41*")+COUNTIF('Програма-кодове'!E30:E36,"43*")</f>
        <v>2</v>
      </c>
      <c r="E50" s="152">
        <f>COUNTIF('Програма-кодове'!F30:F36,33)+COUNTIF('Програма-кодове'!F30:F36,34)+COUNTIF('Програма-кодове'!F30:F36,35)+COUNTIF('Програма-кодове'!F30:F36,36)+COUNTIF('Програма-кодове'!F30:F36,37)+COUNTIF('Програма-кодове'!F30:F36,38)+COUNTIF('Програма-кодове'!F30:F36,39)+COUNTIF('Програма-кодове'!F30:F36,40)+COUNTIF('Програма-кодове'!F30:F36,41)+COUNTIF('Програма-кодове'!F30:F36,42)+COUNTIF('Програма-кодове'!F30:F36,43)+COUNTIF('Програма-кодове'!F30:F36,44)+COUNTIF('Програма-кодове'!F30:F36,"34*")+COUNTIF('Програма-кодове'!F30:F36,"35*")+COUNTIF('Програма-кодове'!F30:F36,"41*")+COUNTIF('Програма-кодове'!F30:F36,"43*")</f>
        <v>0</v>
      </c>
      <c r="F50" s="152">
        <f>COUNTIF('Програма-кодове'!G30:G36,33)+COUNTIF('Програма-кодове'!G30:G36,34)+COUNTIF('Програма-кодове'!G30:G36,35)+COUNTIF('Програма-кодове'!G30:G36,36)+COUNTIF('Програма-кодове'!G30:G36,37)+COUNTIF('Програма-кодове'!G30:G36,38)+COUNTIF('Програма-кодове'!G30:G36,39)+COUNTIF('Програма-кодове'!G30:G36,40)+COUNTIF('Програма-кодове'!G30:G36,41)+COUNTIF('Програма-кодове'!G30:G36,42)+COUNTIF('Програма-кодове'!G30:G36,43)+COUNTIF('Програма-кодове'!G30:G36,44)+COUNTIF('Програма-кодове'!G30:G36,"34*")+COUNTIF('Програма-кодове'!G30:G36,"35*")+COUNTIF('Програма-кодове'!G30:G36,"41*")+COUNTIF('Програма-кодове'!G30:G36,"43*")</f>
        <v>0</v>
      </c>
      <c r="G50" s="152">
        <f>COUNTIF('Програма-кодове'!H30:H36,33)+COUNTIF('Програма-кодове'!H30:H36,34)+COUNTIF('Програма-кодове'!H30:H36,35)+COUNTIF('Програма-кодове'!H30:H36,36)+COUNTIF('Програма-кодове'!H30:H36,37)+COUNTIF('Програма-кодове'!H30:H36,38)+COUNTIF('Програма-кодове'!H30:H36,39)+COUNTIF('Програма-кодове'!H30:H36,40)+COUNTIF('Програма-кодове'!H30:H36,41)+COUNTIF('Програма-кодове'!H30:H36,42)+COUNTIF('Програма-кодове'!H30:H36,43)+COUNTIF('Програма-кодове'!H30:H36,44)+COUNTIF('Програма-кодове'!H30:H36,"34*")+COUNTIF('Програма-кодове'!H30:H36,"35*")+COUNTIF('Програма-кодове'!H30:H36,"41*")+COUNTIF('Програма-кодове'!H30:H36,"43*")</f>
        <v>0</v>
      </c>
      <c r="H50" s="152">
        <f>COUNTIF('Програма-кодове'!I30:I36,33)+COUNTIF('Програма-кодове'!I30:I36,34)+COUNTIF('Програма-кодове'!I30:I36,35)+COUNTIF('Програма-кодове'!I30:I36,36)+COUNTIF('Програма-кодове'!I30:I36,37)+COUNTIF('Програма-кодове'!I30:I36,38)+COUNTIF('Програма-кодове'!I30:I36,39)+COUNTIF('Програма-кодове'!I30:I36,40)+COUNTIF('Програма-кодове'!I30:I36,41)+COUNTIF('Програма-кодове'!I30:I36,42)+COUNTIF('Програма-кодове'!I30:I36,43)+COUNTIF('Програма-кодове'!I30:I36,44)+COUNTIF('Програма-кодове'!I30:I36,"34*")+COUNTIF('Програма-кодове'!I30:I36,"35*")+COUNTIF('Програма-кодове'!I30:I36,"41*")+COUNTIF('Програма-кодове'!I30:I36,"43*")</f>
        <v>0</v>
      </c>
      <c r="I50" s="152">
        <f>COUNTIF('Програма-кодове'!J30:J36,33)+COUNTIF('Програма-кодове'!J30:J36,34)+COUNTIF('Програма-кодове'!J30:J36,35)+COUNTIF('Програма-кодове'!J30:J36,36)+COUNTIF('Програма-кодове'!J30:J36,37)+COUNTIF('Програма-кодове'!J30:J36,38)+COUNTIF('Програма-кодове'!J30:J36,39)+COUNTIF('Програма-кодове'!J30:J36,40)+COUNTIF('Програма-кодове'!J30:J36,41)+COUNTIF('Програма-кодове'!J30:J36,42)+COUNTIF('Програма-кодове'!J30:J36,43)+COUNTIF('Програма-кодове'!J30:J36,44)+COUNTIF('Програма-кодове'!J30:J36,"34*")+COUNTIF('Програма-кодове'!J30:J36,"35*")+COUNTIF('Програма-кодове'!J30:J36,"41*")+COUNTIF('Програма-кодове'!J30:J36,"43*")</f>
        <v>0</v>
      </c>
      <c r="J50" s="152">
        <f>COUNTIF('Програма-кодове'!K30:K36,33)+COUNTIF('Програма-кодове'!K30:K36,34)+COUNTIF('Програма-кодове'!K30:K36,35)+COUNTIF('Програма-кодове'!K30:K36,36)+COUNTIF('Програма-кодове'!K30:K36,37)+COUNTIF('Програма-кодове'!K30:K36,38)+COUNTIF('Програма-кодове'!K30:K36,39)+COUNTIF('Програма-кодове'!K30:K36,40)+COUNTIF('Програма-кодове'!K30:K36,41)+COUNTIF('Програма-кодове'!K30:K36,42)+COUNTIF('Програма-кодове'!K30:K36,43)+COUNTIF('Програма-кодове'!K30:K36,44)+COUNTIF('Програма-кодове'!K30:K36,"34*")+COUNTIF('Програма-кодове'!K30:K36,"35*")+COUNTIF('Програма-кодове'!K30:K36,"41*")+COUNTIF('Програма-кодове'!K30:K36,"43*")+COUNTIF('Програма-кодове'!K30:K36,50)</f>
        <v>3</v>
      </c>
      <c r="K50" s="152">
        <f>COUNTIF('Програма-кодове'!L30:L36,33)+COUNTIF('Програма-кодове'!L30:L36,34)+COUNTIF('Програма-кодове'!L30:L36,35)+COUNTIF('Програма-кодове'!L30:L36,36)+COUNTIF('Програма-кодове'!L30:L36,37)+COUNTIF('Програма-кодове'!L30:L36,38)+COUNTIF('Програма-кодове'!L30:L36,39)+COUNTIF('Програма-кодове'!L30:L36,40)+COUNTIF('Програма-кодове'!L30:L36,41)+COUNTIF('Програма-кодове'!L30:L36,42)+COUNTIF('Програма-кодове'!L30:L36,43)+COUNTIF('Програма-кодове'!L30:L36,44)+COUNTIF('Програма-кодове'!L30:L36,"34*")+COUNTIF('Програма-кодове'!L30:L36,"35*")+COUNTIF('Програма-кодове'!L30:L36,"41*")+COUNTIF('Програма-кодове'!L30:L36,"43*")+COUNTIF('Програма-кодове'!L30:L36,50)</f>
        <v>3</v>
      </c>
      <c r="L50" s="152">
        <f>COUNTIF('Програма-кодове'!M30:M36,33)+COUNTIF('Програма-кодове'!M30:M36,34)+COUNTIF('Програма-кодове'!M30:M36,35)+COUNTIF('Програма-кодове'!M30:M36,36)+COUNTIF('Програма-кодове'!M30:M36,37)+COUNTIF('Програма-кодове'!M30:M36,38)+COUNTIF('Програма-кодове'!M30:M36,39)+COUNTIF('Програма-кодове'!M30:M36,40)+COUNTIF('Програма-кодове'!M30:M36,41)+COUNTIF('Програма-кодове'!M30:M36,42)+COUNTIF('Програма-кодове'!M30:M36,43)+COUNTIF('Програма-кодове'!M30:M36,44)+COUNTIF('Програма-кодове'!M30:M36,"34*")+COUNTIF('Програма-кодове'!M30:M36,"35*")+COUNTIF('Програма-кодове'!M30:M36,"41*")+COUNTIF('Програма-кодове'!M30:M36,"43*")+COUNTIF('Програма-кодове'!M30:M36,50)</f>
        <v>3</v>
      </c>
      <c r="M50" s="152">
        <f>COUNTIF('Програма-кодове'!N30:N36,33)+COUNTIF('Програма-кодове'!N30:N36,34)+COUNTIF('Програма-кодове'!N30:N36,35)+COUNTIF('Програма-кодове'!N30:N36,36)+COUNTIF('Програма-кодове'!N30:N36,37)+COUNTIF('Програма-кодове'!N30:N36,38)+COUNTIF('Програма-кодове'!N30:N36,39)+COUNTIF('Програма-кодове'!N30:N36,40)+COUNTIF('Програма-кодове'!N30:N36,41)+COUNTIF('Програма-кодове'!N30:N36,42)+COUNTIF('Програма-кодове'!N30:N36,43)+COUNTIF('Програма-кодове'!N30:N36,44)+COUNTIF('Програма-кодове'!N30:N36,"34*")+COUNTIF('Програма-кодове'!N30:N36,"35*")+COUNTIF('Програма-кодове'!N30:N36,"41*")+COUNTIF('Програма-кодове'!N30:N36,"43*")+COUNTIF('Програма-кодове'!N30:N36,50)</f>
        <v>3</v>
      </c>
      <c r="N50" s="152">
        <f>COUNTIF('Програма-кодове'!O30:O36,33)+COUNTIF('Програма-кодове'!O30:O36,34)+COUNTIF('Програма-кодове'!O30:O36,35)+COUNTIF('Програма-кодове'!O30:O36,36)+COUNTIF('Програма-кодове'!O30:O36,37)+COUNTIF('Програма-кодове'!O30:O36,38)+COUNTIF('Програма-кодове'!O30:O36,39)+COUNTIF('Програма-кодове'!O30:O36,40)+COUNTIF('Програма-кодове'!O30:O36,41)+COUNTIF('Програма-кодове'!O30:O36,42)+COUNTIF('Програма-кодове'!O30:O36,43)+COUNTIF('Програма-кодове'!O30:O36,44)+COUNTIF('Програма-кодове'!O30:O36,"34*")+COUNTIF('Програма-кодове'!O30:O36,"35*")+COUNTIF('Програма-кодове'!O30:O36,"41*")+COUNTIF('Програма-кодове'!O30:O36,"43*")+COUNTIF('Програма-кодове'!O30:O36,50)</f>
        <v>2</v>
      </c>
      <c r="O50" s="152">
        <f>COUNTIF('Програма-кодове'!P30:P36,33)+COUNTIF('Програма-кодове'!P30:P36,34)+COUNTIF('Програма-кодове'!P30:P36,35)+COUNTIF('Програма-кодове'!P30:P36,36)+COUNTIF('Програма-кодове'!P30:P36,37)+COUNTIF('Програма-кодове'!P30:P36,38)+COUNTIF('Програма-кодове'!P30:P36,39)+COUNTIF('Програма-кодове'!P30:P36,40)+COUNTIF('Програма-кодове'!P30:P36,41)+COUNTIF('Програма-кодове'!P30:P36,42)+COUNTIF('Програма-кодове'!P30:P36,43)+COUNTIF('Програма-кодове'!P30:P36,44)+COUNTIF('Програма-кодове'!P30:P36,"33*")+COUNTIF('Програма-кодове'!P30:P36,"34*")+COUNTIF('Програма-кодове'!P30:P36,"35*")+COUNTIF('Програма-кодове'!P30:P36,"41*")+COUNTIF('Програма-кодове'!P30:P36,"43*")</f>
        <v>2</v>
      </c>
      <c r="P50" s="152">
        <f>COUNTIF('Програма-кодове'!Q30:Q36,33)+COUNTIF('Програма-кодове'!Q30:Q36,34)+COUNTIF('Програма-кодове'!Q30:Q36,35)+COUNTIF('Програма-кодове'!Q30:Q36,36)+COUNTIF('Програма-кодове'!Q30:Q36,37)+COUNTIF('Програма-кодове'!Q30:Q36,38)+COUNTIF('Програма-кодове'!Q30:Q36,39)+COUNTIF('Програма-кодове'!Q30:Q36,40)+COUNTIF('Програма-кодове'!Q30:Q36,41)+COUNTIF('Програма-кодове'!Q30:Q36,42)+COUNTIF('Програма-кодове'!Q30:Q36,43)+COUNTIF('Програма-кодове'!Q30:Q36,44)+COUNTIF('Програма-кодове'!Q30:Q36,"34*")+COUNTIF('Програма-кодове'!Q30:Q36,"35*")+COUNTIF('Програма-кодове'!Q30:Q36,"41*")+COUNTIF('Програма-кодове'!Q30:Q36,"43*")</f>
        <v>3</v>
      </c>
      <c r="Q50" s="152">
        <f>COUNTIF('Програма-кодове'!R30:R36,33)+COUNTIF('Програма-кодове'!R30:R36,34)+COUNTIF('Програма-кодове'!R30:R36,35)+COUNTIF('Програма-кодове'!R30:R36,36)+COUNTIF('Програма-кодове'!R30:R36,37)+COUNTIF('Програма-кодове'!R30:R36,38)+COUNTIF('Програма-кодове'!R30:R36,39)+COUNTIF('Програма-кодове'!R30:R36,40)+COUNTIF('Програма-кодове'!R30:R36,41)+COUNTIF('Програма-кодове'!R30:R36,42)+COUNTIF('Програма-кодове'!R30:R36,43)+COUNTIF('Програма-кодове'!R30:R36,44)+COUNTIF('Програма-кодове'!R30:R36,"34*")+COUNTIF('Програма-кодове'!R30:R36,"35*")+COUNTIF('Програма-кодове'!R30:R36,"41*")+COUNTIF('Програма-кодове'!R30:R36,"43*")</f>
        <v>3</v>
      </c>
      <c r="R50" s="152">
        <f>COUNTIF('Програма-кодове'!S30:S36,33)+COUNTIF('Програма-кодове'!S30:S36,34)+COUNTIF('Програма-кодове'!S30:S36,35)+COUNTIF('Програма-кодове'!S30:S36,36)+COUNTIF('Програма-кодове'!S30:S36,37)+COUNTIF('Програма-кодове'!S30:S36,38)+COUNTIF('Програма-кодове'!S30:S36,39)+COUNTIF('Програма-кодове'!S30:S36,40)+COUNTIF('Програма-кодове'!S30:S36,41)+COUNTIF('Програма-кодове'!S30:S36,42)+COUNTIF('Програма-кодове'!S30:S36,43)+COUNTIF('Програма-кодове'!S30:S36,44)+COUNTIF('Програма-кодове'!S30:S36,"34*")+COUNTIF('Програма-кодове'!S30:S36,"35*")+COUNTIF('Програма-кодове'!S30:S36,"41*")+COUNTIF('Програма-кодове'!S30:S36,"43*")</f>
        <v>2</v>
      </c>
      <c r="S50" s="152">
        <f>COUNTIF('Програма-кодове'!T30:T36,33)+COUNTIF('Програма-кодове'!T30:T36,34)+COUNTIF('Програма-кодове'!T30:T36,35)+COUNTIF('Програма-кодове'!T30:T36,36)+COUNTIF('Програма-кодове'!T30:T36,37)+COUNTIF('Програма-кодове'!T30:T36,38)+COUNTIF('Програма-кодове'!T30:T36,39)+COUNTIF('Програма-кодове'!T30:T36,40)+COUNTIF('Програма-кодове'!T30:T36,41)+COUNTIF('Програма-кодове'!T30:T36,42)+COUNTIF('Програма-кодове'!T30:T36,43)+COUNTIF('Програма-кодове'!T30:T36,44)+COUNTIF('Програма-кодове'!T30:T36,"34*")+COUNTIF('Програма-кодове'!T30:T36,"35*")+COUNTIF('Програма-кодове'!T30:T36,"41*")+COUNTIF('Програма-кодове'!T30:T36,"43*")</f>
        <v>4</v>
      </c>
      <c r="T50" s="152">
        <f>COUNTIF('Програма-кодове'!U30:U36,33)+COUNTIF('Програма-кодове'!U30:U36,34)+COUNTIF('Програма-кодове'!U30:U36,35)+COUNTIF('Програма-кодове'!U30:U36,36)+COUNTIF('Програма-кодове'!U30:U36,37)+COUNTIF('Програма-кодове'!U30:U36,38)+COUNTIF('Програма-кодове'!U30:U36,39)+COUNTIF('Програма-кодове'!U30:U36,40)+COUNTIF('Програма-кодове'!U30:U36,41)+COUNTIF('Програма-кодове'!U30:U36,42)+COUNTIF('Програма-кодове'!U30:U36,43)+COUNTIF('Програма-кодове'!U30:U36,44)+COUNTIF('Програма-кодове'!U30:U36,"34*")+COUNTIF('Програма-кодове'!U30:U36,"35*")+COUNTIF('Програма-кодове'!U30:U36,"41*")+COUNTIF('Програма-кодове'!U30:U36,"43*")</f>
        <v>2</v>
      </c>
      <c r="U50" s="152">
        <f>COUNTIF('Програма-кодове'!V30:V36,33)+COUNTIF('Програма-кодове'!V30:V36,34)+COUNTIF('Програма-кодове'!V30:V36,35)+COUNTIF('Програма-кодове'!V30:V36,36)+COUNTIF('Програма-кодове'!V30:V36,37)+COUNTIF('Програма-кодове'!V30:V36,38)+COUNTIF('Програма-кодове'!V30:V36,39)+COUNTIF('Програма-кодове'!V30:V36,40)+COUNTIF('Програма-кодове'!V30:V36,41)+COUNTIF('Програма-кодове'!V30:V36,42)+COUNTIF('Програма-кодове'!V30:V36,43)+COUNTIF('Програма-кодове'!V30:V36,44)+COUNTIF('Програма-кодове'!V30:V36,"34*")+COUNTIF('Програма-кодове'!V30:V36,"35*")+COUNTIF('Програма-кодове'!V30:V36,"41*")+COUNTIF('Програма-кодове'!V30:V36,"43*")</f>
        <v>2</v>
      </c>
      <c r="V50" s="152">
        <f>COUNTIF('Програма-кодове'!W30:W36,33)+COUNTIF('Програма-кодове'!W30:W36,34)+COUNTIF('Програма-кодове'!W30:W36,35)+COUNTIF('Програма-кодове'!W30:W36,36)+COUNTIF('Програма-кодове'!W30:W36,37)+COUNTIF('Програма-кодове'!W30:W36,38)+COUNTIF('Програма-кодове'!W30:W36,39)+COUNTIF('Програма-кодове'!W30:W36,40)+COUNTIF('Програма-кодове'!W30:W36,41)+COUNTIF('Програма-кодове'!W30:W36,42)+COUNTIF('Програма-кодове'!W30:W36,43)+COUNTIF('Програма-кодове'!W30:W36,44)+COUNTIF('Програма-кодове'!W30:W36,"34*")+COUNTIF('Програма-кодове'!W30:W36,"35*")+COUNTIF('Програма-кодове'!W30:W36,"41*")+COUNTIF('Програма-кодове'!W30:W36,"43*")</f>
        <v>2</v>
      </c>
      <c r="W50" s="152">
        <f>COUNTIF('Програма-кодове'!X30:X36,33)+COUNTIF('Програма-кодове'!X30:X36,34)+COUNTIF('Програма-кодове'!X30:X36,35)+COUNTIF('Програма-кодове'!X30:X36,36)+COUNTIF('Програма-кодове'!X30:X36,37)+COUNTIF('Програма-кодове'!X30:X36,38)+COUNTIF('Програма-кодове'!X30:X36,39)+COUNTIF('Програма-кодове'!X30:X36,40)+COUNTIF('Програма-кодове'!X30:X36,41)+COUNTIF('Програма-кодове'!X30:X36,42)+COUNTIF('Програма-кодове'!X30:X36,43)+COUNTIF('Програма-кодове'!X30:X36,44)+COUNTIF('Програма-кодове'!X30:X36,"34*")+COUNTIF('Програма-кодове'!X30:X36,"35*")+COUNTIF('Програма-кодове'!X30:X36,"41*")+COUNTIF('Програма-кодове'!X30:X36,"43*")</f>
        <v>1</v>
      </c>
      <c r="X50" s="152">
        <f>COUNTIF('Програма-кодове'!Y30:Y36,33)+COUNTIF('Програма-кодове'!Y30:Y36,34)+COUNTIF('Програма-кодове'!Y30:Y36,35)+COUNTIF('Програма-кодове'!Y30:Y36,36)+COUNTIF('Програма-кодове'!Y30:Y36,37)+COUNTIF('Програма-кодове'!Y30:Y36,38)+COUNTIF('Програма-кодове'!Y30:Y36,39)+COUNTIF('Програма-кодове'!Y30:Y36,40)+COUNTIF('Програма-кодове'!Y30:Y36,41)+COUNTIF('Програма-кодове'!Y30:Y36,42)+COUNTIF('Програма-кодове'!Y30:Y36,43)+COUNTIF('Програма-кодове'!Y30:Y36,44)+COUNTIF('Програма-кодове'!Y30:Y36,"34*")+COUNTIF('Програма-кодове'!Y30:Y36,"35*")+COUNTIF('Програма-кодове'!Y30:Y36,"41*")+COUNTIF('Програма-кодове'!Y30:Y36,"43*")</f>
        <v>4</v>
      </c>
      <c r="Y50" s="152">
        <f>COUNTIF('Програма-кодове'!Z30:Z36,33)+COUNTIF('Програма-кодове'!Z30:Z36,34)+COUNTIF('Програма-кодове'!Z30:Z36,35)+COUNTIF('Програма-кодове'!Z30:Z36,36)+COUNTIF('Програма-кодове'!Z30:Z36,37)+COUNTIF('Програма-кодове'!Z30:Z36,38)+COUNTIF('Програма-кодове'!Z30:Z36,39)+COUNTIF('Програма-кодове'!Z30:Z36,40)+COUNTIF('Програма-кодове'!Z30:Z36,41)+COUNTIF('Програма-кодове'!Z30:Z36,42)+COUNTIF('Програма-кодове'!Z30:Z36,43)+COUNTIF('Програма-кодове'!Z30:Z36,44)+COUNTIF('Програма-кодове'!Z30:Z36,"34*")+COUNTIF('Програма-кодове'!Z30:Z36,"35*")+COUNTIF('Програма-кодове'!Z30:Z36,"41*")+COUNTIF('Програма-кодове'!Z30:Z36,"33*")+COUNTIF('Програма-кодове'!Z30:Z36,50)</f>
        <v>1</v>
      </c>
      <c r="Z50" s="152">
        <f>COUNTIF('Програма-кодове'!AA30:AA36,33)+COUNTIF('Програма-кодове'!AA30:AA36,34)+COUNTIF('Програма-кодове'!AA30:AA36,35)+COUNTIF('Програма-кодове'!AA30:AA36,36)+COUNTIF('Програма-кодове'!AA30:AA36,37)+COUNTIF('Програма-кодове'!AA30:AA36,38)+COUNTIF('Програма-кодове'!AA30:AA36,39)+COUNTIF('Програма-кодове'!AA30:AA36,40)+COUNTIF('Програма-кодове'!AA30:AA36,41)+COUNTIF('Програма-кодове'!AA30:AA36,42)+COUNTIF('Програма-кодове'!AA30:AA36,43)+COUNTIF('Програма-кодове'!AA30:AA36,44)+COUNTIF('Програма-кодове'!AA30:AA36,"34*")+COUNTIF('Програма-кодове'!AA30:AA36,"35*")+COUNTIF('Програма-кодове'!AA30:AA36,"41*")+COUNTIF('Програма-кодове'!AA30:AA36,"33*")+COUNTIF('Програма-кодове'!AA30:AA36,50)</f>
        <v>2</v>
      </c>
      <c r="AA50" s="152">
        <f>COUNTIF('Програма-кодове'!AB30:AB36,33)+COUNTIF('Програма-кодове'!AB30:AB36,34)+COUNTIF('Програма-кодове'!AB30:AB36,35)+COUNTIF('Програма-кодове'!AB30:AB36,36)+COUNTIF('Програма-кодове'!AB30:AB36,37)+COUNTIF('Програма-кодове'!AB30:AB36,38)+COUNTIF('Програма-кодове'!AB30:AB36,39)+COUNTIF('Програма-кодове'!AB30:AB36,40)+COUNTIF('Програма-кодове'!AB30:AB36,41)+COUNTIF('Програма-кодове'!AB30:AB36,42)+COUNTIF('Програма-кодове'!AB30:AB36,43)+COUNTIF('Програма-кодове'!AB30:AB36,44)+COUNTIF('Програма-кодове'!AB30:AB36,"34*")+COUNTIF('Програма-кодове'!AB30:AB36,"35*")+COUNTIF('Програма-кодове'!AB30:AB36,"41*")+COUNTIF('Програма-кодове'!AB30:AB36,"33*")+COUNTIF('Програма-кодове'!AB30:AB36,50)+COUNTIF('Програма-кодове'!AB30:AB36,341)</f>
        <v>1</v>
      </c>
      <c r="AB50" s="152">
        <f>COUNTIF('Програма-кодове'!AC30:AC36,33)+COUNTIF('Програма-кодове'!AC30:AC36,34)+COUNTIF('Програма-кодове'!AC30:AC36,35)+COUNTIF('Програма-кодове'!AC30:AC36,36)+COUNTIF('Програма-кодове'!AC30:AC36,37)+COUNTIF('Програма-кодове'!AC30:AC36,38)+COUNTIF('Програма-кодове'!AC30:AC36,39)+COUNTIF('Програма-кодове'!AC30:AC36,40)+COUNTIF('Програма-кодове'!AC30:AC36,41)+COUNTIF('Програма-кодове'!AC30:AC36,42)+COUNTIF('Програма-кодове'!AC30:AC36,43)+COUNTIF('Програма-кодове'!AC30:AC36,44)+COUNTIF('Програма-кодове'!AC30:AC36,"34*")+COUNTIF('Програма-кодове'!AC30:AC36,"35*")+COUNTIF('Програма-кодове'!AC30:AC36,"41*")+COUNTIF('Програма-кодове'!AC30:AC36,"33*")+COUNTIF('Програма-кодове'!AC30:AC36,50)</f>
        <v>0</v>
      </c>
      <c r="AC50" s="152">
        <f>COUNTIF('Програма-кодове'!AD30:AD36,33)+COUNTIF('Програма-кодове'!AD30:AD36,34)+COUNTIF('Програма-кодове'!AD30:AD36,35)+COUNTIF('Програма-кодове'!AD30:AD36,36)+COUNTIF('Програма-кодове'!AD30:AD36,37)+COUNTIF('Програма-кодове'!AD30:AD36,38)+COUNTIF('Програма-кодове'!AD30:AD36,39)+COUNTIF('Програма-кодове'!AD30:AD36,40)+COUNTIF('Програма-кодове'!AD30:AD36,41)+COUNTIF('Програма-кодове'!AD30:AD36,42)+COUNTIF('Програма-кодове'!AD30:AD36,43)+COUNTIF('Програма-кодове'!AD30:AD36,44)+COUNTIF('Програма-кодове'!AD30:AD36,"34*")+COUNTIF('Програма-кодове'!AD30:AD36,"35*")+COUNTIF('Програма-кодове'!AD30:AD36,"41*")+COUNTIF('Програма-кодове'!AD30:AD36,"33*")+COUNTIF('Програма-кодове'!AD30:AD36,50)</f>
        <v>2</v>
      </c>
      <c r="AF50" s="153">
        <f>COUNTIF('Програма-кодове'!C30:C35,45)+COUNTIF('Програма-кодове'!C30:C35,"45*")+COUNTIF('Програма-кодове'!C30:C35,46)+COUNTIF('Програма-кодове'!C30:C35,48)+COUNTIF('Програма-кодове'!C30:C35,49)+(COUNTIF('Програма-кодове'!C30:C35,"29/46")+COUNTIF('Програма-кодове'!C30:C35,"28/46"))/2</f>
        <v>1</v>
      </c>
      <c r="AG50" s="153">
        <f>COUNTIF('Програма-кодове'!D30:D35,45)+COUNTIF('Програма-кодове'!D30:D35,"45*")+COUNTIF('Програма-кодове'!D30:D35,46)+COUNTIF('Програма-кодове'!D30:D35,47)+COUNTIF('Програма-кодове'!D30:D35,48)+COUNTIF('Програма-кодове'!D30:D35,49)+(COUNTIF('Програма-кодове'!D30:D35,"25/46")+COUNTIF('Програма-кодове'!D30:D35,"31/46"))/2</f>
        <v>2</v>
      </c>
      <c r="AH50" s="153">
        <f>COUNTIF('Програма-кодове'!E30:E35,45)+COUNTIF('Програма-кодове'!E30:E35,"45*")+COUNTIF('Програма-кодове'!E30:E35,46)+COUNTIF('Програма-кодове'!E30:E35,47)+COUNTIF('Програма-кодове'!E30:E35,48)+COUNTIF('Програма-кодове'!E30:E35,49)+(COUNTIF('Програма-кодове'!E30:E35,"31/46")+COUNTIF('Програма-кодове'!E30:E35,"25/46"))/2</f>
        <v>1</v>
      </c>
      <c r="AI50" s="152">
        <f>COUNTIF('Програма-кодове'!F30:F35,45)+COUNTIF('Програма-кодове'!F30:F35,46)+COUNTIF('Програма-кодове'!F30:F35,47)+COUNTIF('Програма-кодове'!F30:F35,48)+COUNTIF('Програма-кодове'!F30:F35,49)+COUNTIF('Програма-кодове'!F30:F35,"45*")</f>
        <v>0</v>
      </c>
      <c r="AJ50" s="152">
        <f>COUNTIF('Програма-кодове'!G30:G35,45)+COUNTIF('Програма-кодове'!G30:G35,46)+COUNTIF('Програма-кодове'!G30:G35,47)+COUNTIF('Програма-кодове'!G30:G35,48)+COUNTIF('Програма-кодове'!G30:G35,49)+COUNTIF('Програма-кодове'!G30:G35,"45*")</f>
        <v>0</v>
      </c>
      <c r="AK50" s="152">
        <f>COUNTIF('Програма-кодове'!H30:H35,45)+COUNTIF('Програма-кодове'!H30:H35,46)+COUNTIF('Програма-кодове'!H30:H35,47)+COUNTIF('Програма-кодове'!H30:H35,48)+COUNTIF('Програма-кодове'!H30:H35,49)+COUNTIF('Програма-кодове'!H30:H35,"45*")</f>
        <v>1</v>
      </c>
      <c r="AL50" s="152">
        <f>COUNTIF('Програма-кодове'!I30:I35,45)+COUNTIF('Програма-кодове'!I30:I35,46)+COUNTIF('Програма-кодове'!I30:I35,47)+COUNTIF('Програма-кодове'!I30:I35,48)+COUNTIF('Програма-кодове'!I30:I35,49)</f>
        <v>1</v>
      </c>
      <c r="AM50" s="152">
        <f>COUNTIF('Програма-кодове'!J30:J35,45)+COUNTIF('Програма-кодове'!J30:J35,46)+COUNTIF('Програма-кодове'!J30:J35,47)+COUNTIF('Програма-кодове'!J30:J35,48)+COUNTIF('Програма-кодове'!J30:J35,49)</f>
        <v>1</v>
      </c>
      <c r="AN50" s="152">
        <f>COUNTIF('Програма-кодове'!K30:K35,45)+COUNTIF('Програма-кодове'!K30:K35,46)+COUNTIF('Програма-кодове'!K30:K35,47)+COUNTIF('Програма-кодове'!K30:K35,48)+COUNTIF('Програма-кодове'!K30:K35,49)</f>
        <v>1</v>
      </c>
      <c r="AO50" s="152">
        <f>COUNTIF('Програма-кодове'!L30:L35,45)+COUNTIF('Програма-кодове'!L30:L35,46)+COUNTIF('Програма-кодове'!L30:L35,47)+COUNTIF('Програма-кодове'!L30:L35,48)+COUNTIF('Програма-кодове'!L30:L35,49)</f>
        <v>1</v>
      </c>
      <c r="AP50" s="152">
        <f>COUNTIF('Програма-кодове'!M30:M35,45)+COUNTIF('Програма-кодове'!M30:M35,"45*")+COUNTIF('Програма-кодове'!M30:M35,46)+COUNTIF('Програма-кодове'!M30:M35,47)+COUNTIF('Програма-кодове'!M30:M35,48)+COUNTIF('Програма-кодове'!M30:M35,49)</f>
        <v>1</v>
      </c>
      <c r="AQ50" s="152">
        <f>COUNTIF('Програма-кодове'!N30:N35,45)+COUNTIF('Програма-кодове'!N30:N35,"45*")+COUNTIF('Програма-кодове'!N30:N35,46)+COUNTIF('Програма-кодове'!N30:N35,47)+COUNTIF('Програма-кодове'!N30:N35,48)+COUNTIF('Програма-кодове'!N30:N35,49)</f>
        <v>0</v>
      </c>
      <c r="AR50" s="152">
        <f>COUNTIF('Програма-кодове'!O30:O35,45)+COUNTIF('Програма-кодове'!O30:O35,"45*")+COUNTIF('Програма-кодове'!O30:O35,46)+COUNTIF('Програма-кодове'!O30:O35,47)+COUNTIF('Програма-кодове'!O30:O35,48)+COUNTIF('Програма-кодове'!O30:O35,49)</f>
        <v>0</v>
      </c>
      <c r="AS50" s="152">
        <f>COUNTIF('Програма-кодове'!P30:P35,45)+COUNTIF('Програма-кодове'!P30:P35,46)+COUNTIF('Програма-кодове'!P30:P35,47)+COUNTIF('Програма-кодове'!P30:P35,48)+COUNTIF('Програма-кодове'!P30:P35,49)</f>
        <v>1</v>
      </c>
      <c r="AT50" s="152">
        <f>COUNTIF('Програма-кодове'!Q30:Q35,45)+COUNTIF('Програма-кодове'!Q30:Q35,46)+COUNTIF('Програма-кодове'!Q30:Q35,47)+COUNTIF('Програма-кодове'!Q30:Q35,48)+COUNTIF('Програма-кодове'!Q30:Q35,49)</f>
        <v>0</v>
      </c>
      <c r="AU50" s="152">
        <f>COUNTIF('Програма-кодове'!R30:R35,45)+COUNTIF('Програма-кодове'!R30:R35,"45*")+COUNTIF('Програма-кодове'!R30:R35,46)+COUNTIF('Програма-кодове'!R30:R35,47)+COUNTIF('Програма-кодове'!R30:R35,48)+COUNTIF('Програма-кодове'!R30:R35,49)</f>
        <v>0</v>
      </c>
      <c r="AV50" s="152">
        <f>COUNTIF('Програма-кодове'!S30:S35,45)+COUNTIF('Програма-кодове'!S30:S35,"45*")+COUNTIF('Програма-кодове'!S30:S35,46)+COUNTIF('Програма-кодове'!S30:S35,47)+COUNTIF('Програма-кодове'!S30:S35,48)+COUNTIF('Програма-кодове'!S30:S35,49)</f>
        <v>1</v>
      </c>
      <c r="AW50" s="152">
        <f>COUNTIF('Програма-кодове'!T30:T35,45)+COUNTIF('Програма-кодове'!T30:T35,"45*")+COUNTIF('Програма-кодове'!T30:T35,46)+COUNTIF('Програма-кодове'!T30:T35,47)+COUNTIF('Програма-кодове'!T30:T35,48)+COUNTIF('Програма-кодове'!T30:T35,49)</f>
        <v>0</v>
      </c>
      <c r="AX50" s="152">
        <f>COUNTIF('Програма-кодове'!U30:U35,"45*")+COUNTIF('Програма-кодове'!U30:U35,46)+COUNTIF('Програма-кодове'!U30:U35,47)+COUNTIF('Програма-кодове'!U30:U35,48)+COUNTIF('Програма-кодове'!U30:U35,49)</f>
        <v>1</v>
      </c>
      <c r="AY50" s="152">
        <f>COUNTIF('Програма-кодове'!V30:V35,"45*")+COUNTIF('Програма-кодове'!V30:V35,46)+COUNTIF('Програма-кодове'!V30:V35,47)+COUNTIF('Програма-кодове'!V30:V35,48)+COUNTIF('Програма-кодове'!V30:V35,49)</f>
        <v>1</v>
      </c>
      <c r="AZ50" s="152">
        <f>COUNTIF('Програма-кодове'!W30:W35,"45*")+COUNTIF('Програма-кодове'!W30:W35,46)+COUNTIF('Програма-кодове'!W30:W35,47)+COUNTIF('Програма-кодове'!W30:W35,48)+COUNTIF('Програма-кодове'!W30:W35,49)</f>
        <v>1</v>
      </c>
      <c r="BA50" s="152">
        <f>COUNTIF('Програма-кодове'!X30:X35,45)+COUNTIF('Програма-кодове'!X30:X35,46)+COUNTIF('Програма-кодове'!X30:X35,47)+COUNTIF('Програма-кодове'!X30:X35,48)+COUNTIF('Програма-кодове'!X30:X35,49)</f>
        <v>0</v>
      </c>
      <c r="BB50" s="152">
        <f>COUNTIF('Програма-кодове'!Y30:Y35,45)+COUNTIF('Програма-кодове'!Y30:Y35,46)+COUNTIF('Програма-кодове'!Y30:Y35,47)+COUNTIF('Програма-кодове'!Y30:Y35,48)+COUNTIF('Програма-кодове'!Y30:Y35,49)</f>
        <v>1</v>
      </c>
      <c r="BC50" s="152">
        <f>COUNTIF('Програма-кодове'!Z30:Z35,"45*")+COUNTIF('Програма-кодове'!Z30:Z35,46)+COUNTIF('Програма-кодове'!Z30:Z35,47)+COUNTIF('Програма-кодове'!Z30:Z35,48)+COUNTIF('Програма-кодове'!Z30:Z35,49)</f>
        <v>0</v>
      </c>
      <c r="BD50" s="152">
        <f>COUNTIF('Програма-кодове'!AA30:AA35,"45*")+COUNTIF('Програма-кодове'!AA30:AA35,46)+COUNTIF('Програма-кодове'!AA30:AA35,47)+COUNTIF('Програма-кодове'!AA30:AA35,48)+COUNTIF('Програма-кодове'!AA30:AA35,49)</f>
        <v>0</v>
      </c>
      <c r="BE50" s="152">
        <f>COUNTIF('Програма-кодове'!AB30:AB35,45)+COUNTIF('Програма-кодове'!AB30:AB35,46)+COUNTIF('Програма-кодове'!AB30:AB35,47)+COUNTIF('Програма-кодове'!AB30:AB35,48)+COUNTIF('Програма-кодове'!AB30:AB35,49)</f>
        <v>0</v>
      </c>
      <c r="BF50" s="152">
        <f>COUNTIF('Програма-кодове'!AC30:AC35,45)+COUNTIF('Програма-кодове'!AC30:AC35,46)+COUNTIF('Програма-кодове'!AC30:AC35,47)+COUNTIF('Програма-кодове'!AC30:AC35,48)+COUNTIF('Програма-кодове'!AC30:AC35,49)</f>
        <v>1</v>
      </c>
      <c r="BG50" s="152">
        <f>COUNTIF('Програма-кодове'!AD30:AD35,45)+COUNTIF('Програма-кодове'!AD30:AD35,46)+COUNTIF('Програма-кодове'!AD30:AD35,47)+COUNTIF('Програма-кодове'!AD30:AD35,48)+COUNTIF('Програма-кодове'!AD30:AD35,49)</f>
        <v>0</v>
      </c>
    </row>
    <row r="51" spans="1:59">
      <c r="B51" s="90">
        <f t="shared" ref="B51:AB51" si="32">SUM(B46:B50)</f>
        <v>6</v>
      </c>
      <c r="C51" s="90">
        <f t="shared" si="32"/>
        <v>6</v>
      </c>
      <c r="D51" s="90">
        <f t="shared" si="32"/>
        <v>9</v>
      </c>
      <c r="E51" s="90">
        <f t="shared" si="32"/>
        <v>1</v>
      </c>
      <c r="F51" s="90">
        <f t="shared" si="32"/>
        <v>1</v>
      </c>
      <c r="G51" s="90">
        <f t="shared" si="32"/>
        <v>1</v>
      </c>
      <c r="H51" s="90">
        <f t="shared" si="32"/>
        <v>1</v>
      </c>
      <c r="I51" s="90">
        <f t="shared" si="32"/>
        <v>1</v>
      </c>
      <c r="J51" s="90">
        <f t="shared" si="32"/>
        <v>15</v>
      </c>
      <c r="K51" s="90">
        <f t="shared" si="32"/>
        <v>15</v>
      </c>
      <c r="L51" s="90">
        <f t="shared" si="32"/>
        <v>15</v>
      </c>
      <c r="M51" s="90">
        <f t="shared" si="32"/>
        <v>15</v>
      </c>
      <c r="N51" s="90">
        <f t="shared" si="32"/>
        <v>15</v>
      </c>
      <c r="O51" s="90">
        <f t="shared" si="32"/>
        <v>11</v>
      </c>
      <c r="P51" s="90">
        <f t="shared" si="32"/>
        <v>11</v>
      </c>
      <c r="Q51" s="90">
        <f t="shared" si="32"/>
        <v>11</v>
      </c>
      <c r="R51" s="90">
        <f t="shared" si="32"/>
        <v>11</v>
      </c>
      <c r="S51" s="90">
        <f t="shared" si="32"/>
        <v>16</v>
      </c>
      <c r="T51" s="90">
        <f t="shared" si="32"/>
        <v>11</v>
      </c>
      <c r="U51" s="90">
        <f t="shared" si="32"/>
        <v>11</v>
      </c>
      <c r="V51" s="90">
        <f t="shared" si="32"/>
        <v>11</v>
      </c>
      <c r="W51" s="90">
        <f t="shared" si="32"/>
        <v>11</v>
      </c>
      <c r="X51" s="90">
        <f t="shared" si="32"/>
        <v>18</v>
      </c>
      <c r="Y51" s="90">
        <f t="shared" si="32"/>
        <v>6</v>
      </c>
      <c r="Z51" s="90">
        <f t="shared" si="32"/>
        <v>6</v>
      </c>
      <c r="AA51" s="90">
        <f t="shared" si="32"/>
        <v>6</v>
      </c>
      <c r="AB51" s="90">
        <f t="shared" si="32"/>
        <v>6</v>
      </c>
      <c r="AC51" s="90">
        <f>SUM(AC46:AC50)</f>
        <v>17</v>
      </c>
      <c r="AF51" s="90">
        <f t="shared" ref="AF51:BG51" si="33">SUM(AF46:AF50)</f>
        <v>8</v>
      </c>
      <c r="AG51" s="90">
        <f t="shared" si="33"/>
        <v>8</v>
      </c>
      <c r="AH51" s="90">
        <f t="shared" si="33"/>
        <v>6</v>
      </c>
      <c r="AI51" s="90">
        <f t="shared" si="33"/>
        <v>3</v>
      </c>
      <c r="AJ51" s="90">
        <f t="shared" si="33"/>
        <v>3</v>
      </c>
      <c r="AK51" s="90">
        <f t="shared" si="33"/>
        <v>3</v>
      </c>
      <c r="AL51" s="90">
        <f t="shared" si="33"/>
        <v>3</v>
      </c>
      <c r="AM51" s="90">
        <f t="shared" si="33"/>
        <v>3</v>
      </c>
      <c r="AN51" s="90">
        <f t="shared" si="33"/>
        <v>3</v>
      </c>
      <c r="AO51" s="90">
        <f t="shared" si="33"/>
        <v>3</v>
      </c>
      <c r="AP51" s="90">
        <f t="shared" si="33"/>
        <v>3</v>
      </c>
      <c r="AQ51" s="90">
        <f t="shared" si="33"/>
        <v>3</v>
      </c>
      <c r="AR51" s="90">
        <f t="shared" si="33"/>
        <v>3</v>
      </c>
      <c r="AS51" s="90">
        <f t="shared" si="33"/>
        <v>2</v>
      </c>
      <c r="AT51" s="90">
        <f t="shared" si="33"/>
        <v>2</v>
      </c>
      <c r="AU51" s="90">
        <f t="shared" si="33"/>
        <v>2</v>
      </c>
      <c r="AV51" s="90">
        <f t="shared" si="33"/>
        <v>2</v>
      </c>
      <c r="AW51" s="90">
        <f t="shared" si="33"/>
        <v>2</v>
      </c>
      <c r="AX51" s="90">
        <f t="shared" si="33"/>
        <v>2</v>
      </c>
      <c r="AY51" s="90">
        <f t="shared" si="33"/>
        <v>2</v>
      </c>
      <c r="AZ51" s="90">
        <f t="shared" si="33"/>
        <v>2</v>
      </c>
      <c r="BA51" s="90">
        <f t="shared" si="33"/>
        <v>2</v>
      </c>
      <c r="BB51" s="90">
        <f t="shared" si="33"/>
        <v>2</v>
      </c>
      <c r="BC51" s="90">
        <f t="shared" si="33"/>
        <v>2</v>
      </c>
      <c r="BD51" s="90">
        <f t="shared" si="33"/>
        <v>2</v>
      </c>
      <c r="BE51" s="90">
        <f t="shared" si="33"/>
        <v>2</v>
      </c>
      <c r="BF51" s="90">
        <f t="shared" si="33"/>
        <v>2</v>
      </c>
      <c r="BG51" s="90">
        <f t="shared" si="33"/>
        <v>2</v>
      </c>
    </row>
    <row r="52" spans="1:59"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213"/>
      <c r="W52" s="58"/>
      <c r="X52" s="58"/>
      <c r="Y52" s="58"/>
      <c r="Z52" s="58"/>
      <c r="AA52" s="227">
        <v>341</v>
      </c>
      <c r="AB52" s="58"/>
    </row>
  </sheetData>
  <mergeCells count="7">
    <mergeCell ref="AS40:AT40"/>
    <mergeCell ref="AS41:AT41"/>
    <mergeCell ref="A3:A9"/>
    <mergeCell ref="A10:A16"/>
    <mergeCell ref="A17:A23"/>
    <mergeCell ref="A31:A37"/>
    <mergeCell ref="A24:A30"/>
  </mergeCells>
  <phoneticPr fontId="4" type="noConversion"/>
  <printOptions horizontalCentered="1"/>
  <pageMargins left="0.15748031496062992" right="7.874015748031496E-2" top="0.70866141732283472" bottom="0.15748031496062992" header="0.31496062992125984" footer="0.31496062992125984"/>
  <pageSetup paperSize="9" scale="98" orientation="landscape" horizontalDpi="4294967293" verticalDpi="4294967293" r:id="rId1"/>
  <headerFooter alignWithMargins="0">
    <oddHeader>&amp;L&amp;"Times New Roman,Bold"&amp;18 2018 - 2019&amp;C&amp;"Times New Roman,Bold"&amp;18 &amp;R&amp;"Times New Roman,Bold"&amp;18II срок</oddHeader>
  </headerFooter>
  <ignoredErrors>
    <ignoredError sqref="AU2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56"/>
  <sheetViews>
    <sheetView topLeftCell="A40" workbookViewId="0">
      <selection activeCell="F55" sqref="F55"/>
    </sheetView>
  </sheetViews>
  <sheetFormatPr defaultColWidth="9.140625" defaultRowHeight="17.25" customHeight="1"/>
  <cols>
    <col min="1" max="1" width="16" style="229" bestFit="1" customWidth="1"/>
    <col min="2" max="6" width="15.42578125" style="229" customWidth="1"/>
    <col min="7" max="16384" width="9.140625" style="229"/>
  </cols>
  <sheetData>
    <row r="1" spans="1:6" ht="17.25" customHeight="1" thickBot="1">
      <c r="A1" s="373" t="s">
        <v>370</v>
      </c>
      <c r="B1" s="373"/>
      <c r="C1" s="373"/>
      <c r="D1" s="373"/>
      <c r="E1" s="373"/>
      <c r="F1" s="373"/>
    </row>
    <row r="2" spans="1:6" ht="16.5" customHeight="1" thickBot="1">
      <c r="A2" s="228"/>
      <c r="B2" s="246" t="s">
        <v>19</v>
      </c>
      <c r="C2" s="246" t="s">
        <v>20</v>
      </c>
      <c r="D2" s="246" t="s">
        <v>23</v>
      </c>
      <c r="E2" s="246" t="s">
        <v>22</v>
      </c>
      <c r="F2" s="247" t="s">
        <v>21</v>
      </c>
    </row>
    <row r="3" spans="1:6" ht="16.5" customHeight="1">
      <c r="A3" s="374" t="s">
        <v>173</v>
      </c>
      <c r="B3" s="230"/>
      <c r="C3" s="230"/>
      <c r="D3" s="230">
        <v>201</v>
      </c>
      <c r="E3" s="230">
        <v>201</v>
      </c>
      <c r="F3" s="231">
        <v>206</v>
      </c>
    </row>
    <row r="4" spans="1:6" ht="16.5" customHeight="1">
      <c r="A4" s="375"/>
      <c r="B4" s="232"/>
      <c r="C4" s="232"/>
      <c r="D4" s="232">
        <v>201</v>
      </c>
      <c r="E4" s="233">
        <v>201</v>
      </c>
      <c r="F4" s="234">
        <v>206</v>
      </c>
    </row>
    <row r="5" spans="1:6" ht="16.5" customHeight="1">
      <c r="A5" s="375"/>
      <c r="B5" s="232"/>
      <c r="C5" s="232"/>
      <c r="D5" s="232"/>
      <c r="E5" s="233">
        <v>201</v>
      </c>
      <c r="F5" s="234"/>
    </row>
    <row r="6" spans="1:6" ht="16.5" customHeight="1">
      <c r="A6" s="375"/>
      <c r="B6" s="232"/>
      <c r="C6" s="232">
        <v>203</v>
      </c>
      <c r="D6" s="232"/>
      <c r="E6" s="233">
        <v>201</v>
      </c>
      <c r="F6" s="234">
        <v>103</v>
      </c>
    </row>
    <row r="7" spans="1:6" ht="16.5" customHeight="1">
      <c r="A7" s="375"/>
      <c r="B7" s="232"/>
      <c r="C7" s="232">
        <v>202</v>
      </c>
      <c r="D7" s="232"/>
      <c r="E7" s="232"/>
      <c r="F7" s="234">
        <v>103</v>
      </c>
    </row>
    <row r="8" spans="1:6" ht="16.5" customHeight="1">
      <c r="A8" s="375"/>
      <c r="B8" s="232">
        <v>203</v>
      </c>
      <c r="C8" s="232">
        <v>201</v>
      </c>
      <c r="D8" s="232"/>
      <c r="E8" s="232">
        <v>204</v>
      </c>
      <c r="F8" s="234">
        <v>103</v>
      </c>
    </row>
    <row r="9" spans="1:6" ht="16.5" customHeight="1" thickBot="1">
      <c r="A9" s="376"/>
      <c r="B9" s="235">
        <v>203</v>
      </c>
      <c r="C9" s="235">
        <v>201</v>
      </c>
      <c r="D9" s="235"/>
      <c r="E9" s="235">
        <v>204</v>
      </c>
      <c r="F9" s="236"/>
    </row>
    <row r="10" spans="1:6" ht="1.5" customHeight="1" thickBot="1">
      <c r="A10" s="381"/>
      <c r="B10" s="382"/>
      <c r="C10" s="382"/>
      <c r="D10" s="382"/>
      <c r="E10" s="382"/>
      <c r="F10" s="383"/>
    </row>
    <row r="11" spans="1:6" ht="16.5" customHeight="1" thickBot="1">
      <c r="A11" s="374" t="s">
        <v>237</v>
      </c>
      <c r="B11" s="237">
        <v>205</v>
      </c>
      <c r="C11" s="237"/>
      <c r="D11" s="237">
        <v>204</v>
      </c>
      <c r="E11" s="237">
        <v>104</v>
      </c>
      <c r="F11" s="238">
        <v>108</v>
      </c>
    </row>
    <row r="12" spans="1:6" ht="16.5" customHeight="1" thickBot="1">
      <c r="A12" s="375"/>
      <c r="B12" s="237">
        <v>205</v>
      </c>
      <c r="C12" s="232"/>
      <c r="D12" s="237">
        <v>204</v>
      </c>
      <c r="E12" s="232">
        <v>104</v>
      </c>
      <c r="F12" s="238">
        <v>108</v>
      </c>
    </row>
    <row r="13" spans="1:6" ht="16.5" customHeight="1" thickBot="1">
      <c r="A13" s="375"/>
      <c r="B13" s="237">
        <v>205</v>
      </c>
      <c r="C13" s="232"/>
      <c r="D13" s="237">
        <v>204</v>
      </c>
      <c r="E13" s="232"/>
      <c r="F13" s="238"/>
    </row>
    <row r="14" spans="1:6" ht="16.5" customHeight="1">
      <c r="A14" s="375"/>
      <c r="B14" s="232"/>
      <c r="C14" s="232"/>
      <c r="D14" s="232">
        <v>204</v>
      </c>
      <c r="E14" s="232">
        <v>107</v>
      </c>
      <c r="F14" s="238">
        <v>101</v>
      </c>
    </row>
    <row r="15" spans="1:6" ht="16.5" customHeight="1">
      <c r="A15" s="375"/>
      <c r="B15" s="232"/>
      <c r="C15" s="232">
        <v>102</v>
      </c>
      <c r="D15" s="232">
        <v>204</v>
      </c>
      <c r="E15" s="232">
        <v>107</v>
      </c>
      <c r="F15" s="234">
        <v>101</v>
      </c>
    </row>
    <row r="16" spans="1:6" ht="16.5" customHeight="1">
      <c r="A16" s="375"/>
      <c r="B16" s="232"/>
      <c r="C16" s="232">
        <v>104</v>
      </c>
      <c r="D16" s="232">
        <v>108</v>
      </c>
      <c r="E16" s="232"/>
      <c r="F16" s="234">
        <v>101</v>
      </c>
    </row>
    <row r="17" spans="1:6" ht="16.5" customHeight="1" thickBot="1">
      <c r="A17" s="376"/>
      <c r="B17" s="235"/>
      <c r="C17" s="232">
        <v>104</v>
      </c>
      <c r="D17" s="235">
        <v>108</v>
      </c>
      <c r="E17" s="235"/>
      <c r="F17" s="236"/>
    </row>
    <row r="18" spans="1:6" ht="1.5" customHeight="1" thickBot="1">
      <c r="A18" s="377"/>
      <c r="B18" s="378"/>
      <c r="C18" s="378"/>
      <c r="D18" s="378"/>
      <c r="E18" s="378"/>
      <c r="F18" s="379"/>
    </row>
    <row r="19" spans="1:6" ht="16.5" customHeight="1">
      <c r="A19" s="380" t="s">
        <v>369</v>
      </c>
      <c r="B19" s="237"/>
      <c r="C19" s="237"/>
      <c r="D19" s="237"/>
      <c r="E19" s="237">
        <v>305</v>
      </c>
      <c r="F19" s="238"/>
    </row>
    <row r="20" spans="1:6" ht="16.5" customHeight="1">
      <c r="A20" s="375"/>
      <c r="B20" s="232"/>
      <c r="C20" s="232"/>
      <c r="D20" s="232"/>
      <c r="E20" s="232">
        <v>305</v>
      </c>
      <c r="F20" s="234"/>
    </row>
    <row r="21" spans="1:6" ht="16.5" customHeight="1">
      <c r="A21" s="375"/>
      <c r="B21" s="232"/>
      <c r="C21" s="232"/>
      <c r="D21" s="232"/>
      <c r="E21" s="232">
        <v>301</v>
      </c>
      <c r="F21" s="234"/>
    </row>
    <row r="22" spans="1:6" ht="16.5" customHeight="1">
      <c r="A22" s="375"/>
      <c r="B22" s="239">
        <v>206</v>
      </c>
      <c r="C22" s="239"/>
      <c r="D22" s="232"/>
      <c r="E22" s="232">
        <v>301</v>
      </c>
      <c r="F22" s="234"/>
    </row>
    <row r="23" spans="1:6" ht="16.5" customHeight="1">
      <c r="A23" s="375"/>
      <c r="B23" s="239">
        <v>206</v>
      </c>
      <c r="C23" s="232"/>
      <c r="D23" s="232">
        <v>305</v>
      </c>
      <c r="E23" s="232">
        <v>301</v>
      </c>
      <c r="F23" s="234">
        <v>303</v>
      </c>
    </row>
    <row r="24" spans="1:6" ht="16.5" customHeight="1">
      <c r="A24" s="375"/>
      <c r="B24" s="232">
        <v>206</v>
      </c>
      <c r="C24" s="232"/>
      <c r="D24" s="232">
        <v>305</v>
      </c>
      <c r="E24" s="232">
        <v>301</v>
      </c>
      <c r="F24" s="234">
        <v>303</v>
      </c>
    </row>
    <row r="25" spans="1:6" ht="16.5" customHeight="1" thickBot="1">
      <c r="A25" s="376"/>
      <c r="B25" s="235">
        <v>206</v>
      </c>
      <c r="C25" s="235"/>
      <c r="D25" s="235">
        <v>305</v>
      </c>
      <c r="E25" s="235"/>
      <c r="F25" s="236"/>
    </row>
    <row r="26" spans="1:6" ht="1.5" customHeight="1" thickBot="1">
      <c r="A26" s="240"/>
      <c r="B26" s="241"/>
      <c r="C26" s="241"/>
      <c r="D26" s="244"/>
      <c r="E26" s="241"/>
      <c r="F26" s="242"/>
    </row>
    <row r="27" spans="1:6" ht="16.5" customHeight="1">
      <c r="A27" s="374" t="s">
        <v>271</v>
      </c>
      <c r="B27" s="237"/>
      <c r="C27" s="237"/>
      <c r="D27" s="243">
        <v>109</v>
      </c>
      <c r="E27" s="237"/>
      <c r="F27" s="238">
        <v>305</v>
      </c>
    </row>
    <row r="28" spans="1:6" ht="16.5" customHeight="1">
      <c r="A28" s="375"/>
      <c r="B28" s="232"/>
      <c r="C28" s="232"/>
      <c r="D28" s="232">
        <v>109</v>
      </c>
      <c r="E28" s="232"/>
      <c r="F28" s="234">
        <v>305</v>
      </c>
    </row>
    <row r="29" spans="1:6" ht="16.5" customHeight="1">
      <c r="A29" s="375"/>
      <c r="B29" s="232"/>
      <c r="C29" s="232"/>
      <c r="D29" s="232">
        <v>109</v>
      </c>
      <c r="E29" s="232"/>
      <c r="F29" s="234"/>
    </row>
    <row r="30" spans="1:6" ht="16.5" customHeight="1">
      <c r="A30" s="375"/>
      <c r="B30" s="232">
        <v>302</v>
      </c>
      <c r="C30" s="232"/>
      <c r="D30" s="232"/>
      <c r="E30" s="232">
        <v>305</v>
      </c>
      <c r="F30" s="234"/>
    </row>
    <row r="31" spans="1:6" ht="16.5" customHeight="1">
      <c r="A31" s="375"/>
      <c r="B31" s="232">
        <v>304</v>
      </c>
      <c r="C31" s="232">
        <v>305</v>
      </c>
      <c r="D31" s="232"/>
      <c r="E31" s="232">
        <v>305</v>
      </c>
      <c r="F31" s="234"/>
    </row>
    <row r="32" spans="1:6" ht="16.5" customHeight="1">
      <c r="A32" s="375"/>
      <c r="B32" s="232">
        <v>304</v>
      </c>
      <c r="C32" s="232">
        <v>305</v>
      </c>
      <c r="D32" s="232"/>
      <c r="E32" s="232">
        <v>305</v>
      </c>
      <c r="F32" s="234"/>
    </row>
    <row r="33" spans="1:6" ht="16.5" customHeight="1" thickBot="1">
      <c r="A33" s="376"/>
      <c r="B33" s="235">
        <v>304</v>
      </c>
      <c r="C33" s="235">
        <v>305</v>
      </c>
      <c r="D33" s="235"/>
      <c r="E33" s="235"/>
      <c r="F33" s="236"/>
    </row>
    <row r="34" spans="1:6" ht="1.5" customHeight="1" thickBot="1">
      <c r="A34" s="377"/>
      <c r="B34" s="378"/>
      <c r="C34" s="378"/>
      <c r="D34" s="378"/>
      <c r="E34" s="378"/>
      <c r="F34" s="379"/>
    </row>
    <row r="35" spans="1:6" ht="16.5" customHeight="1">
      <c r="A35" s="380" t="s">
        <v>371</v>
      </c>
      <c r="B35" s="237"/>
      <c r="C35" s="237"/>
      <c r="D35" s="237"/>
      <c r="E35" s="237"/>
      <c r="F35" s="238"/>
    </row>
    <row r="36" spans="1:6" ht="16.5" customHeight="1">
      <c r="A36" s="375"/>
      <c r="B36" s="232"/>
      <c r="C36" s="232"/>
      <c r="D36" s="232"/>
      <c r="E36" s="232"/>
      <c r="F36" s="234"/>
    </row>
    <row r="37" spans="1:6" ht="16.5" customHeight="1">
      <c r="A37" s="375"/>
      <c r="B37" s="232"/>
      <c r="C37" s="232"/>
      <c r="D37" s="232"/>
      <c r="E37" s="232"/>
      <c r="F37" s="234"/>
    </row>
    <row r="38" spans="1:6" ht="16.5" customHeight="1">
      <c r="A38" s="375"/>
      <c r="B38" s="232"/>
      <c r="C38" s="232"/>
      <c r="D38" s="232"/>
      <c r="E38" s="232"/>
      <c r="F38" s="234"/>
    </row>
    <row r="39" spans="1:6" ht="16.5" customHeight="1">
      <c r="A39" s="375"/>
      <c r="B39" s="232">
        <v>102</v>
      </c>
      <c r="C39" s="232"/>
      <c r="D39" s="232"/>
      <c r="E39" s="232"/>
      <c r="F39" s="234"/>
    </row>
    <row r="40" spans="1:6" ht="16.5" customHeight="1">
      <c r="A40" s="375"/>
      <c r="B40" s="232">
        <v>102</v>
      </c>
      <c r="C40" s="232"/>
      <c r="D40" s="232"/>
      <c r="E40" s="232">
        <v>302</v>
      </c>
      <c r="F40" s="234"/>
    </row>
    <row r="41" spans="1:6" ht="16.5" customHeight="1" thickBot="1">
      <c r="A41" s="376"/>
      <c r="B41" s="235">
        <v>102</v>
      </c>
      <c r="C41" s="235"/>
      <c r="D41" s="235"/>
      <c r="E41" s="235"/>
      <c r="F41" s="236"/>
    </row>
    <row r="42" spans="1:6" ht="1.5" customHeight="1" thickBot="1">
      <c r="A42" s="377"/>
      <c r="B42" s="378"/>
      <c r="C42" s="378"/>
      <c r="D42" s="378"/>
      <c r="E42" s="378"/>
      <c r="F42" s="379"/>
    </row>
    <row r="43" spans="1:6" ht="16.5" customHeight="1">
      <c r="A43" s="380" t="s">
        <v>398</v>
      </c>
      <c r="B43" s="237"/>
      <c r="C43" s="237"/>
      <c r="D43" s="237">
        <v>102</v>
      </c>
      <c r="E43" s="237"/>
      <c r="F43" s="238"/>
    </row>
    <row r="44" spans="1:6" ht="16.5" customHeight="1">
      <c r="A44" s="375"/>
      <c r="B44" s="232"/>
      <c r="C44" s="232"/>
      <c r="D44" s="232">
        <v>102</v>
      </c>
      <c r="E44" s="232"/>
      <c r="F44" s="234">
        <v>109</v>
      </c>
    </row>
    <row r="45" spans="1:6" ht="16.5" customHeight="1">
      <c r="A45" s="375"/>
      <c r="B45" s="232"/>
      <c r="C45" s="232"/>
      <c r="D45" s="232">
        <v>102</v>
      </c>
      <c r="E45" s="232"/>
      <c r="F45" s="234"/>
    </row>
    <row r="46" spans="1:6" ht="16.5" customHeight="1">
      <c r="A46" s="375"/>
      <c r="B46" s="232"/>
      <c r="C46" s="232"/>
      <c r="D46" s="232"/>
      <c r="E46" s="232"/>
      <c r="F46" s="234"/>
    </row>
    <row r="47" spans="1:6" ht="16.5" customHeight="1">
      <c r="A47" s="375"/>
      <c r="B47" s="232"/>
      <c r="C47" s="232"/>
      <c r="D47" s="232"/>
      <c r="E47" s="232"/>
      <c r="F47" s="234"/>
    </row>
    <row r="48" spans="1:6" ht="16.5" customHeight="1" thickBot="1">
      <c r="A48" s="375"/>
      <c r="B48" s="248"/>
      <c r="C48" s="248">
        <v>111</v>
      </c>
      <c r="D48" s="248"/>
      <c r="E48" s="248"/>
      <c r="F48" s="249"/>
    </row>
    <row r="49" spans="1:6" ht="1.5" customHeight="1" thickBot="1">
      <c r="A49" s="377"/>
      <c r="B49" s="378"/>
      <c r="C49" s="378"/>
      <c r="D49" s="378"/>
      <c r="E49" s="378"/>
      <c r="F49" s="379"/>
    </row>
    <row r="50" spans="1:6" ht="16.5" customHeight="1">
      <c r="A50" s="380" t="s">
        <v>372</v>
      </c>
      <c r="B50" s="237"/>
      <c r="C50" s="237"/>
      <c r="D50" s="237"/>
      <c r="E50" s="237">
        <v>205</v>
      </c>
      <c r="F50" s="238">
        <v>205</v>
      </c>
    </row>
    <row r="51" spans="1:6" ht="16.5" customHeight="1">
      <c r="A51" s="375"/>
      <c r="B51" s="232"/>
      <c r="C51" s="232">
        <v>101</v>
      </c>
      <c r="D51" s="232"/>
      <c r="E51" s="232">
        <v>205</v>
      </c>
      <c r="F51" s="234"/>
    </row>
    <row r="52" spans="1:6" ht="16.5" customHeight="1">
      <c r="A52" s="375"/>
      <c r="B52" s="232">
        <v>204</v>
      </c>
      <c r="C52" s="232">
        <v>101</v>
      </c>
      <c r="D52" s="232"/>
      <c r="E52" s="232"/>
      <c r="F52" s="234"/>
    </row>
    <row r="53" spans="1:6" ht="16.5" customHeight="1">
      <c r="A53" s="375"/>
      <c r="B53" s="232"/>
      <c r="C53" s="232">
        <v>101</v>
      </c>
      <c r="D53" s="232">
        <v>202</v>
      </c>
      <c r="E53" s="232"/>
      <c r="F53" s="234"/>
    </row>
    <row r="54" spans="1:6" ht="16.5" customHeight="1">
      <c r="A54" s="375"/>
      <c r="B54" s="232"/>
      <c r="C54" s="232">
        <v>101</v>
      </c>
      <c r="D54" s="232"/>
      <c r="E54" s="232" t="s">
        <v>399</v>
      </c>
      <c r="F54" s="234">
        <v>202</v>
      </c>
    </row>
    <row r="55" spans="1:6" ht="16.5" customHeight="1" thickBot="1">
      <c r="A55" s="375"/>
      <c r="B55" s="232"/>
      <c r="C55" s="232"/>
      <c r="D55" s="232">
        <v>202</v>
      </c>
      <c r="E55" s="232" t="s">
        <v>399</v>
      </c>
      <c r="F55" s="234"/>
    </row>
    <row r="56" spans="1:6" ht="1.5" customHeight="1" thickBot="1">
      <c r="A56" s="377"/>
      <c r="B56" s="378"/>
      <c r="C56" s="378"/>
      <c r="D56" s="378"/>
      <c r="E56" s="378"/>
      <c r="F56" s="379"/>
    </row>
  </sheetData>
  <mergeCells count="14">
    <mergeCell ref="A1:F1"/>
    <mergeCell ref="A3:A9"/>
    <mergeCell ref="A56:F56"/>
    <mergeCell ref="A43:A48"/>
    <mergeCell ref="A50:A55"/>
    <mergeCell ref="A35:A41"/>
    <mergeCell ref="A27:A33"/>
    <mergeCell ref="A49:F49"/>
    <mergeCell ref="A42:F42"/>
    <mergeCell ref="A34:F34"/>
    <mergeCell ref="A18:F18"/>
    <mergeCell ref="A10:F10"/>
    <mergeCell ref="A19:A25"/>
    <mergeCell ref="A11:A17"/>
  </mergeCells>
  <printOptions horizontalCentered="1" verticalCentered="1"/>
  <pageMargins left="0.43307086614173229" right="0.43307086614173229" top="0.19685039370078741" bottom="0.19685039370078741" header="0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73"/>
  <sheetViews>
    <sheetView zoomScaleNormal="100" workbookViewId="0">
      <selection activeCell="L49" sqref="L49"/>
    </sheetView>
  </sheetViews>
  <sheetFormatPr defaultColWidth="23.7109375" defaultRowHeight="12.75"/>
  <cols>
    <col min="1" max="1" width="3.140625" style="13" customWidth="1"/>
    <col min="2" max="2" width="19.5703125" style="12" customWidth="1"/>
    <col min="3" max="3" width="12.5703125" style="126" customWidth="1"/>
    <col min="4" max="4" width="21.28515625" style="12" customWidth="1"/>
    <col min="5" max="5" width="12.85546875" style="126" customWidth="1"/>
    <col min="6" max="6" width="19.28515625" style="12" customWidth="1"/>
    <col min="7" max="7" width="12.7109375" style="126" customWidth="1"/>
    <col min="8" max="8" width="17.85546875" style="12" customWidth="1"/>
    <col min="9" max="9" width="12.5703125" style="126" customWidth="1"/>
    <col min="10" max="10" width="17.42578125" style="12" customWidth="1"/>
    <col min="11" max="11" width="12.5703125" style="126" customWidth="1"/>
    <col min="12" max="16384" width="23.7109375" style="12"/>
  </cols>
  <sheetData>
    <row r="1" spans="1:11" ht="26.25" customHeight="1">
      <c r="A1" s="384" t="s">
        <v>24</v>
      </c>
      <c r="B1" s="384"/>
      <c r="C1" s="384"/>
      <c r="D1" s="384"/>
      <c r="E1" s="384"/>
      <c r="F1" s="384"/>
      <c r="G1" s="384"/>
      <c r="H1" s="384"/>
      <c r="I1" s="384"/>
      <c r="J1" s="384"/>
      <c r="K1" s="384"/>
    </row>
    <row r="2" spans="1:11" s="13" customFormat="1" ht="13.5" customHeight="1">
      <c r="A2" s="136"/>
      <c r="B2" s="132">
        <v>5</v>
      </c>
      <c r="C2" s="159"/>
      <c r="D2" s="132">
        <v>6</v>
      </c>
      <c r="E2" s="131"/>
      <c r="F2" s="132">
        <v>7</v>
      </c>
      <c r="G2" s="131"/>
      <c r="H2" s="132"/>
      <c r="I2" s="131"/>
      <c r="J2" s="132"/>
      <c r="K2" s="133"/>
    </row>
    <row r="3" spans="1:11" ht="12" customHeight="1">
      <c r="A3" s="137">
        <v>1</v>
      </c>
      <c r="B3" s="128" t="str">
        <f>VLOOKUP('Програма-кодове'!C2,Списък!$A$1:$B$209,2,FALSE)</f>
        <v>Паронова</v>
      </c>
      <c r="C3" s="160" t="str">
        <f>IFERROR(VLOOKUP(B3,Списък!$B$3:$I$77,7,0),"")</f>
        <v>212/214/215/217</v>
      </c>
      <c r="D3" s="128" t="str">
        <f>VLOOKUP('Програма-кодове'!D2,Списък!$A$1:$B$209,2,FALSE)</f>
        <v>Трифонова</v>
      </c>
      <c r="E3" s="165">
        <f>IFERROR(VLOOKUP(D3,Списък!$B$3:$I$77,7,0),"")</f>
        <v>203</v>
      </c>
      <c r="F3" s="128" t="str">
        <f>VLOOKUP('Програма-кодове'!E2,Списък!$A$1:$B$209,2,FALSE)</f>
        <v>Г. Тодорова</v>
      </c>
      <c r="G3" s="165">
        <f>IFERROR(VLOOKUP(F3,Списък!$B$3:$I$77,7,0),"")</f>
        <v>103</v>
      </c>
      <c r="H3" s="128"/>
      <c r="I3" s="165"/>
      <c r="J3" s="128"/>
      <c r="K3" s="160"/>
    </row>
    <row r="4" spans="1:11" ht="12" customHeight="1">
      <c r="A4" s="137">
        <v>2</v>
      </c>
      <c r="B4" s="128" t="str">
        <f>VLOOKUP('Програма-кодове'!C3,Списък!$A$1:$B$209,2,FALSE)</f>
        <v>Сапунджиева</v>
      </c>
      <c r="C4" s="160">
        <f>IFERROR(VLOOKUP(B4,Списък!$B$3:$I$77,7,0),"")</f>
        <v>104</v>
      </c>
      <c r="D4" s="128" t="str">
        <f>VLOOKUP('Програма-кодове'!D3,Списък!$A$1:$B$209,2,FALSE)</f>
        <v>Паронова</v>
      </c>
      <c r="E4" s="165" t="str">
        <f>IFERROR(VLOOKUP(D4,Списък!$B$3:$I$77,7,0),"")</f>
        <v>212/214/215/217</v>
      </c>
      <c r="F4" s="128" t="str">
        <f>VLOOKUP('Програма-кодове'!E3,Списък!$A$1:$B$209,2,FALSE)</f>
        <v>Петров ФВС</v>
      </c>
      <c r="G4" s="165" t="str">
        <f>IFERROR(VLOOKUP(F4,Списък!$B$3:$I$77,7,0),"")</f>
        <v>ФС</v>
      </c>
      <c r="H4" s="128"/>
      <c r="I4" s="165"/>
      <c r="J4" s="128"/>
      <c r="K4" s="160"/>
    </row>
    <row r="5" spans="1:11" ht="12" customHeight="1">
      <c r="A5" s="137">
        <v>3</v>
      </c>
      <c r="B5" s="128" t="str">
        <f>VLOOKUP('Програма-кодове'!C4,Списък!$A$1:$B$209,2,FALSE)</f>
        <v>Пецова</v>
      </c>
      <c r="C5" s="160" t="str">
        <f>IFERROR(VLOOKUP(B5,Списък!$B$3:$I$77,7,0),"")</f>
        <v>102/105/111/112</v>
      </c>
      <c r="D5" s="128" t="str">
        <f>VLOOKUP('Програма-кодове'!D4,Списък!$A$1:$B$209,2,FALSE)</f>
        <v>Кръстева</v>
      </c>
      <c r="E5" s="165">
        <f>IFERROR(VLOOKUP(D5,Списък!$B$3:$I$77,7,0),"")</f>
        <v>302</v>
      </c>
      <c r="F5" s="128" t="str">
        <f>VLOOKUP('Програма-кодове'!E4,Списък!$A$1:$B$209,2,FALSE)</f>
        <v>Киров</v>
      </c>
      <c r="G5" s="165" t="str">
        <f>IFERROR(VLOOKUP(F5,Списък!$B$3:$I$77,7,0),"")</f>
        <v>109/110/111/114/102/302</v>
      </c>
      <c r="H5" s="128"/>
      <c r="I5" s="165"/>
      <c r="J5" s="128"/>
      <c r="K5" s="160"/>
    </row>
    <row r="6" spans="1:11" ht="12" customHeight="1">
      <c r="A6" s="137">
        <v>4</v>
      </c>
      <c r="B6" s="128" t="str">
        <f>VLOOKUP('Програма-кодове'!C5,Списък!$A$1:$B$209,2,FALSE)</f>
        <v>Димитрова/Пецова</v>
      </c>
      <c r="C6" s="160" t="str">
        <f>IFERROR(VLOOKUP(B6,Списък!$B$3:$I$77,7,0),"")</f>
        <v>КК2/105/111/112</v>
      </c>
      <c r="D6" s="128" t="str">
        <f>VLOOKUP('Програма-кодове'!D5,Списък!$A$1:$B$209,2,FALSE)</f>
        <v>Петкова/Янева</v>
      </c>
      <c r="E6" s="165" t="str">
        <f>IFERROR(VLOOKUP(D6,Списък!$B$3:$I$77,7,0),"")</f>
        <v>КК6/КК4</v>
      </c>
      <c r="F6" s="128" t="str">
        <f>VLOOKUP('Програма-кодове'!E5,Списък!$A$1:$B$209,2,FALSE)</f>
        <v>Трифонова</v>
      </c>
      <c r="G6" s="165">
        <f>IFERROR(VLOOKUP(F6,Списък!$B$3:$I$77,7,0),"")</f>
        <v>203</v>
      </c>
      <c r="H6" s="128"/>
      <c r="I6" s="165"/>
      <c r="J6" s="128"/>
      <c r="K6" s="160"/>
    </row>
    <row r="7" spans="1:11" ht="12" customHeight="1">
      <c r="A7" s="137">
        <v>5</v>
      </c>
      <c r="B7" s="128" t="str">
        <f>VLOOKUP('Програма-кодове'!C6,Списък!$A$1:$B$209,2,FALSE)</f>
        <v>Краева</v>
      </c>
      <c r="C7" s="160">
        <f>IFERROR(VLOOKUP(B7,Списък!$B$3:$I$77,7,0),"")</f>
        <v>306</v>
      </c>
      <c r="D7" s="128" t="str">
        <f>VLOOKUP('Програма-кодове'!D6,Списък!$A$1:$B$209,2,FALSE)</f>
        <v>Трандев</v>
      </c>
      <c r="E7" s="165" t="str">
        <f>IFERROR(VLOOKUP(D7,Списък!$B$3:$I$77,7,0),"")</f>
        <v>ФС</v>
      </c>
      <c r="F7" s="128" t="str">
        <f>VLOOKUP('Програма-кодове'!E6,Списък!$A$1:$B$209,2,FALSE)</f>
        <v>Трифонова</v>
      </c>
      <c r="G7" s="165">
        <f>IFERROR(VLOOKUP(F7,Списък!$B$3:$I$77,7,0),"")</f>
        <v>203</v>
      </c>
      <c r="H7" s="128"/>
      <c r="I7" s="165"/>
      <c r="J7" s="128"/>
      <c r="K7" s="160"/>
    </row>
    <row r="8" spans="1:11" ht="12" customHeight="1">
      <c r="A8" s="137">
        <v>6</v>
      </c>
      <c r="B8" s="128" t="str">
        <f>VLOOKUP('Програма-кодове'!C7,Списък!$A$1:$B$209,2,FALSE)</f>
        <v>K. Петрова/Пецова</v>
      </c>
      <c r="C8" s="160" t="str">
        <f>IFERROR(VLOOKUP(B8,Списък!$B$3:$I$77,7,0),"")</f>
        <v>КК5/112</v>
      </c>
      <c r="D8" s="128" t="str">
        <f>VLOOKUP('Програма-кодове'!D7,Списък!$A$1:$B$209,2,FALSE)</f>
        <v>Никова</v>
      </c>
      <c r="E8" s="165">
        <f>IFERROR(VLOOKUP(D8,Списък!$B$3:$I$77,7,0),"")</f>
        <v>111</v>
      </c>
      <c r="F8" s="128" t="str">
        <f>VLOOKUP('Програма-кодове'!E7,Списък!$A$1:$B$209,2,FALSE)</f>
        <v>Клисарова</v>
      </c>
      <c r="G8" s="165">
        <f>IFERROR(VLOOKUP(F8,Списък!$B$3:$I$77,7,0),"")</f>
        <v>305</v>
      </c>
      <c r="H8" s="128"/>
      <c r="I8" s="165"/>
      <c r="J8" s="128"/>
      <c r="K8" s="160"/>
    </row>
    <row r="9" spans="1:11" ht="12" customHeight="1">
      <c r="A9" s="137">
        <v>7</v>
      </c>
      <c r="B9" s="128">
        <f>VLOOKUP('Програма-кодове'!C8,Списък!$A$1:$B$209,2,FALSE)</f>
        <v>0</v>
      </c>
      <c r="C9" s="160" t="str">
        <f>IFERROR(VLOOKUP(B9,Списък!$B$3:$I$77,7,0),"")</f>
        <v/>
      </c>
      <c r="D9" s="128">
        <f>VLOOKUP('Програма-кодове'!D8,Списък!$A$1:$B$209,2,FALSE)</f>
        <v>0</v>
      </c>
      <c r="E9" s="165" t="str">
        <f>IFERROR(VLOOKUP(D9,Списък!$B$3:$I$77,7,0),"")</f>
        <v/>
      </c>
      <c r="F9" s="128" t="str">
        <f>VLOOKUP('Програма-кодове'!E8,Списък!$A$1:$B$209,2,FALSE)</f>
        <v>Влашинска</v>
      </c>
      <c r="G9" s="165" t="str">
        <f>IFERROR(VLOOKUP(F9,Списък!$B$3:$I$77,7,0),"")</f>
        <v>212/214/215/217</v>
      </c>
      <c r="H9" s="128"/>
      <c r="I9" s="165"/>
      <c r="J9" s="128"/>
      <c r="K9" s="160"/>
    </row>
    <row r="10" spans="1:11" ht="3.75" customHeight="1">
      <c r="A10" s="138"/>
      <c r="B10" s="128"/>
      <c r="C10" s="160" t="str">
        <f>IFERROR(VLOOKUP(B10,Списък!$B$3:$I$77,7,0),"")</f>
        <v/>
      </c>
      <c r="D10" s="128"/>
      <c r="E10" s="165" t="str">
        <f>IFERROR(VLOOKUP(D10,Списък!$B$3:$I$77,7,0),"")</f>
        <v/>
      </c>
      <c r="F10" s="128"/>
      <c r="G10" s="165" t="str">
        <f>IFERROR(VLOOKUP(F10,Списък!$B$3:$I$77,7,0),"")</f>
        <v/>
      </c>
      <c r="H10" s="135"/>
      <c r="I10" s="165"/>
      <c r="J10" s="135"/>
      <c r="K10" s="160"/>
    </row>
    <row r="11" spans="1:11" ht="15" customHeight="1">
      <c r="A11" s="139"/>
      <c r="B11" s="132" t="s">
        <v>0</v>
      </c>
      <c r="C11" s="161" t="str">
        <f>IFERROR(VLOOKUP(B11,Списък!$B$3:$I$77,7,0),"")</f>
        <v/>
      </c>
      <c r="D11" s="132" t="s">
        <v>1</v>
      </c>
      <c r="E11" s="164" t="str">
        <f>IFERROR(VLOOKUP(D11,Списък!$B$3:$I$77,7,0),"")</f>
        <v/>
      </c>
      <c r="F11" s="132" t="s">
        <v>2</v>
      </c>
      <c r="G11" s="164" t="str">
        <f>IFERROR(VLOOKUP(F11,Списък!$B$3:$I$77,7,0),"")</f>
        <v/>
      </c>
      <c r="H11" s="132" t="s">
        <v>3</v>
      </c>
      <c r="I11" s="164"/>
      <c r="J11" s="132" t="s">
        <v>4</v>
      </c>
      <c r="K11" s="161"/>
    </row>
    <row r="12" spans="1:11" ht="12" customHeight="1">
      <c r="A12" s="137">
        <v>1</v>
      </c>
      <c r="B12" s="128" t="str">
        <f>VLOOKUP('Програма-кодове'!F2,Списък!$A$1:$B$209,2,FALSE)</f>
        <v>Клисарова</v>
      </c>
      <c r="C12" s="160">
        <f>IFERROR(VLOOKUP(B12,Списък!$B$3:$I$77,7,0),"")</f>
        <v>305</v>
      </c>
      <c r="D12" s="128" t="str">
        <f>VLOOKUP('Програма-кодове'!G2,Списък!$A$1:$B$209,2,FALSE)</f>
        <v>Габарова</v>
      </c>
      <c r="E12" s="165">
        <f>IFERROR(VLOOKUP(D12,Списък!$B$3:$I$77,7,0),"")</f>
        <v>206</v>
      </c>
      <c r="F12" s="128" t="str">
        <f>VLOOKUP('Програма-кодове'!H2,Списък!$A$1:$B$209,2,FALSE)</f>
        <v>Гинева</v>
      </c>
      <c r="G12" s="165">
        <f>IFERROR(VLOOKUP(F12,Списък!$B$3:$I$77,7,0),"")</f>
        <v>102</v>
      </c>
      <c r="H12" s="128" t="str">
        <f>VLOOKUP('Програма-кодове'!I2,Списък!$A$1:$B$209,2,FALSE)</f>
        <v>Янева/Цветков</v>
      </c>
      <c r="I12" s="165" t="str">
        <f>IFERROR(VLOOKUP(H12,Списък!$B$3:$I$77,7,0),"")</f>
        <v>КК8/КК2</v>
      </c>
      <c r="J12" s="128" t="str">
        <f>VLOOKUP('Програма-кодове'!J2,Списък!$A$1:$B$209,2,FALSE)</f>
        <v>Мерджанова</v>
      </c>
      <c r="K12" s="160">
        <f>IFERROR(VLOOKUP(J12,Списък!$B$3:$I$77,7,0),"")</f>
        <v>304</v>
      </c>
    </row>
    <row r="13" spans="1:11" ht="12" customHeight="1">
      <c r="A13" s="137">
        <v>2</v>
      </c>
      <c r="B13" s="128" t="str">
        <f>VLOOKUP('Програма-кодове'!F3,Списък!$A$1:$B$209,2,FALSE)</f>
        <v>Трифонова</v>
      </c>
      <c r="C13" s="160">
        <f>IFERROR(VLOOKUP(B13,Списък!$B$3:$I$77,7,0),"")</f>
        <v>203</v>
      </c>
      <c r="D13" s="128" t="str">
        <f>VLOOKUP('Програма-кодове'!G3,Списък!$A$1:$B$209,2,FALSE)</f>
        <v>Габарова</v>
      </c>
      <c r="E13" s="165">
        <f>IFERROR(VLOOKUP(D13,Списък!$B$3:$I$77,7,0),"")</f>
        <v>206</v>
      </c>
      <c r="F13" s="128" t="str">
        <f>VLOOKUP('Програма-кодове'!H3,Списък!$A$1:$B$209,2,FALSE)</f>
        <v>Гинева</v>
      </c>
      <c r="G13" s="165">
        <f>IFERROR(VLOOKUP(F13,Списък!$B$3:$I$77,7,0),"")</f>
        <v>102</v>
      </c>
      <c r="H13" s="128" t="str">
        <f>VLOOKUP('Програма-кодове'!I3,Списък!$A$1:$B$209,2,FALSE)</f>
        <v>Г. Тодорова</v>
      </c>
      <c r="I13" s="165">
        <f>IFERROR(VLOOKUP(H13,Списък!$B$3:$I$77,7,0),"")</f>
        <v>103</v>
      </c>
      <c r="J13" s="128" t="str">
        <f>VLOOKUP('Програма-кодове'!J3,Списък!$A$1:$B$209,2,FALSE)</f>
        <v>Янева/Цветков</v>
      </c>
      <c r="K13" s="160" t="str">
        <f>IFERROR(VLOOKUP(J13,Списък!$B$3:$I$77,7,0),"")</f>
        <v>КК8/КК2</v>
      </c>
    </row>
    <row r="14" spans="1:11" ht="12" customHeight="1">
      <c r="A14" s="137">
        <v>3</v>
      </c>
      <c r="B14" s="128" t="str">
        <f>VLOOKUP('Програма-кодове'!F4,Списък!$A$1:$B$209,2,FALSE)</f>
        <v>Янева/Цветков</v>
      </c>
      <c r="C14" s="160" t="str">
        <f>IFERROR(VLOOKUP(B14,Списък!$B$3:$I$77,7,0),"")</f>
        <v>КК8/КК2</v>
      </c>
      <c r="D14" s="128" t="str">
        <f>VLOOKUP('Програма-кодове'!G4,Списък!$A$1:$B$209,2,FALSE)</f>
        <v>Габарова</v>
      </c>
      <c r="E14" s="165">
        <f>IFERROR(VLOOKUP(D14,Списък!$B$3:$I$77,7,0),"")</f>
        <v>206</v>
      </c>
      <c r="F14" s="128" t="str">
        <f>VLOOKUP('Програма-кодове'!H4,Списък!$A$1:$B$209,2,FALSE)</f>
        <v>Гинева</v>
      </c>
      <c r="G14" s="165">
        <f>IFERROR(VLOOKUP(F14,Списък!$B$3:$I$77,7,0),"")</f>
        <v>102</v>
      </c>
      <c r="H14" s="128" t="str">
        <f>VLOOKUP('Програма-кодове'!I4,Списък!$A$1:$B$209,2,FALSE)</f>
        <v>Г. Тодорова</v>
      </c>
      <c r="I14" s="165">
        <f>IFERROR(VLOOKUP(H14,Списък!$B$3:$I$77,7,0),"")</f>
        <v>103</v>
      </c>
      <c r="J14" s="128" t="str">
        <f>VLOOKUP('Програма-кодове'!J4,Списък!$A$1:$B$209,2,FALSE)</f>
        <v>Сапунджиева</v>
      </c>
      <c r="K14" s="160">
        <f>IFERROR(VLOOKUP(J14,Списък!$B$3:$I$77,7,0),"")</f>
        <v>104</v>
      </c>
    </row>
    <row r="15" spans="1:11" ht="12" customHeight="1">
      <c r="A15" s="137">
        <v>4</v>
      </c>
      <c r="B15" s="128" t="str">
        <f>VLOOKUP('Програма-кодове'!F5,Списък!$A$1:$B$209,2,FALSE)</f>
        <v>Спасова</v>
      </c>
      <c r="C15" s="160">
        <f>IFERROR(VLOOKUP(B15,Списък!$B$3:$I$77,7,0),"")</f>
        <v>205</v>
      </c>
      <c r="D15" s="128" t="str">
        <f>VLOOKUP('Програма-кодове'!G5,Списък!$A$1:$B$209,2,FALSE)</f>
        <v>Гочева</v>
      </c>
      <c r="E15" s="165">
        <f>IFERROR(VLOOKUP(D15,Списък!$B$3:$I$77,7,0),"")</f>
        <v>301</v>
      </c>
      <c r="F15" s="128" t="str">
        <f>VLOOKUP('Програма-кодове'!H5,Списък!$A$1:$B$209,2,FALSE)</f>
        <v>Гинева</v>
      </c>
      <c r="G15" s="165">
        <f>IFERROR(VLOOKUP(F15,Списък!$B$3:$I$77,7,0),"")</f>
        <v>102</v>
      </c>
      <c r="H15" s="128" t="str">
        <f>VLOOKUP('Програма-кодове'!I5,Списък!$A$1:$B$209,2,FALSE)</f>
        <v>Г. Тодорова</v>
      </c>
      <c r="I15" s="165">
        <f>IFERROR(VLOOKUP(H15,Списък!$B$3:$I$77,7,0),"")</f>
        <v>103</v>
      </c>
      <c r="J15" s="128" t="str">
        <f>VLOOKUP('Програма-кодове'!J5,Списък!$A$1:$B$209,2,FALSE)</f>
        <v>Сапунджиева</v>
      </c>
      <c r="K15" s="160">
        <f>IFERROR(VLOOKUP(J15,Списък!$B$3:$I$77,7,0),"")</f>
        <v>104</v>
      </c>
    </row>
    <row r="16" spans="1:11" ht="12" customHeight="1">
      <c r="A16" s="137">
        <v>5</v>
      </c>
      <c r="B16" s="128" t="str">
        <f>VLOOKUP('Програма-кодове'!F6,Списък!$A$1:$B$209,2,FALSE)</f>
        <v>Спасова</v>
      </c>
      <c r="C16" s="160">
        <f>IFERROR(VLOOKUP(B16,Списък!$B$3:$I$77,7,0),"")</f>
        <v>205</v>
      </c>
      <c r="D16" s="128" t="str">
        <f>VLOOKUP('Програма-кодове'!G6,Списък!$A$1:$B$209,2,FALSE)</f>
        <v>Вълчева</v>
      </c>
      <c r="E16" s="165">
        <f>IFERROR(VLOOKUP(D16,Списък!$B$3:$I$77,7,0),"")</f>
        <v>201</v>
      </c>
      <c r="F16" s="128" t="str">
        <f>VLOOKUP('Програма-кодове'!H6,Списък!$A$1:$B$209,2,FALSE)</f>
        <v>Янева/Цветков</v>
      </c>
      <c r="G16" s="165" t="str">
        <f>IFERROR(VLOOKUP(F16,Списък!$B$3:$I$77,7,0),"")</f>
        <v>КК8/КК2</v>
      </c>
      <c r="H16" s="128" t="str">
        <f>VLOOKUP('Програма-кодове'!I6,Списък!$A$1:$B$209,2,FALSE)</f>
        <v>Г. Тодорова</v>
      </c>
      <c r="I16" s="165">
        <f>IFERROR(VLOOKUP(H16,Списък!$B$3:$I$77,7,0),"")</f>
        <v>103</v>
      </c>
      <c r="J16" s="128" t="str">
        <f>VLOOKUP('Програма-кодове'!J6,Списък!$A$1:$B$209,2,FALSE)</f>
        <v>В. Иванова</v>
      </c>
      <c r="K16" s="160">
        <f>IFERROR(VLOOKUP(J16,Списък!$B$3:$I$77,7,0),"")</f>
        <v>109</v>
      </c>
    </row>
    <row r="17" spans="1:11" ht="12" customHeight="1">
      <c r="A17" s="137">
        <v>6</v>
      </c>
      <c r="B17" s="128" t="str">
        <f>VLOOKUP('Програма-кодове'!F7,Списък!$A$1:$B$209,2,FALSE)</f>
        <v>Спасова</v>
      </c>
      <c r="C17" s="160">
        <f>IFERROR(VLOOKUP(B17,Списък!$B$3:$I$77,7,0),"")</f>
        <v>205</v>
      </c>
      <c r="D17" s="128" t="str">
        <f>VLOOKUP('Програма-кодове'!G7,Списък!$A$1:$B$209,2,FALSE)</f>
        <v>Димитрова/Янева</v>
      </c>
      <c r="E17" s="165" t="str">
        <f>IFERROR(VLOOKUP(D17,Списък!$B$3:$I$77,7,0),"")</f>
        <v>КК4/102/109</v>
      </c>
      <c r="F17" s="128" t="str">
        <f>VLOOKUP('Програма-кодове'!H7,Списък!$A$1:$B$209,2,FALSE)</f>
        <v>Краева</v>
      </c>
      <c r="G17" s="165">
        <f>IFERROR(VLOOKUP(F17,Списък!$B$3:$I$77,7,0),"")</f>
        <v>306</v>
      </c>
      <c r="H17" s="128" t="str">
        <f>VLOOKUP('Програма-кодове'!I7,Списък!$A$1:$B$209,2,FALSE)</f>
        <v>В. Иванова</v>
      </c>
      <c r="I17" s="165">
        <f>IFERROR(VLOOKUP(H17,Списък!$B$3:$I$77,7,0),"")</f>
        <v>109</v>
      </c>
      <c r="J17" s="128" t="str">
        <f>VLOOKUP('Програма-кодове'!J7,Списък!$A$1:$B$209,2,FALSE)</f>
        <v>Сапунджиева</v>
      </c>
      <c r="K17" s="160">
        <f>IFERROR(VLOOKUP(J17,Списък!$B$3:$I$77,7,0),"")</f>
        <v>104</v>
      </c>
    </row>
    <row r="18" spans="1:11" ht="12" customHeight="1">
      <c r="A18" s="137">
        <v>7</v>
      </c>
      <c r="B18" s="128" t="str">
        <f>VLOOKUP('Програма-кодове'!F8,Списък!$A$1:$B$209,2,FALSE)</f>
        <v>Спасова</v>
      </c>
      <c r="C18" s="160">
        <f>IFERROR(VLOOKUP(B18,Списък!$B$3:$I$77,7,0),"")</f>
        <v>205</v>
      </c>
      <c r="D18" s="128" t="str">
        <f>VLOOKUP('Програма-кодове'!G8,Списък!$A$1:$B$209,2,FALSE)</f>
        <v>Трандев</v>
      </c>
      <c r="E18" s="165" t="str">
        <f>IFERROR(VLOOKUP(D18,Списък!$B$3:$I$77,7,0),"")</f>
        <v>ФС</v>
      </c>
      <c r="F18" s="128" t="str">
        <f>VLOOKUP('Програма-кодове'!H8,Списък!$A$1:$B$209,2,FALSE)</f>
        <v>В. Иванова</v>
      </c>
      <c r="G18" s="165">
        <f>IFERROR(VLOOKUP(F18,Списък!$B$3:$I$77,7,0),"")</f>
        <v>109</v>
      </c>
      <c r="H18" s="128" t="str">
        <f>VLOOKUP('Програма-кодове'!I8,Списък!$A$1:$B$209,2,FALSE)</f>
        <v>Краева</v>
      </c>
      <c r="I18" s="165">
        <f>IFERROR(VLOOKUP(H18,Списък!$B$3:$I$77,7,0),"")</f>
        <v>306</v>
      </c>
      <c r="J18" s="128" t="str">
        <f>VLOOKUP('Програма-кодове'!J8,Списък!$A$1:$B$209,2,FALSE)</f>
        <v>Сапунджиева</v>
      </c>
      <c r="K18" s="160">
        <f>IFERROR(VLOOKUP(J18,Списък!$B$3:$I$77,7,0),"")</f>
        <v>104</v>
      </c>
    </row>
    <row r="19" spans="1:11" ht="6" customHeight="1">
      <c r="A19" s="138"/>
      <c r="B19" s="128"/>
      <c r="C19" s="160" t="str">
        <f>IFERROR(VLOOKUP(B19,Списък!$B$3:$I$77,7,0),"")</f>
        <v/>
      </c>
      <c r="D19" s="128"/>
      <c r="E19" s="165" t="str">
        <f>IFERROR(VLOOKUP(D19,Списък!$B$3:$I$77,7,0),"")</f>
        <v/>
      </c>
      <c r="F19" s="128"/>
      <c r="G19" s="165" t="str">
        <f>IFERROR(VLOOKUP(F19,Списък!$B$3:$I$77,7,0),"")</f>
        <v/>
      </c>
      <c r="H19" s="128"/>
      <c r="I19" s="165" t="str">
        <f>IFERROR(VLOOKUP(H19,Списък!$B$3:$I$77,7,0),"")</f>
        <v/>
      </c>
      <c r="J19" s="128"/>
      <c r="K19" s="160" t="str">
        <f>IFERROR(VLOOKUP(J19,Списък!$B$3:$I$77,7,0),"")</f>
        <v/>
      </c>
    </row>
    <row r="20" spans="1:11" s="13" customFormat="1" ht="13.5" customHeight="1">
      <c r="A20" s="136"/>
      <c r="B20" s="132" t="s">
        <v>5</v>
      </c>
      <c r="C20" s="161" t="str">
        <f>IFERROR(VLOOKUP(B20,Списък!$B$3:$I$77,7,0),"")</f>
        <v/>
      </c>
      <c r="D20" s="132" t="s">
        <v>6</v>
      </c>
      <c r="E20" s="164" t="str">
        <f>IFERROR(VLOOKUP(D20,Списък!$B$3:$I$77,7,0),"")</f>
        <v/>
      </c>
      <c r="F20" s="132" t="s">
        <v>7</v>
      </c>
      <c r="G20" s="164" t="str">
        <f>IFERROR(VLOOKUP(F20,Списък!$B$3:$I$77,7,0),"")</f>
        <v/>
      </c>
      <c r="H20" s="132" t="s">
        <v>8</v>
      </c>
      <c r="I20" s="164" t="str">
        <f>IFERROR(VLOOKUP(H20,Списък!$B$3:$I$77,7,0),"")</f>
        <v/>
      </c>
      <c r="J20" s="132" t="s">
        <v>9</v>
      </c>
      <c r="K20" s="161" t="str">
        <f>IFERROR(VLOOKUP(J20,Списък!$B$3:$I$77,7,0),"")</f>
        <v/>
      </c>
    </row>
    <row r="21" spans="1:11" ht="12" customHeight="1">
      <c r="A21" s="137">
        <v>1</v>
      </c>
      <c r="B21" s="128" t="str">
        <f>VLOOKUP('Програма-кодове'!K2,Списък!$A$1:$B$209,2,FALSE)</f>
        <v>Никова</v>
      </c>
      <c r="C21" s="160">
        <f>IFERROR(VLOOKUP(B21,Списък!$B$3:$I$77,7,0),"")</f>
        <v>111</v>
      </c>
      <c r="D21" s="128" t="str">
        <f>VLOOKUP('Програма-кодове'!L2,Списък!$A$1:$B$209,2,FALSE)</f>
        <v>Гюлева</v>
      </c>
      <c r="E21" s="165">
        <f>IFERROR(VLOOKUP(D21,Списък!$B$3:$I$77,7,0),"")</f>
        <v>204</v>
      </c>
      <c r="F21" s="128" t="str">
        <f>VLOOKUP('Програма-кодове'!M2,Списък!$A$1:$B$209,2,FALSE)</f>
        <v>Латева</v>
      </c>
      <c r="G21" s="165">
        <f>IFERROR(VLOOKUP(F21,Списък!$B$3:$I$77,7,0),"")</f>
        <v>110</v>
      </c>
      <c r="H21" s="128" t="str">
        <f>VLOOKUP('Програма-кодове'!N2,Списък!$A$1:$B$209,2,FALSE)</f>
        <v>Иванова</v>
      </c>
      <c r="I21" s="165" t="str">
        <f>IFERROR(VLOOKUP(H21,Списък!$B$3:$I$77,7,0),"")</f>
        <v>104/107/202/205/206/304</v>
      </c>
      <c r="J21" s="128" t="str">
        <f>VLOOKUP('Програма-кодове'!O2,Списък!$A$1:$B$209,2,FALSE)</f>
        <v>Конгалов</v>
      </c>
      <c r="K21" s="160" t="str">
        <f>IFERROR(VLOOKUP(J21,Списък!$B$3:$I$77,7,0),"")</f>
        <v>ФС</v>
      </c>
    </row>
    <row r="22" spans="1:11" ht="12" customHeight="1">
      <c r="A22" s="137">
        <v>2</v>
      </c>
      <c r="B22" s="128" t="str">
        <f>VLOOKUP('Програма-кодове'!K3,Списък!$A$1:$B$209,2,FALSE)</f>
        <v>Иванова</v>
      </c>
      <c r="C22" s="160" t="str">
        <f>IFERROR(VLOOKUP(B22,Списък!$B$3:$I$77,7,0),"")</f>
        <v>104/107/202/205/206/304</v>
      </c>
      <c r="D22" s="128" t="str">
        <f>VLOOKUP('Програма-кодове'!L3,Списък!$A$1:$B$209,2,FALSE)</f>
        <v>Гюлева</v>
      </c>
      <c r="E22" s="165">
        <f>IFERROR(VLOOKUP(D22,Списък!$B$3:$I$77,7,0),"")</f>
        <v>204</v>
      </c>
      <c r="F22" s="128" t="str">
        <f>VLOOKUP('Програма-кодове'!M3,Списък!$A$1:$B$209,2,FALSE)</f>
        <v>Мерджанова</v>
      </c>
      <c r="G22" s="165">
        <f>IFERROR(VLOOKUP(F22,Списък!$B$3:$I$77,7,0),"")</f>
        <v>304</v>
      </c>
      <c r="H22" s="128" t="str">
        <f>VLOOKUP('Програма-кодове'!N3,Списък!$A$1:$B$209,2,FALSE)</f>
        <v>Минчева</v>
      </c>
      <c r="I22" s="165" t="str">
        <f>IFERROR(VLOOKUP(H22,Списък!$B$3:$I$77,7,0),"")</f>
        <v>212/214/215/217</v>
      </c>
      <c r="J22" s="128" t="str">
        <f>VLOOKUP('Програма-кодове'!O3,Списък!$A$1:$B$209,2,FALSE)</f>
        <v>Латева</v>
      </c>
      <c r="K22" s="160">
        <f>IFERROR(VLOOKUP(J22,Списък!$B$3:$I$77,7,0),"")</f>
        <v>110</v>
      </c>
    </row>
    <row r="23" spans="1:11" ht="12" customHeight="1">
      <c r="A23" s="137">
        <v>3</v>
      </c>
      <c r="B23" s="128" t="str">
        <f>VLOOKUP('Програма-кодове'!K4,Списък!$A$1:$B$209,2,FALSE)</f>
        <v>Латева</v>
      </c>
      <c r="C23" s="160">
        <f>IFERROR(VLOOKUP(B23,Списък!$B$3:$I$77,7,0),"")</f>
        <v>110</v>
      </c>
      <c r="D23" s="128" t="str">
        <f>VLOOKUP('Програма-кодове'!L4,Списък!$A$1:$B$209,2,FALSE)</f>
        <v>Козалиева</v>
      </c>
      <c r="E23" s="165" t="str">
        <f>IFERROR(VLOOKUP(D23,Списък!$B$3:$I$77,7,0),"")</f>
        <v>212/214/215/217</v>
      </c>
      <c r="F23" s="128" t="str">
        <f>VLOOKUP('Програма-кодове'!M4,Списък!$A$1:$B$209,2,FALSE)</f>
        <v>Иванова</v>
      </c>
      <c r="G23" s="165" t="str">
        <f>IFERROR(VLOOKUP(F23,Списък!$B$3:$I$77,7,0),"")</f>
        <v>104/107/202/205/206/304</v>
      </c>
      <c r="H23" s="128" t="str">
        <f>VLOOKUP('Програма-кодове'!N4,Списък!$A$1:$B$209,2,FALSE)</f>
        <v>Влашинска</v>
      </c>
      <c r="I23" s="165" t="str">
        <f>IFERROR(VLOOKUP(H23,Списък!$B$3:$I$77,7,0),"")</f>
        <v>212/214/215/217</v>
      </c>
      <c r="J23" s="128" t="str">
        <f>VLOOKUP('Програма-кодове'!O4,Списък!$A$1:$B$209,2,FALSE)</f>
        <v>Коларова</v>
      </c>
      <c r="K23" s="160" t="str">
        <f>IFERROR(VLOOKUP(J23,Списък!$B$3:$I$77,7,0),"")</f>
        <v>212/214/215/217</v>
      </c>
    </row>
    <row r="24" spans="1:11" ht="12" customHeight="1">
      <c r="A24" s="137">
        <v>4</v>
      </c>
      <c r="B24" s="128" t="str">
        <f>VLOOKUP('Програма-кодове'!K5,Списък!$A$1:$B$209,2,FALSE)</f>
        <v>Гюлева</v>
      </c>
      <c r="C24" s="160">
        <f>IFERROR(VLOOKUP(B24,Списък!$B$3:$I$77,7,0),"")</f>
        <v>204</v>
      </c>
      <c r="D24" s="128" t="str">
        <f>VLOOKUP('Програма-кодове'!L5,Списък!$A$1:$B$209,2,FALSE)</f>
        <v>Латева</v>
      </c>
      <c r="E24" s="165">
        <f>IFERROR(VLOOKUP(D24,Списък!$B$3:$I$77,7,0),"")</f>
        <v>110</v>
      </c>
      <c r="F24" s="128" t="str">
        <f>VLOOKUP('Програма-кодове'!M5,Списък!$A$1:$B$209,2,FALSE)</f>
        <v>Никова</v>
      </c>
      <c r="G24" s="165">
        <f>IFERROR(VLOOKUP(F24,Списък!$B$3:$I$77,7,0),"")</f>
        <v>111</v>
      </c>
      <c r="H24" s="128" t="str">
        <f>VLOOKUP('Програма-кодове'!N5,Списък!$A$1:$B$209,2,FALSE)</f>
        <v>Краева</v>
      </c>
      <c r="I24" s="165">
        <f>IFERROR(VLOOKUP(H24,Списък!$B$3:$I$77,7,0),"")</f>
        <v>306</v>
      </c>
      <c r="J24" s="128" t="str">
        <f>VLOOKUP('Програма-кодове'!O5,Списък!$A$1:$B$209,2,FALSE)</f>
        <v>Козалиева</v>
      </c>
      <c r="K24" s="160" t="str">
        <f>IFERROR(VLOOKUP(J24,Списък!$B$3:$I$77,7,0),"")</f>
        <v>212/214/215/217</v>
      </c>
    </row>
    <row r="25" spans="1:11" ht="12" customHeight="1">
      <c r="A25" s="137">
        <v>5</v>
      </c>
      <c r="B25" s="128" t="str">
        <f>VLOOKUP('Програма-кодове'!K6,Списък!$A$1:$B$209,2,FALSE)</f>
        <v>Гюлева</v>
      </c>
      <c r="C25" s="160">
        <f>IFERROR(VLOOKUP(B25,Списък!$B$3:$I$77,7,0),"")</f>
        <v>204</v>
      </c>
      <c r="D25" s="128" t="str">
        <f>VLOOKUP('Програма-кодове'!L6,Списък!$A$1:$B$209,2,FALSE)</f>
        <v>Никова</v>
      </c>
      <c r="E25" s="165">
        <f>IFERROR(VLOOKUP(D25,Списък!$B$3:$I$77,7,0),"")</f>
        <v>111</v>
      </c>
      <c r="F25" s="128" t="str">
        <f>VLOOKUP('Програма-кодове'!M6,Списък!$A$1:$B$209,2,FALSE)</f>
        <v>Козалиева</v>
      </c>
      <c r="G25" s="165" t="str">
        <f>IFERROR(VLOOKUP(F25,Списък!$B$3:$I$77,7,0),"")</f>
        <v>212/214/215/217</v>
      </c>
      <c r="H25" s="128" t="str">
        <f>VLOOKUP('Програма-кодове'!N6,Списък!$A$1:$B$209,2,FALSE)</f>
        <v>Латева</v>
      </c>
      <c r="I25" s="165">
        <f>IFERROR(VLOOKUP(H25,Списък!$B$3:$I$77,7,0),"")</f>
        <v>110</v>
      </c>
      <c r="J25" s="128" t="str">
        <f>VLOOKUP('Програма-кодове'!O6,Списък!$A$1:$B$209,2,FALSE)</f>
        <v>Кръстева</v>
      </c>
      <c r="K25" s="160">
        <f>IFERROR(VLOOKUP(J25,Списък!$B$3:$I$77,7,0),"")</f>
        <v>302</v>
      </c>
    </row>
    <row r="26" spans="1:11" ht="12" customHeight="1">
      <c r="A26" s="137">
        <v>6</v>
      </c>
      <c r="B26" s="128" t="str">
        <f>VLOOKUP('Програма-кодове'!K7,Списък!$A$1:$B$209,2,FALSE)</f>
        <v>Козалиева</v>
      </c>
      <c r="C26" s="160" t="str">
        <f>IFERROR(VLOOKUP(B26,Списък!$B$3:$I$77,7,0),"")</f>
        <v>212/214/215/217</v>
      </c>
      <c r="D26" s="128" t="str">
        <f>VLOOKUP('Програма-кодове'!L7,Списък!$A$1:$B$209,2,FALSE)</f>
        <v>Кирилова/Даскалова/Тодорова/Филипова</v>
      </c>
      <c r="E26" s="165" t="str">
        <f>IFERROR(VLOOKUP(D26,Списък!$B$3:$I$77,7,0),"")</f>
        <v>108/107/106/105</v>
      </c>
      <c r="F26" s="128" t="str">
        <f>VLOOKUP('Програма-кодове'!L7,Списък!$A$1:$B$209,2,FALSE)</f>
        <v>Кирилова/Даскалова/Тодорова/Филипова</v>
      </c>
      <c r="G26" s="165" t="str">
        <f>IFERROR(VLOOKUP(F26,Списък!$B$3:$I$77,7,0),"")</f>
        <v>108/107/106/105</v>
      </c>
      <c r="H26" s="128" t="str">
        <f>VLOOKUP('Програма-кодове'!L7,Списък!$A$1:$B$209,2,FALSE)</f>
        <v>Кирилова/Даскалова/Тодорова/Филипова</v>
      </c>
      <c r="I26" s="165" t="str">
        <f>IFERROR(VLOOKUP(H26,Списък!$B$3:$I$77,7,0),"")</f>
        <v>108/107/106/105</v>
      </c>
      <c r="J26" s="128" t="str">
        <f>VLOOKUP('Програма-кодове'!O7,Списък!$A$1:$B$209,2,FALSE)</f>
        <v>Гюлева</v>
      </c>
      <c r="K26" s="160">
        <f>IFERROR(VLOOKUP(J26,Списък!$B$3:$I$77,7,0),"")</f>
        <v>204</v>
      </c>
    </row>
    <row r="27" spans="1:11" ht="11.25" customHeight="1">
      <c r="A27" s="137">
        <v>7</v>
      </c>
      <c r="B27" s="128" t="str">
        <f>VLOOKUP('Програма-кодове'!K8,Списък!$A$1:$B$209,2,FALSE)</f>
        <v>Пецова</v>
      </c>
      <c r="C27" s="160" t="str">
        <f>IFERROR(VLOOKUP(B27,Списък!$B$3:$I$77,7,0),"")</f>
        <v>102/105/111/112</v>
      </c>
      <c r="D27" s="128" t="str">
        <f>VLOOKUP('Програма-кодове'!L8,Списък!$A$1:$B$209,2,FALSE)</f>
        <v>Кирилова/Даскалова/Тодорова/Филипова</v>
      </c>
      <c r="E27" s="165" t="str">
        <f>IFERROR(VLOOKUP(D27,Списък!$B$3:$I$77,7,0),"")</f>
        <v>108/107/106/105</v>
      </c>
      <c r="F27" s="128" t="str">
        <f>VLOOKUP('Програма-кодове'!L8,Списък!$A$1:$B$209,2,FALSE)</f>
        <v>Кирилова/Даскалова/Тодорова/Филипова</v>
      </c>
      <c r="G27" s="165" t="str">
        <f>IFERROR(VLOOKUP(F27,Списък!$B$3:$I$77,7,0),"")</f>
        <v>108/107/106/105</v>
      </c>
      <c r="H27" s="128" t="str">
        <f>VLOOKUP('Програма-кодове'!L8,Списък!$A$1:$B$209,2,FALSE)</f>
        <v>Кирилова/Даскалова/Тодорова/Филипова</v>
      </c>
      <c r="I27" s="165" t="str">
        <f>IFERROR(VLOOKUP(H27,Списък!$B$3:$I$77,7,0),"")</f>
        <v>108/107/106/105</v>
      </c>
      <c r="J27" s="128" t="str">
        <f>VLOOKUP('Програма-кодове'!O8,Списък!$A$1:$B$209,2,FALSE)</f>
        <v>Гюлева</v>
      </c>
      <c r="K27" s="160">
        <f>IFERROR(VLOOKUP(J27,Списък!$B$3:$I$77,7,0),"")</f>
        <v>204</v>
      </c>
    </row>
    <row r="28" spans="1:11" ht="6" customHeight="1">
      <c r="A28" s="138"/>
      <c r="B28" s="128"/>
      <c r="C28" s="160" t="str">
        <f>IFERROR(VLOOKUP(B28,Списък!$B$3:$I$77,7,0),"")</f>
        <v/>
      </c>
      <c r="D28" s="128"/>
      <c r="E28" s="165" t="str">
        <f>IFERROR(VLOOKUP(D28,Списък!$B$3:$I$77,7,0),"")</f>
        <v/>
      </c>
      <c r="F28" s="128"/>
      <c r="G28" s="165" t="str">
        <f>IFERROR(VLOOKUP(F28,Списък!$B$3:$I$77,7,0),"")</f>
        <v/>
      </c>
      <c r="H28" s="128"/>
      <c r="I28" s="165" t="str">
        <f>IFERROR(VLOOKUP(H28,Списък!$B$3:$I$77,7,0),"")</f>
        <v/>
      </c>
      <c r="J28" s="128"/>
      <c r="K28" s="160" t="str">
        <f>IFERROR(VLOOKUP(J28,Списък!$B$3:$I$77,7,0),"")</f>
        <v/>
      </c>
    </row>
    <row r="29" spans="1:11" s="13" customFormat="1" ht="13.5" customHeight="1">
      <c r="A29" s="136"/>
      <c r="B29" s="132" t="s">
        <v>10</v>
      </c>
      <c r="C29" s="161" t="str">
        <f>IFERROR(VLOOKUP(B29,Списък!$B$3:$I$77,7,0),"")</f>
        <v/>
      </c>
      <c r="D29" s="132" t="s">
        <v>11</v>
      </c>
      <c r="E29" s="164" t="str">
        <f>IFERROR(VLOOKUP(D29,Списък!$B$3:$I$77,7,0),"")</f>
        <v/>
      </c>
      <c r="F29" s="132" t="s">
        <v>12</v>
      </c>
      <c r="G29" s="164" t="str">
        <f>IFERROR(VLOOKUP(F29,Списък!$B$3:$I$77,7,0),"")</f>
        <v/>
      </c>
      <c r="H29" s="132" t="s">
        <v>13</v>
      </c>
      <c r="I29" s="164" t="str">
        <f>IFERROR(VLOOKUP(H29,Списък!$B$3:$I$77,7,0),"")</f>
        <v/>
      </c>
      <c r="J29" s="132" t="s">
        <v>14</v>
      </c>
      <c r="K29" s="161" t="str">
        <f>IFERROR(VLOOKUP(J29,Списък!$B$3:$I$77,7,0),"")</f>
        <v/>
      </c>
    </row>
    <row r="30" spans="1:11" ht="12" customHeight="1">
      <c r="A30" s="137">
        <v>1</v>
      </c>
      <c r="B30" s="128" t="str">
        <f>VLOOKUP('Програма-кодове'!P2,Списък!$A$1:$B$209,2,FALSE)</f>
        <v>Киркова/К. Петрова</v>
      </c>
      <c r="C30" s="160" t="str">
        <f>IFERROR(VLOOKUP(B30,Списък!$B$3:$I$77,7,0),"")</f>
        <v>КК7/КК1</v>
      </c>
      <c r="D30" s="128" t="str">
        <f>VLOOKUP('Програма-кодове'!Q2,Списък!$A$1:$B$209,2,FALSE)</f>
        <v>Славова</v>
      </c>
      <c r="E30" s="165">
        <f>IFERROR(VLOOKUP(D30,Списък!$B$3:$I$77,7,0),"")</f>
        <v>114</v>
      </c>
      <c r="F30" s="128" t="str">
        <f>VLOOKUP('Програма-кодове'!R2,Списък!$A$1:$B$209,2,FALSE)</f>
        <v>Петров ФВС</v>
      </c>
      <c r="G30" s="165" t="str">
        <f>IFERROR(VLOOKUP(F30,Списък!$B$3:$I$77,7,0),"")</f>
        <v>ФС</v>
      </c>
      <c r="H30" s="128" t="str">
        <f>VLOOKUP('Програма-кодове'!S2,Списък!$A$1:$B$209,2,FALSE)</f>
        <v>Данева</v>
      </c>
      <c r="I30" s="165">
        <f>IFERROR(VLOOKUP(H30,Списък!$B$3:$I$77,7,0),"")</f>
        <v>101</v>
      </c>
      <c r="J30" s="128" t="str">
        <f>VLOOKUP('Програма-кодове'!T2,Списък!$A$1:$B$209,2,FALSE)</f>
        <v>Костова</v>
      </c>
      <c r="K30" s="160" t="str">
        <f>IFERROR(VLOOKUP(J30,Списък!$B$3:$I$77,7,0),"")</f>
        <v>212/214/215/217</v>
      </c>
    </row>
    <row r="31" spans="1:11" ht="12" customHeight="1">
      <c r="A31" s="137">
        <v>2</v>
      </c>
      <c r="B31" s="128" t="str">
        <f>VLOOKUP('Програма-кодове'!P3,Списък!$A$1:$B$209,2,FALSE)</f>
        <v>Клисарова</v>
      </c>
      <c r="C31" s="160">
        <f>IFERROR(VLOOKUP(B31,Списък!$B$3:$I$77,7,0),"")</f>
        <v>305</v>
      </c>
      <c r="D31" s="128" t="str">
        <f>VLOOKUP('Програма-кодове'!Q3,Списък!$A$1:$B$209,2,FALSE)</f>
        <v>Вълчева</v>
      </c>
      <c r="E31" s="165">
        <f>IFERROR(VLOOKUP(D31,Списък!$B$3:$I$77,7,0),"")</f>
        <v>201</v>
      </c>
      <c r="F31" s="128" t="str">
        <f>VLOOKUP('Програма-кодове'!R3,Списък!$A$1:$B$209,2,FALSE)</f>
        <v>Киркова/К. Петрова</v>
      </c>
      <c r="G31" s="165" t="str">
        <f>IFERROR(VLOOKUP(F31,Списък!$B$3:$I$77,7,0),"")</f>
        <v>КК7/КК1</v>
      </c>
      <c r="H31" s="128" t="str">
        <f>VLOOKUP('Програма-кодове'!S3,Списък!$A$1:$B$209,2,FALSE)</f>
        <v>Данева</v>
      </c>
      <c r="I31" s="165">
        <f>IFERROR(VLOOKUP(H31,Списък!$B$3:$I$77,7,0),"")</f>
        <v>101</v>
      </c>
      <c r="J31" s="128" t="str">
        <f>VLOOKUP('Програма-кодове'!T3,Списък!$A$1:$B$209,2,FALSE)</f>
        <v>Костова</v>
      </c>
      <c r="K31" s="160" t="str">
        <f>IFERROR(VLOOKUP(J31,Списък!$B$3:$I$77,7,0),"")</f>
        <v>212/214/215/217</v>
      </c>
    </row>
    <row r="32" spans="1:11" ht="12" customHeight="1">
      <c r="A32" s="137">
        <v>3</v>
      </c>
      <c r="B32" s="128" t="str">
        <f>VLOOKUP('Програма-кодове'!P4,Списък!$A$1:$B$209,2,FALSE)</f>
        <v>Клисарова</v>
      </c>
      <c r="C32" s="160">
        <f>IFERROR(VLOOKUP(B32,Списък!$B$3:$I$77,7,0),"")</f>
        <v>305</v>
      </c>
      <c r="D32" s="128" t="str">
        <f>VLOOKUP('Програма-кодове'!Q4,Списък!$A$1:$B$209,2,FALSE)</f>
        <v>Вълчева</v>
      </c>
      <c r="E32" s="165">
        <f>IFERROR(VLOOKUP(D32,Списък!$B$3:$I$77,7,0),"")</f>
        <v>201</v>
      </c>
      <c r="F32" s="128" t="str">
        <f>VLOOKUP('Програма-кодове'!R4,Списък!$A$1:$B$209,2,FALSE)</f>
        <v>Данева</v>
      </c>
      <c r="G32" s="165">
        <f>IFERROR(VLOOKUP(F32,Списък!$B$3:$I$77,7,0),"")</f>
        <v>101</v>
      </c>
      <c r="H32" s="128" t="str">
        <f>VLOOKUP('Програма-кодове'!S4,Списък!$A$1:$B$209,2,FALSE)</f>
        <v>Никова</v>
      </c>
      <c r="I32" s="165">
        <f>IFERROR(VLOOKUP(H32,Списък!$B$3:$I$77,7,0),"")</f>
        <v>111</v>
      </c>
      <c r="J32" s="128" t="str">
        <f>VLOOKUP('Програма-кодове'!T4,Списък!$A$1:$B$209,2,FALSE)</f>
        <v>Киркова/К. Петрова</v>
      </c>
      <c r="K32" s="160" t="str">
        <f>IFERROR(VLOOKUP(J32,Списък!$B$3:$I$77,7,0),"")</f>
        <v>КК7/КК1</v>
      </c>
    </row>
    <row r="33" spans="1:11" ht="12" customHeight="1">
      <c r="A33" s="137">
        <v>4</v>
      </c>
      <c r="B33" s="128" t="str">
        <f>VLOOKUP('Програма-кодове'!P5,Списък!$A$1:$B$209,2,FALSE)</f>
        <v>Данева</v>
      </c>
      <c r="C33" s="160">
        <f>IFERROR(VLOOKUP(B33,Списък!$B$3:$I$77,7,0),"")</f>
        <v>101</v>
      </c>
      <c r="D33" s="128" t="str">
        <f>VLOOKUP('Програма-кодове'!Q5,Списък!$A$1:$B$209,2,FALSE)</f>
        <v>Коларова</v>
      </c>
      <c r="E33" s="165" t="str">
        <f>IFERROR(VLOOKUP(D33,Списък!$B$3:$I$77,7,0),"")</f>
        <v>212/214/215/217</v>
      </c>
      <c r="F33" s="128" t="str">
        <f>VLOOKUP('Програма-кодове'!R5,Списък!$A$1:$B$209,2,FALSE)</f>
        <v>Костова</v>
      </c>
      <c r="G33" s="165" t="str">
        <f>IFERROR(VLOOKUP(F33,Списък!$B$3:$I$77,7,0),"")</f>
        <v>212/214/215/217</v>
      </c>
      <c r="H33" s="128" t="str">
        <f>VLOOKUP('Програма-кодове'!S5,Списък!$A$1:$B$209,2,FALSE)</f>
        <v>Киркова/К. Петрова</v>
      </c>
      <c r="I33" s="165" t="str">
        <f>IFERROR(VLOOKUP(H33,Списък!$B$3:$I$77,7,0),"")</f>
        <v>КК7/КК1</v>
      </c>
      <c r="J33" s="128" t="str">
        <f>VLOOKUP('Програма-кодове'!T5,Списък!$A$1:$B$209,2,FALSE)</f>
        <v>Петров ФВС</v>
      </c>
      <c r="K33" s="160" t="str">
        <f>IFERROR(VLOOKUP(J33,Списък!$B$3:$I$77,7,0),"")</f>
        <v>ФС</v>
      </c>
    </row>
    <row r="34" spans="1:11" ht="12" customHeight="1">
      <c r="A34" s="137">
        <v>5</v>
      </c>
      <c r="B34" s="128" t="str">
        <f>VLOOKUP('Програма-кодове'!P6,Списък!$A$1:$B$209,2,FALSE)</f>
        <v>Данева</v>
      </c>
      <c r="C34" s="160">
        <f>IFERROR(VLOOKUP(B34,Списък!$B$3:$I$77,7,0),"")</f>
        <v>101</v>
      </c>
      <c r="D34" s="128" t="str">
        <f>VLOOKUP('Програма-кодове'!Q6,Списък!$A$1:$B$209,2,FALSE)</f>
        <v>Киркова/К. Петрова</v>
      </c>
      <c r="E34" s="165" t="str">
        <f>IFERROR(VLOOKUP(D34,Списък!$B$3:$I$77,7,0),"")</f>
        <v>КК7/КК1</v>
      </c>
      <c r="F34" s="128" t="str">
        <f>VLOOKUP('Програма-кодове'!R6,Списък!$A$1:$B$209,2,FALSE)</f>
        <v>Коларова</v>
      </c>
      <c r="G34" s="165" t="str">
        <f>IFERROR(VLOOKUP(F34,Списък!$B$3:$I$77,7,0),"")</f>
        <v>212/214/215/217</v>
      </c>
      <c r="H34" s="128" t="str">
        <f>VLOOKUP('Програма-кодове'!S6,Списък!$A$1:$B$209,2,FALSE)</f>
        <v>Костова</v>
      </c>
      <c r="I34" s="165" t="str">
        <f>IFERROR(VLOOKUP(H34,Списък!$B$3:$I$77,7,0),"")</f>
        <v>212/214/215/217</v>
      </c>
      <c r="J34" s="128" t="str">
        <f>VLOOKUP('Програма-кодове'!T6,Списък!$A$1:$B$209,2,FALSE)</f>
        <v>Клисарова</v>
      </c>
      <c r="K34" s="160">
        <f>IFERROR(VLOOKUP(J34,Списък!$B$3:$I$77,7,0),"")</f>
        <v>305</v>
      </c>
    </row>
    <row r="35" spans="1:11" ht="12" customHeight="1">
      <c r="A35" s="137">
        <v>6</v>
      </c>
      <c r="B35" s="128" t="str">
        <f>VLOOKUP('Програма-кодове'!P7,Списък!$A$1:$B$209,2,FALSE)</f>
        <v>Киров</v>
      </c>
      <c r="C35" s="160" t="str">
        <f>IFERROR(VLOOKUP(B35,Списък!$B$3:$I$77,7,0),"")</f>
        <v>109/110/111/114/102/302</v>
      </c>
      <c r="D35" s="128" t="str">
        <f>VLOOKUP('Програма-кодове'!Q7,Списък!$A$1:$B$209,2,FALSE)</f>
        <v>Трандев</v>
      </c>
      <c r="E35" s="165" t="str">
        <f>IFERROR(VLOOKUP(D35,Списък!$B$3:$I$77,7,0),"")</f>
        <v>ФС</v>
      </c>
      <c r="F35" s="128" t="str">
        <f>VLOOKUP('Програма-кодове'!R7,Списък!$A$1:$B$209,2,FALSE)</f>
        <v>Кръстева</v>
      </c>
      <c r="G35" s="165">
        <f>IFERROR(VLOOKUP(F35,Списък!$B$3:$I$77,7,0),"")</f>
        <v>302</v>
      </c>
      <c r="H35" s="128" t="str">
        <f>VLOOKUP('Програма-кодове'!S7,Списък!$A$1:$B$209,2,FALSE)</f>
        <v>Вълчева</v>
      </c>
      <c r="I35" s="165">
        <f>IFERROR(VLOOKUP(H35,Списък!$B$3:$I$77,7,0),"")</f>
        <v>201</v>
      </c>
      <c r="J35" s="128" t="str">
        <f>VLOOKUP('Програма-кодове'!T7,Списък!$A$1:$B$209,2,FALSE)</f>
        <v>Данева</v>
      </c>
      <c r="K35" s="160">
        <f>IFERROR(VLOOKUP(J35,Списък!$B$3:$I$77,7,0),"")</f>
        <v>101</v>
      </c>
    </row>
    <row r="36" spans="1:11" ht="12" customHeight="1">
      <c r="A36" s="137">
        <v>7</v>
      </c>
      <c r="B36" s="128" t="str">
        <f>VLOOKUP('Програма-кодове'!P8,Списък!$A$1:$B$209,2,FALSE)</f>
        <v>Костова</v>
      </c>
      <c r="C36" s="160" t="str">
        <f>IFERROR(VLOOKUP(B36,Списък!$B$3:$I$77,7,0),"")</f>
        <v>212/214/215/217</v>
      </c>
      <c r="D36" s="128" t="str">
        <f>VLOOKUP('Програма-кодове'!Q8,Списък!$A$1:$B$209,2,FALSE)</f>
        <v>Кръстева</v>
      </c>
      <c r="E36" s="165">
        <f>IFERROR(VLOOKUP(D36,Списък!$B$3:$I$77,7,0),"")</f>
        <v>302</v>
      </c>
      <c r="F36" s="128" t="str">
        <f>VLOOKUP('Програма-кодове'!R8,Списък!$A$1:$B$209,2,FALSE)</f>
        <v>Славова</v>
      </c>
      <c r="G36" s="165">
        <f>IFERROR(VLOOKUP(F36,Списък!$B$3:$I$77,7,0),"")</f>
        <v>114</v>
      </c>
      <c r="H36" s="128" t="str">
        <f>VLOOKUP('Програма-кодове'!S8,Списък!$A$1:$B$209,2,FALSE)</f>
        <v>Вълчева</v>
      </c>
      <c r="I36" s="165">
        <f>IFERROR(VLOOKUP(H36,Списък!$B$3:$I$77,7,0),"")</f>
        <v>201</v>
      </c>
      <c r="J36" s="128" t="str">
        <f>VLOOKUP('Програма-кодове'!T8,Списък!$A$1:$B$209,2,FALSE)</f>
        <v>Никова</v>
      </c>
      <c r="K36" s="160">
        <f>IFERROR(VLOOKUP(J36,Списък!$B$3:$I$77,7,0),"")</f>
        <v>111</v>
      </c>
    </row>
    <row r="37" spans="1:11" ht="6" customHeight="1">
      <c r="A37" s="138"/>
      <c r="B37" s="128"/>
      <c r="C37" s="160" t="str">
        <f>IFERROR(VLOOKUP(B37,Списък!$B$3:$I$77,7,0),"")</f>
        <v/>
      </c>
      <c r="D37" s="128"/>
      <c r="E37" s="165" t="str">
        <f>IFERROR(VLOOKUP(D37,Списък!$B$3:$I$77,7,0),"")</f>
        <v/>
      </c>
      <c r="F37" s="128"/>
      <c r="G37" s="165" t="str">
        <f>IFERROR(VLOOKUP(F37,Списък!$B$3:$I$77,7,0),"")</f>
        <v/>
      </c>
      <c r="H37" s="128"/>
      <c r="I37" s="165" t="str">
        <f>IFERROR(VLOOKUP(H37,Списък!$B$3:$I$77,7,0),"")</f>
        <v/>
      </c>
      <c r="J37" s="128"/>
      <c r="K37" s="160" t="str">
        <f>IFERROR(VLOOKUP(J37,Списък!$B$3:$I$77,7,0),"")</f>
        <v/>
      </c>
    </row>
    <row r="38" spans="1:11" s="13" customFormat="1" ht="13.5" customHeight="1">
      <c r="A38" s="136"/>
      <c r="B38" s="132" t="s">
        <v>15</v>
      </c>
      <c r="C38" s="161" t="str">
        <f>IFERROR(VLOOKUP(B38,Списък!$B$3:$I$77,7,0),"")</f>
        <v/>
      </c>
      <c r="D38" s="132" t="s">
        <v>16</v>
      </c>
      <c r="E38" s="164" t="str">
        <f>IFERROR(VLOOKUP(D38,Списък!$B$3:$I$77,7,0),"")</f>
        <v/>
      </c>
      <c r="F38" s="132" t="s">
        <v>17</v>
      </c>
      <c r="G38" s="164" t="str">
        <f>IFERROR(VLOOKUP(F38,Списък!$B$3:$I$77,7,0),"")</f>
        <v/>
      </c>
      <c r="H38" s="132" t="s">
        <v>46</v>
      </c>
      <c r="I38" s="164" t="str">
        <f>IFERROR(VLOOKUP(H38,Списък!$B$3:$I$77,7,0),"")</f>
        <v/>
      </c>
      <c r="J38" s="132" t="s">
        <v>18</v>
      </c>
      <c r="K38" s="161" t="str">
        <f>IFERROR(VLOOKUP(J38,Списък!$B$3:$I$77,7,0),"")</f>
        <v/>
      </c>
    </row>
    <row r="39" spans="1:11" ht="12" customHeight="1">
      <c r="A39" s="137">
        <v>1</v>
      </c>
      <c r="B39" s="128" t="str">
        <f>VLOOKUP('Програма-кодове'!U2,Списък!$A$1:$B$209,2,FALSE)</f>
        <v>Даскалова/Тодорова</v>
      </c>
      <c r="C39" s="160" t="str">
        <f>IFERROR(VLOOKUP(B39,Списък!$B$3:$I$77,7,0),"")</f>
        <v>107-108/101-105</v>
      </c>
      <c r="D39" s="128" t="str">
        <f>VLOOKUP('Програма-кодове'!V2,Списък!$A$1:$B$209,2,FALSE)</f>
        <v>Чанкова</v>
      </c>
      <c r="E39" s="165">
        <f>IFERROR(VLOOKUP(D39,Списък!$B$3:$I$77,7,0),"")</f>
        <v>105</v>
      </c>
      <c r="F39" s="130" t="str">
        <f>VLOOKUP('Програма-кодове'!W2,Списък!$A$1:$B$209,2,FALSE)</f>
        <v>Даскалова/Тодорова</v>
      </c>
      <c r="G39" s="165" t="str">
        <f>IFERROR(VLOOKUP(F39,Списък!$B$3:$I$77,7,0),"")</f>
        <v>107-108/101-105</v>
      </c>
      <c r="H39" s="130" t="str">
        <f>VLOOKUP('Програма-кодове'!X2,Списък!$A$1:$B$209,2,FALSE)</f>
        <v>Гочева</v>
      </c>
      <c r="I39" s="165">
        <f>IFERROR(VLOOKUP(H39,Списък!$B$3:$I$77,7,0),"")</f>
        <v>301</v>
      </c>
      <c r="J39" s="128" t="str">
        <f>VLOOKUP('Програма-кодове'!Y2,Списък!$A$1:$B$209,2,FALSE)</f>
        <v>Киров</v>
      </c>
      <c r="K39" s="160" t="str">
        <f>IFERROR(VLOOKUP(J39,Списък!$B$3:$I$77,7,0),"")</f>
        <v>109/110/111/114/102/302</v>
      </c>
    </row>
    <row r="40" spans="1:11" ht="12" customHeight="1">
      <c r="A40" s="137">
        <v>2</v>
      </c>
      <c r="B40" s="128" t="str">
        <f>VLOOKUP('Програма-кодове'!U3,Списък!$A$1:$B$209,2,FALSE)</f>
        <v>Даскалова/Тодорова</v>
      </c>
      <c r="C40" s="160" t="str">
        <f>IFERROR(VLOOKUP(B40,Списък!$B$3:$I$77,7,0),"")</f>
        <v>107-108/101-105</v>
      </c>
      <c r="D40" s="128" t="str">
        <f>VLOOKUP('Програма-кодове'!V3,Списък!$A$1:$B$209,2,FALSE)</f>
        <v>Гочева</v>
      </c>
      <c r="E40" s="165">
        <f>IFERROR(VLOOKUP(D40,Списък!$B$3:$I$77,7,0),"")</f>
        <v>301</v>
      </c>
      <c r="F40" s="130" t="str">
        <f>VLOOKUP('Програма-кодове'!W3,Списък!$A$1:$B$209,2,FALSE)</f>
        <v>Даскалова/Тодорова</v>
      </c>
      <c r="G40" s="165" t="str">
        <f>IFERROR(VLOOKUP(F40,Списък!$B$3:$I$77,7,0),"")</f>
        <v>107-108/101-105</v>
      </c>
      <c r="H40" s="130" t="str">
        <f>VLOOKUP('Програма-кодове'!X3,Списък!$A$1:$B$209,2,FALSE)</f>
        <v>Конгалов</v>
      </c>
      <c r="I40" s="165" t="str">
        <f>IFERROR(VLOOKUP(H40,Списък!$B$3:$I$77,7,0),"")</f>
        <v>ФС</v>
      </c>
      <c r="J40" s="128" t="str">
        <f>VLOOKUP('Програма-кодове'!Y3,Списък!$A$1:$B$209,2,FALSE)</f>
        <v>Чанкова</v>
      </c>
      <c r="K40" s="160">
        <f>IFERROR(VLOOKUP(J40,Списък!$B$3:$I$77,7,0),"")</f>
        <v>105</v>
      </c>
    </row>
    <row r="41" spans="1:11" ht="12" customHeight="1">
      <c r="A41" s="137">
        <v>3</v>
      </c>
      <c r="B41" s="128" t="str">
        <f>VLOOKUP('Програма-кодове'!U4,Списък!$A$1:$B$209,2,FALSE)</f>
        <v>Костова</v>
      </c>
      <c r="C41" s="160" t="str">
        <f>IFERROR(VLOOKUP(B41,Списък!$B$3:$I$77,7,0),"")</f>
        <v>212/214/215/217</v>
      </c>
      <c r="D41" s="128" t="str">
        <f>VLOOKUP('Програма-кодове'!V4,Списък!$A$1:$B$209,2,FALSE)</f>
        <v>Славова</v>
      </c>
      <c r="E41" s="165">
        <f>IFERROR(VLOOKUP(D41,Списък!$B$3:$I$77,7,0),"")</f>
        <v>114</v>
      </c>
      <c r="F41" s="130" t="str">
        <f>VLOOKUP('Програма-кодове'!W4,Списък!$A$1:$B$209,2,FALSE)</f>
        <v>Гочева</v>
      </c>
      <c r="G41" s="165">
        <f>IFERROR(VLOOKUP(F41,Списък!$B$3:$I$77,7,0),"")</f>
        <v>301</v>
      </c>
      <c r="H41" s="130" t="str">
        <f>VLOOKUP('Програма-кодове'!X4,Списък!$A$1:$B$209,2,FALSE)</f>
        <v>Чанкова</v>
      </c>
      <c r="I41" s="165">
        <f>IFERROR(VLOOKUP(H41,Списък!$B$3:$I$77,7,0),"")</f>
        <v>105</v>
      </c>
      <c r="J41" s="128" t="str">
        <f>VLOOKUP('Програма-кодове'!Y4,Списък!$A$1:$B$209,2,FALSE)</f>
        <v>Минчева</v>
      </c>
      <c r="K41" s="160" t="str">
        <f>IFERROR(VLOOKUP(J41,Списък!$B$3:$I$77,7,0),"")</f>
        <v>212/214/215/217</v>
      </c>
    </row>
    <row r="42" spans="1:11" ht="12" customHeight="1">
      <c r="A42" s="137">
        <v>4</v>
      </c>
      <c r="B42" s="128" t="str">
        <f>VLOOKUP('Програма-кодове'!U5,Списък!$A$1:$B$209,2,FALSE)</f>
        <v>Славова</v>
      </c>
      <c r="C42" s="160">
        <f>IFERROR(VLOOKUP(B42,Списък!$B$3:$I$77,7,0),"")</f>
        <v>114</v>
      </c>
      <c r="D42" s="128" t="str">
        <f>VLOOKUP('Програма-кодове'!V5,Списък!$A$1:$B$209,2,FALSE)</f>
        <v>Кирилова/Тодорова</v>
      </c>
      <c r="E42" s="165" t="str">
        <f>IFERROR(VLOOKUP(D42,Списък!$B$3:$I$77,7,0),"")</f>
        <v>108/101-105</v>
      </c>
      <c r="F42" s="130" t="str">
        <f>VLOOKUP('Програма-кодове'!W5,Списък!$A$1:$B$209,2,FALSE)</f>
        <v>Чанкова</v>
      </c>
      <c r="G42" s="165">
        <f>IFERROR(VLOOKUP(F42,Списък!$B$3:$I$77,7,0),"")</f>
        <v>105</v>
      </c>
      <c r="H42" s="130" t="str">
        <f>VLOOKUP('Програма-кодове'!X5,Списък!$A$1:$B$209,2,FALSE)</f>
        <v>Киров</v>
      </c>
      <c r="I42" s="165" t="str">
        <f>IFERROR(VLOOKUP(H42,Списък!$B$3:$I$77,7,0),"")</f>
        <v>109/110/111/114/102/302</v>
      </c>
      <c r="J42" s="128" t="str">
        <f>VLOOKUP('Програма-кодове'!Y5,Списък!$A$1:$B$209,2,FALSE)</f>
        <v>Даскалова/Тодорова</v>
      </c>
      <c r="K42" s="160" t="str">
        <f>IFERROR(VLOOKUP(J42,Списък!$B$3:$I$77,7,0),"")</f>
        <v>107-108/101-105</v>
      </c>
    </row>
    <row r="43" spans="1:11" ht="12" customHeight="1">
      <c r="A43" s="137">
        <v>5</v>
      </c>
      <c r="B43" s="128" t="str">
        <f>VLOOKUP('Програма-кодове'!U6,Списък!$A$1:$B$209,2,FALSE)</f>
        <v>Батимов</v>
      </c>
      <c r="C43" s="160">
        <f>IFERROR(VLOOKUP(B43,Списък!$B$3:$I$77,7,0),"")</f>
        <v>303</v>
      </c>
      <c r="D43" s="128" t="str">
        <f>VLOOKUP('Програма-кодове'!V6,Списък!$A$1:$B$209,2,FALSE)</f>
        <v>Кирилова/Тодорова</v>
      </c>
      <c r="E43" s="165" t="str">
        <f>IFERROR(VLOOKUP(D43,Списък!$B$3:$I$77,7,0),"")</f>
        <v>108/101-105</v>
      </c>
      <c r="F43" s="130" t="str">
        <f>VLOOKUP('Програма-кодове'!W6,Списък!$A$1:$B$209,2,FALSE)</f>
        <v>Киров</v>
      </c>
      <c r="G43" s="165" t="str">
        <f>IFERROR(VLOOKUP(F43,Списък!$B$3:$I$77,7,0),"")</f>
        <v>109/110/111/114/102/302</v>
      </c>
      <c r="H43" s="130" t="str">
        <f>VLOOKUP('Програма-кодове'!X6,Списък!$A$1:$B$209,2,FALSE)</f>
        <v>Славова</v>
      </c>
      <c r="I43" s="165">
        <f>IFERROR(VLOOKUP(H43,Списък!$B$3:$I$77,7,0),"")</f>
        <v>114</v>
      </c>
      <c r="J43" s="128" t="str">
        <f>VLOOKUP('Програма-кодове'!Y6,Списък!$A$1:$B$209,2,FALSE)</f>
        <v>Даскалова/Тодорова</v>
      </c>
      <c r="K43" s="160" t="str">
        <f>IFERROR(VLOOKUP(J43,Списък!$B$3:$I$77,7,0),"")</f>
        <v>107-108/101-105</v>
      </c>
    </row>
    <row r="44" spans="1:11" ht="12" customHeight="1">
      <c r="A44" s="137">
        <v>6</v>
      </c>
      <c r="B44" s="128" t="str">
        <f>VLOOKUP('Програма-кодове'!U7,Списък!$A$1:$B$209,2,FALSE)</f>
        <v>Батимов</v>
      </c>
      <c r="C44" s="160">
        <f>IFERROR(VLOOKUP(B44,Списък!$B$3:$I$77,7,0),"")</f>
        <v>303</v>
      </c>
      <c r="D44" s="128" t="str">
        <f>VLOOKUP('Програма-кодове'!V7,Списък!$A$1:$B$209,2,FALSE)</f>
        <v>Христонова/Цветков</v>
      </c>
      <c r="E44" s="165" t="str">
        <f>IFERROR(VLOOKUP(D44,Списък!$B$3:$I$77,7,0),"")</f>
        <v>КК4/КК6</v>
      </c>
      <c r="F44" s="130" t="str">
        <f>VLOOKUP('Програма-кодове'!W7,Списък!$A$1:$B$209,2,FALSE)</f>
        <v>Н. Николова</v>
      </c>
      <c r="G44" s="165" t="str">
        <f>IFERROR(VLOOKUP(F44,Списък!$B$3:$I$77,7,0),"")</f>
        <v>201/202/203/205/206</v>
      </c>
      <c r="H44" s="130" t="str">
        <f>VLOOKUP('Програма-кодове'!X7,Списък!$A$1:$B$209,2,FALSE)</f>
        <v>Костова</v>
      </c>
      <c r="I44" s="165" t="str">
        <f>IFERROR(VLOOKUP(H44,Списък!$B$3:$I$77,7,0),"")</f>
        <v>212/214/215/217</v>
      </c>
      <c r="J44" s="128" t="str">
        <f>VLOOKUP('Програма-кодове'!Y7,Списък!$A$1:$B$209,2,FALSE)</f>
        <v>Славова</v>
      </c>
      <c r="K44" s="160">
        <f>IFERROR(VLOOKUP(J44,Списък!$B$3:$I$77,7,0),"")</f>
        <v>114</v>
      </c>
    </row>
    <row r="45" spans="1:11" ht="11.25" customHeight="1">
      <c r="A45" s="137">
        <v>7</v>
      </c>
      <c r="B45" s="128" t="str">
        <f>VLOOKUP('Програма-кодове'!U8,Списък!$A$1:$B$209,2,FALSE)</f>
        <v>Данева</v>
      </c>
      <c r="C45" s="160">
        <f>IFERROR(VLOOKUP(B45,Списък!$B$3:$I$77,7,0),"")</f>
        <v>101</v>
      </c>
      <c r="D45" s="128" t="str">
        <f>VLOOKUP('Програма-кодове'!V8,Списък!$A$1:$B$209,2,FALSE)</f>
        <v>Киров</v>
      </c>
      <c r="E45" s="165" t="str">
        <f>IFERROR(VLOOKUP(D45,Списък!$B$3:$I$77,7,0),"")</f>
        <v>109/110/111/114/102/302</v>
      </c>
      <c r="F45" s="130" t="str">
        <f>VLOOKUP('Програма-кодове'!W8,Списък!$A$1:$B$209,2,FALSE)</f>
        <v>Христонова/Цветков</v>
      </c>
      <c r="G45" s="165" t="str">
        <f>IFERROR(VLOOKUP(F45,Списък!$B$3:$I$77,7,0),"")</f>
        <v>КК4/КК6</v>
      </c>
      <c r="H45" s="130" t="str">
        <f>VLOOKUP('Програма-кодове'!X8,Списък!$A$1:$B$209,2,FALSE)</f>
        <v>Н. Николова</v>
      </c>
      <c r="I45" s="165" t="str">
        <f>IFERROR(VLOOKUP(H45,Списък!$B$3:$I$77,7,0),"")</f>
        <v>201/202/203/205/206</v>
      </c>
      <c r="J45" s="128" t="str">
        <f>VLOOKUP('Програма-кодове'!Y8,Списък!$A$1:$B$209,2,FALSE)</f>
        <v>Козалиева</v>
      </c>
      <c r="K45" s="160" t="str">
        <f>IFERROR(VLOOKUP(J45,Списък!$B$3:$I$77,7,0),"")</f>
        <v>212/214/215/217</v>
      </c>
    </row>
    <row r="46" spans="1:11" ht="6" customHeight="1">
      <c r="A46" s="138"/>
      <c r="B46" s="128"/>
      <c r="C46" s="160" t="str">
        <f>IFERROR(VLOOKUP(B46,Списък!$B$3:$I$77,7,0),"")</f>
        <v/>
      </c>
      <c r="D46" s="128"/>
      <c r="E46" s="165" t="str">
        <f>IFERROR(VLOOKUP(D46,Списък!$B$3:$I$77,7,0),"")</f>
        <v/>
      </c>
      <c r="F46" s="128"/>
      <c r="G46" s="165" t="str">
        <f>IFERROR(VLOOKUP(F46,Списък!$B$3:$I$77,7,0),"")</f>
        <v/>
      </c>
      <c r="H46" s="128"/>
      <c r="I46" s="165" t="str">
        <f>IFERROR(VLOOKUP(H46,Списък!$B$3:$I$77,7,0),"")</f>
        <v/>
      </c>
      <c r="J46" s="128"/>
      <c r="K46" s="160" t="str">
        <f>IFERROR(VLOOKUP(J46,Списък!$B$3:$I$77,7,0),"")</f>
        <v/>
      </c>
    </row>
    <row r="47" spans="1:11" s="13" customFormat="1" ht="13.5" customHeight="1">
      <c r="A47" s="136"/>
      <c r="B47" s="132" t="s">
        <v>48</v>
      </c>
      <c r="C47" s="161" t="str">
        <f>IFERROR(VLOOKUP(B47,Списък!$B$3:$I$77,7,0),"")</f>
        <v/>
      </c>
      <c r="D47" s="132" t="s">
        <v>49</v>
      </c>
      <c r="E47" s="164" t="str">
        <f>IFERROR(VLOOKUP(D47,Списък!$B$3:$I$77,7,0),"")</f>
        <v/>
      </c>
      <c r="F47" s="132" t="s">
        <v>50</v>
      </c>
      <c r="G47" s="164" t="str">
        <f>IFERROR(VLOOKUP(F47,Списък!$B$3:$I$77,7,0),"")</f>
        <v/>
      </c>
      <c r="H47" s="132" t="s">
        <v>51</v>
      </c>
      <c r="I47" s="164" t="str">
        <f>IFERROR(VLOOKUP(H47,Списък!$B$3:$I$77,7,0),"")</f>
        <v/>
      </c>
      <c r="J47" s="132" t="s">
        <v>52</v>
      </c>
      <c r="K47" s="161" t="str">
        <f>IFERROR(VLOOKUP(J47,Списък!$B$3:$I$77,7,0),"")</f>
        <v/>
      </c>
    </row>
    <row r="48" spans="1:11" ht="12" customHeight="1">
      <c r="A48" s="137">
        <v>1</v>
      </c>
      <c r="B48" s="128" t="str">
        <f>VLOOKUP('Програма-кодове'!Z2,Списък!$A$1:$B$209,2,FALSE)</f>
        <v>Влашинска</v>
      </c>
      <c r="C48" s="160" t="str">
        <f>IFERROR(VLOOKUP(B48,Списък!$B$3:$I$77,7,0),"")</f>
        <v>212/214/215/217</v>
      </c>
      <c r="D48" s="128" t="str">
        <f>VLOOKUP('Програма-кодове'!AA2,Списък!$A$1:$B$209,2,FALSE)</f>
        <v>Д. Николова</v>
      </c>
      <c r="E48" s="165">
        <f>IFERROR(VLOOKUP(D48,Списък!$B$3:$I$77,7,0),"")</f>
        <v>106</v>
      </c>
      <c r="F48" s="128" t="str">
        <f>VLOOKUP('Програма-кодове'!AB2,Списък!$A$1:$B$209,2,FALSE)</f>
        <v>Колева</v>
      </c>
      <c r="G48" s="165">
        <f>IFERROR(VLOOKUP(F48,Списък!$B$3:$I$77,7,0),"")</f>
        <v>202</v>
      </c>
      <c r="H48" s="128" t="str">
        <f>VLOOKUP('Програма-кодове'!AC2,Списък!$A$1:$B$209,2,FALSE)</f>
        <v>Петкова/Димитрова</v>
      </c>
      <c r="I48" s="165" t="str">
        <f>IFERROR(VLOOKUP(H48,Списък!$B$3:$I$77,7,0),"")</f>
        <v>КК3/КК8</v>
      </c>
      <c r="J48" s="128" t="str">
        <f>VLOOKUP('Програма-кодове'!AD2,Списък!$A$1:$B$209,2,FALSE)</f>
        <v>Минчева</v>
      </c>
      <c r="K48" s="160" t="str">
        <f>IFERROR(VLOOKUP(J48,Списък!$B$3:$I$77,7,0),"")</f>
        <v>212/214/215/217</v>
      </c>
    </row>
    <row r="49" spans="1:11" ht="12" customHeight="1">
      <c r="A49" s="137">
        <v>2</v>
      </c>
      <c r="B49" s="128" t="str">
        <f>VLOOKUP('Програма-кодове'!Z3,Списък!$A$1:$B$209,2,FALSE)</f>
        <v>Петкова/Димитрова</v>
      </c>
      <c r="C49" s="160" t="str">
        <f>IFERROR(VLOOKUP(B49,Списък!$B$3:$I$77,7,0),"")</f>
        <v>КК3/КК8</v>
      </c>
      <c r="D49" s="128" t="str">
        <f>VLOOKUP('Програма-кодове'!AA3,Списък!$A$1:$B$209,2,FALSE)</f>
        <v>Д. Николова</v>
      </c>
      <c r="E49" s="165">
        <f>IFERROR(VLOOKUP(D49,Списък!$B$3:$I$77,7,0),"")</f>
        <v>106</v>
      </c>
      <c r="F49" s="128" t="str">
        <f>VLOOKUP('Програма-кодове'!AB3,Списък!$A$1:$B$209,2,FALSE)</f>
        <v>Колева</v>
      </c>
      <c r="G49" s="165">
        <f>IFERROR(VLOOKUP(F49,Списък!$B$3:$I$77,7,0),"")</f>
        <v>202</v>
      </c>
      <c r="H49" s="128" t="str">
        <f>VLOOKUP('Програма-кодове'!AC3,Списък!$A$1:$B$209,2,FALSE)</f>
        <v>Батимов</v>
      </c>
      <c r="I49" s="165">
        <f>IFERROR(VLOOKUP(H49,Списък!$B$3:$I$77,7,0),"")</f>
        <v>303</v>
      </c>
      <c r="J49" s="128" t="str">
        <f>VLOOKUP('Програма-кодове'!AD3,Списък!$A$1:$B$209,2,FALSE)</f>
        <v>Влашинска</v>
      </c>
      <c r="K49" s="160" t="str">
        <f>IFERROR(VLOOKUP(J49,Списък!$B$3:$I$77,7,0),"")</f>
        <v>212/214/215/217</v>
      </c>
    </row>
    <row r="50" spans="1:11" ht="12" customHeight="1">
      <c r="A50" s="137">
        <v>3</v>
      </c>
      <c r="B50" s="128" t="str">
        <f>VLOOKUP('Програма-кодове'!Z4,Списък!$A$1:$B$209,2,FALSE)</f>
        <v>Батимов</v>
      </c>
      <c r="C50" s="160">
        <f>IFERROR(VLOOKUP(B50,Списък!$B$3:$I$77,7,0),"")</f>
        <v>303</v>
      </c>
      <c r="D50" s="128" t="str">
        <f>VLOOKUP('Програма-кодове'!AA4,Списък!$A$1:$B$209,2,FALSE)</f>
        <v>Мерджанова</v>
      </c>
      <c r="E50" s="165">
        <f>IFERROR(VLOOKUP(D50,Списък!$B$3:$I$77,7,0),"")</f>
        <v>304</v>
      </c>
      <c r="F50" s="128" t="str">
        <f>VLOOKUP('Програма-кодове'!AB4,Списък!$A$1:$B$209,2,FALSE)</f>
        <v>Петкова/Димитрова</v>
      </c>
      <c r="G50" s="165" t="str">
        <f>IFERROR(VLOOKUP(F50,Списък!$B$3:$I$77,7,0),"")</f>
        <v>КК3/КК8</v>
      </c>
      <c r="H50" s="128" t="str">
        <f>VLOOKUP('Програма-кодове'!AC4,Списък!$A$1:$B$209,2,FALSE)</f>
        <v>Даскалова</v>
      </c>
      <c r="I50" s="165" t="str">
        <f>IFERROR(VLOOKUP(H50,Списък!$B$3:$I$77,7,0),"")</f>
        <v>107/108</v>
      </c>
      <c r="J50" s="128" t="str">
        <f>VLOOKUP('Програма-кодове'!AD4,Списък!$A$1:$B$209,2,FALSE)</f>
        <v>Колева</v>
      </c>
      <c r="K50" s="160">
        <f>IFERROR(VLOOKUP(J50,Списък!$B$3:$I$77,7,0),"")</f>
        <v>202</v>
      </c>
    </row>
    <row r="51" spans="1:11" ht="12" customHeight="1">
      <c r="A51" s="137">
        <v>4</v>
      </c>
      <c r="B51" s="128" t="str">
        <f>VLOOKUP('Програма-кодове'!Z5,Списък!$A$1:$B$209,2,FALSE)</f>
        <v>Д. Николова</v>
      </c>
      <c r="C51" s="160">
        <f>IFERROR(VLOOKUP(B51,Списък!$B$3:$I$77,7,0),"")</f>
        <v>106</v>
      </c>
      <c r="D51" s="128" t="str">
        <f>VLOOKUP('Програма-кодове'!AA5,Списък!$A$1:$B$209,2,FALSE)</f>
        <v>Мерджанова</v>
      </c>
      <c r="E51" s="165">
        <f>IFERROR(VLOOKUP(D51,Списък!$B$3:$I$77,7,0),"")</f>
        <v>304</v>
      </c>
      <c r="F51" s="128" t="str">
        <f>VLOOKUP('Програма-кодове'!AB5,Списък!$A$1:$B$209,2,FALSE)</f>
        <v>Влашинска</v>
      </c>
      <c r="G51" s="165" t="str">
        <f>IFERROR(VLOOKUP(F51,Списък!$B$3:$I$77,7,0),"")</f>
        <v>212/214/215/217</v>
      </c>
      <c r="H51" s="128" t="str">
        <f>VLOOKUP('Програма-кодове'!AC5,Списък!$A$1:$B$209,2,FALSE)</f>
        <v>Филипова</v>
      </c>
      <c r="I51" s="165" t="str">
        <f>IFERROR(VLOOKUP(H51,Списък!$B$3:$I$77,7,0),"")</f>
        <v>109/110/301/302/306</v>
      </c>
      <c r="J51" s="128" t="str">
        <f>VLOOKUP('Програма-кодове'!AD5,Списък!$A$1:$B$209,2,FALSE)</f>
        <v>Колева</v>
      </c>
      <c r="K51" s="160">
        <f>IFERROR(VLOOKUP(J51,Списък!$B$3:$I$77,7,0),"")</f>
        <v>202</v>
      </c>
    </row>
    <row r="52" spans="1:11" ht="12" customHeight="1">
      <c r="A52" s="137">
        <v>5</v>
      </c>
      <c r="B52" s="128" t="str">
        <f>VLOOKUP('Програма-кодове'!Z6,Списък!$A$1:$B$209,2,FALSE)</f>
        <v>Д. Николова</v>
      </c>
      <c r="C52" s="160">
        <f>IFERROR(VLOOKUP(B52,Списък!$B$3:$I$77,7,0),"")</f>
        <v>106</v>
      </c>
      <c r="D52" s="128" t="str">
        <f>VLOOKUP('Програма-кодове'!AA6,Списък!$A$1:$B$209,2,FALSE)</f>
        <v>Петкова/Димитрова</v>
      </c>
      <c r="E52" s="165" t="str">
        <f>IFERROR(VLOOKUP(D52,Списък!$B$3:$I$77,7,0),"")</f>
        <v>КК3/КК8</v>
      </c>
      <c r="F52" s="128" t="str">
        <f>VLOOKUP('Програма-кодове'!AB6,Списък!$A$1:$B$209,2,FALSE)</f>
        <v>Тонева</v>
      </c>
      <c r="G52" s="165" t="str">
        <f>IFERROR(VLOOKUP(F52,Списък!$B$3:$I$77,7,0),"")</f>
        <v>ФС</v>
      </c>
      <c r="H52" s="128" t="str">
        <f>VLOOKUP('Програма-кодове'!AC6,Списък!$A$1:$B$209,2,FALSE)</f>
        <v>Влашинска</v>
      </c>
      <c r="I52" s="165" t="str">
        <f>IFERROR(VLOOKUP(H52,Списък!$B$3:$I$77,7,0),"")</f>
        <v>212/214/215/217</v>
      </c>
      <c r="J52" s="128" t="str">
        <f>VLOOKUP('Програма-кодове'!AD6,Списък!$A$1:$B$209,2,FALSE)</f>
        <v>Филипова</v>
      </c>
      <c r="K52" s="160" t="str">
        <f>IFERROR(VLOOKUP(J52,Списък!$B$3:$I$77,7,0),"")</f>
        <v>109/110/301/302/306</v>
      </c>
    </row>
    <row r="53" spans="1:11" ht="12" customHeight="1">
      <c r="A53" s="137">
        <v>6</v>
      </c>
      <c r="B53" s="128" t="str">
        <f>VLOOKUP('Програма-кодове'!Z7,Списък!$A$1:$B$209,2,FALSE)</f>
        <v>Колева</v>
      </c>
      <c r="C53" s="160">
        <f>IFERROR(VLOOKUP(B53,Списък!$B$3:$I$77,7,0),"")</f>
        <v>202</v>
      </c>
      <c r="D53" s="128" t="str">
        <f>VLOOKUP('Програма-кодове'!AA7,Списък!$A$1:$B$209,2,FALSE)</f>
        <v>Влашинска</v>
      </c>
      <c r="E53" s="165" t="str">
        <f>IFERROR(VLOOKUP(D53,Списък!$B$3:$I$77,7,0),"")</f>
        <v>212/214/215/217</v>
      </c>
      <c r="F53" s="128" t="str">
        <f>VLOOKUP('Програма-кодове'!AB7,Списък!$A$1:$B$209,2,FALSE)</f>
        <v>Латева</v>
      </c>
      <c r="G53" s="165">
        <f>IFERROR(VLOOKUP(F53,Списък!$B$3:$I$77,7,0),"")</f>
        <v>110</v>
      </c>
      <c r="H53" s="128" t="str">
        <f>VLOOKUP('Програма-кодове'!AC7,Списък!$A$1:$B$209,2,FALSE)</f>
        <v>Тонева</v>
      </c>
      <c r="I53" s="165" t="str">
        <f>IFERROR(VLOOKUP(H53,Списък!$B$3:$I$77,7,0),"")</f>
        <v>ФС</v>
      </c>
      <c r="J53" s="128" t="str">
        <f>VLOOKUP('Програма-кодове'!AD7,Списък!$A$1:$B$209,2,FALSE)</f>
        <v>Коларова</v>
      </c>
      <c r="K53" s="160" t="str">
        <f>IFERROR(VLOOKUP(J53,Списък!$B$3:$I$77,7,0),"")</f>
        <v>212/214/215/217</v>
      </c>
    </row>
    <row r="54" spans="1:11" ht="12" customHeight="1">
      <c r="A54" s="140">
        <v>7</v>
      </c>
      <c r="B54" s="135" t="str">
        <f>VLOOKUP('Програма-кодове'!Z8,Списък!$A$1:$B$209,2,FALSE)</f>
        <v>Колева</v>
      </c>
      <c r="C54" s="162">
        <f>IFERROR(VLOOKUP(B54,Списък!$B$3:$I$77,7,0),"")</f>
        <v>202</v>
      </c>
      <c r="D54" s="135" t="str">
        <f>VLOOKUP('Програма-кодове'!AA8,Списък!$A$1:$B$209,2,FALSE)</f>
        <v>Тонева</v>
      </c>
      <c r="E54" s="162" t="str">
        <f>IFERROR(VLOOKUP(D54,Списък!$B$3:$I$77,7,0),"")</f>
        <v>ФС</v>
      </c>
      <c r="F54" s="135" t="str">
        <f>VLOOKUP('Програма-кодове'!AB8,Списък!$A$1:$B$209,2,FALSE)</f>
        <v>Батимов</v>
      </c>
      <c r="G54" s="162">
        <f>IFERROR(VLOOKUP(F54,Списък!$B$3:$I$77,7,0),"")</f>
        <v>303</v>
      </c>
      <c r="H54" s="135" t="str">
        <f>VLOOKUP('Програма-кодове'!AC8,Списък!$A$1:$B$209,2,FALSE)</f>
        <v>Латева</v>
      </c>
      <c r="I54" s="167">
        <f>IFERROR(VLOOKUP(H54,Списък!$B$3:$I$77,7,0),"")</f>
        <v>110</v>
      </c>
      <c r="J54" s="135" t="str">
        <f>VLOOKUP('Програма-кодове'!AD8,Списък!$A$1:$B$209,2,FALSE)</f>
        <v>Коларова</v>
      </c>
      <c r="K54" s="162" t="str">
        <f>IFERROR(VLOOKUP(J54,Списък!$B$3:$I$77,7,0),"")</f>
        <v>212/214/215/217</v>
      </c>
    </row>
    <row r="55" spans="1:11" ht="3" customHeight="1">
      <c r="A55" s="134"/>
      <c r="B55" s="18"/>
      <c r="C55" s="163"/>
      <c r="D55" s="18"/>
      <c r="E55" s="163"/>
      <c r="F55" s="18"/>
      <c r="G55" s="163"/>
      <c r="H55" s="18"/>
      <c r="I55" s="163"/>
      <c r="J55" s="18"/>
      <c r="K55" s="163"/>
    </row>
    <row r="56" spans="1:11" ht="22.5" customHeight="1">
      <c r="A56" s="385" t="s">
        <v>25</v>
      </c>
      <c r="B56" s="385"/>
      <c r="C56" s="385"/>
      <c r="D56" s="385"/>
      <c r="E56" s="385"/>
      <c r="F56" s="385"/>
      <c r="G56" s="385"/>
      <c r="H56" s="385"/>
      <c r="I56" s="385"/>
      <c r="J56" s="385"/>
      <c r="K56" s="385"/>
    </row>
    <row r="57" spans="1:11" s="13" customFormat="1" ht="12.75" customHeight="1">
      <c r="A57" s="132"/>
      <c r="B57" s="132">
        <v>5</v>
      </c>
      <c r="C57" s="164" t="str">
        <f>IFERROR(VLOOKUP(B57,Списък!$B$3:$I$77,7,0),"")</f>
        <v/>
      </c>
      <c r="D57" s="132">
        <v>6</v>
      </c>
      <c r="E57" s="164" t="str">
        <f>IFERROR(VLOOKUP(D57,Списък!$B$3:$I$77,7,0),"")</f>
        <v/>
      </c>
      <c r="F57" s="132">
        <v>7</v>
      </c>
      <c r="G57" s="164" t="str">
        <f>IFERROR(VLOOKUP(F57,Списък!$B$3:$I$77,7,0),"")</f>
        <v/>
      </c>
      <c r="H57" s="132"/>
      <c r="I57" s="164" t="str">
        <f>IFERROR(VLOOKUP(H57,Списък!$B$3:$I$77,7,0),"")</f>
        <v/>
      </c>
      <c r="J57" s="132"/>
      <c r="K57" s="161" t="str">
        <f>IFERROR(VLOOKUP(J57,Списък!$B$3:$I$77,7,0),"")</f>
        <v/>
      </c>
    </row>
    <row r="58" spans="1:11" ht="12" customHeight="1">
      <c r="A58" s="129">
        <v>1</v>
      </c>
      <c r="B58" s="128" t="str">
        <f>VLOOKUP('Програма-кодове'!C9,Списък!$A$1:$B$209,2,FALSE)</f>
        <v>Сапунджиева</v>
      </c>
      <c r="C58" s="165">
        <f>IFERROR(VLOOKUP(B58,Списък!$B$3:$I$77,7,0),"")</f>
        <v>104</v>
      </c>
      <c r="D58" s="128" t="str">
        <f>VLOOKUP('Програма-кодове'!D9,Списък!$A$1:$B$209,2,FALSE)</f>
        <v>Гинева</v>
      </c>
      <c r="E58" s="165">
        <f>IFERROR(VLOOKUP(D58,Списък!$B$3:$I$77,7,0),"")</f>
        <v>102</v>
      </c>
      <c r="F58" s="128" t="str">
        <f>VLOOKUP('Програма-кодове'!E9,Списък!$A$1:$B$209,2,FALSE)</f>
        <v>Киров</v>
      </c>
      <c r="G58" s="165" t="str">
        <f>IFERROR(VLOOKUP(F58,Списък!$B$3:$I$77,7,0),"")</f>
        <v>109/110/111/114/102/302</v>
      </c>
      <c r="H58" s="128"/>
      <c r="I58" s="165" t="str">
        <f>IFERROR(VLOOKUP(H58,Списък!$B$3:$I$77,7,0),"")</f>
        <v/>
      </c>
      <c r="J58" s="128"/>
      <c r="K58" s="160" t="str">
        <f>IFERROR(VLOOKUP(J58,Списък!$B$3:$I$77,7,0),"")</f>
        <v/>
      </c>
    </row>
    <row r="59" spans="1:11" ht="12" customHeight="1">
      <c r="A59" s="129">
        <v>2</v>
      </c>
      <c r="B59" s="128" t="str">
        <f>VLOOKUP('Програма-кодове'!C10,Списък!$A$1:$B$209,2,FALSE)</f>
        <v>Гюлева</v>
      </c>
      <c r="C59" s="165">
        <f>IFERROR(VLOOKUP(B59,Списък!$B$3:$I$77,7,0),"")</f>
        <v>204</v>
      </c>
      <c r="D59" s="128" t="str">
        <f>VLOOKUP('Програма-кодове'!D10,Списък!$A$1:$B$209,2,FALSE)</f>
        <v>Трандев</v>
      </c>
      <c r="E59" s="165" t="str">
        <f>IFERROR(VLOOKUP(D59,Списък!$B$3:$I$77,7,0),"")</f>
        <v>ФС</v>
      </c>
      <c r="F59" s="128" t="str">
        <f>VLOOKUP('Програма-кодове'!E10,Списък!$A$1:$B$209,2,FALSE)</f>
        <v>Клисарова</v>
      </c>
      <c r="G59" s="165">
        <f>IFERROR(VLOOKUP(F59,Списък!$B$3:$I$77,7,0),"")</f>
        <v>305</v>
      </c>
      <c r="H59" s="128"/>
      <c r="I59" s="165" t="str">
        <f>IFERROR(VLOOKUP(H59,Списък!$B$3:$I$77,7,0),"")</f>
        <v/>
      </c>
      <c r="J59" s="128"/>
      <c r="K59" s="160" t="str">
        <f>IFERROR(VLOOKUP(J59,Списък!$B$3:$I$77,7,0),"")</f>
        <v/>
      </c>
    </row>
    <row r="60" spans="1:11" ht="12" customHeight="1">
      <c r="A60" s="129">
        <v>3</v>
      </c>
      <c r="B60" s="128" t="str">
        <f>VLOOKUP('Програма-кодове'!C11,Списък!$A$1:$B$209,2,FALSE)</f>
        <v>Краева</v>
      </c>
      <c r="C60" s="165">
        <f>IFERROR(VLOOKUP(B60,Списък!$B$3:$I$77,7,0),"")</f>
        <v>306</v>
      </c>
      <c r="D60" s="128" t="str">
        <f>VLOOKUP('Програма-кодове'!D11,Списък!$A$1:$B$209,2,FALSE)</f>
        <v>Кръстева</v>
      </c>
      <c r="E60" s="165">
        <f>IFERROR(VLOOKUP(D60,Списък!$B$3:$I$77,7,0),"")</f>
        <v>302</v>
      </c>
      <c r="F60" s="128" t="str">
        <f>VLOOKUP('Програма-кодове'!E11,Списък!$A$1:$B$209,2,FALSE)</f>
        <v>Клисарова</v>
      </c>
      <c r="G60" s="165">
        <f>IFERROR(VLOOKUP(F60,Списък!$B$3:$I$77,7,0),"")</f>
        <v>305</v>
      </c>
      <c r="H60" s="128"/>
      <c r="I60" s="165" t="str">
        <f>IFERROR(VLOOKUP(H60,Списък!$B$3:$I$77,7,0),"")</f>
        <v/>
      </c>
      <c r="J60" s="128"/>
      <c r="K60" s="160" t="str">
        <f>IFERROR(VLOOKUP(J60,Списък!$B$3:$I$77,7,0),"")</f>
        <v/>
      </c>
    </row>
    <row r="61" spans="1:11" ht="12" customHeight="1">
      <c r="A61" s="129">
        <v>4</v>
      </c>
      <c r="B61" s="128" t="str">
        <f>VLOOKUP('Програма-кодове'!C12,Списък!$A$1:$B$209,2,FALSE)</f>
        <v>Петров</v>
      </c>
      <c r="C61" s="165">
        <f>IFERROR(VLOOKUP(B61,Списък!$B$3:$I$77,7,0),"")</f>
        <v>112</v>
      </c>
      <c r="D61" s="128" t="str">
        <f>VLOOKUP('Програма-кодове'!D12,Списък!$A$1:$B$209,2,FALSE)</f>
        <v>Паронова</v>
      </c>
      <c r="E61" s="165" t="str">
        <f>IFERROR(VLOOKUP(D61,Списък!$B$3:$I$77,7,0),"")</f>
        <v>212/214/215/217</v>
      </c>
      <c r="F61" s="128" t="str">
        <f>VLOOKUP('Програма-кодове'!E12,Списък!$A$1:$B$209,2,FALSE)</f>
        <v>Никова</v>
      </c>
      <c r="G61" s="165">
        <f>IFERROR(VLOOKUP(F61,Списък!$B$3:$I$77,7,0),"")</f>
        <v>111</v>
      </c>
      <c r="H61" s="128"/>
      <c r="I61" s="165" t="str">
        <f>IFERROR(VLOOKUP(H61,Списък!$B$3:$I$77,7,0),"")</f>
        <v/>
      </c>
      <c r="J61" s="128"/>
      <c r="K61" s="160" t="str">
        <f>IFERROR(VLOOKUP(J61,Списък!$B$3:$I$77,7,0),"")</f>
        <v/>
      </c>
    </row>
    <row r="62" spans="1:11" ht="12" customHeight="1">
      <c r="A62" s="129">
        <v>5</v>
      </c>
      <c r="B62" s="128" t="str">
        <f>VLOOKUP('Програма-кодове'!C13,Списък!$A$1:$B$209,2,FALSE)</f>
        <v>Киров</v>
      </c>
      <c r="C62" s="165" t="str">
        <f>IFERROR(VLOOKUP(B62,Списък!$B$3:$I$77,7,0),"")</f>
        <v>109/110/111/114/102/302</v>
      </c>
      <c r="D62" s="128" t="str">
        <f>VLOOKUP('Програма-кодове'!D13,Списък!$A$1:$B$209,2,FALSE)</f>
        <v>Петров</v>
      </c>
      <c r="E62" s="165">
        <f>IFERROR(VLOOKUP(D62,Списък!$B$3:$I$77,7,0),"")</f>
        <v>112</v>
      </c>
      <c r="F62" s="128" t="str">
        <f>VLOOKUP('Програма-кодове'!E13,Списък!$A$1:$B$209,2,FALSE)</f>
        <v>Трифонова</v>
      </c>
      <c r="G62" s="165">
        <f>IFERROR(VLOOKUP(F62,Списък!$B$3:$I$77,7,0),"")</f>
        <v>203</v>
      </c>
      <c r="H62" s="128"/>
      <c r="I62" s="165" t="str">
        <f>IFERROR(VLOOKUP(H62,Списък!$B$3:$I$77,7,0),"")</f>
        <v/>
      </c>
      <c r="J62" s="128"/>
      <c r="K62" s="160" t="str">
        <f>IFERROR(VLOOKUP(J62,Списък!$B$3:$I$77,7,0),"")</f>
        <v/>
      </c>
    </row>
    <row r="63" spans="1:11" ht="12" customHeight="1">
      <c r="A63" s="129">
        <v>6</v>
      </c>
      <c r="B63" s="128" t="str">
        <f>VLOOKUP('Програма-кодове'!C14,Списък!$A$1:$B$209,2,FALSE)</f>
        <v>Пецова</v>
      </c>
      <c r="C63" s="165" t="str">
        <f>IFERROR(VLOOKUP(B63,Списък!$B$3:$I$77,7,0),"")</f>
        <v>102/105/111/112</v>
      </c>
      <c r="D63" s="128" t="str">
        <f>VLOOKUP('Програма-кодове'!D14,Списък!$A$1:$B$209,2,FALSE)</f>
        <v>Трифонова</v>
      </c>
      <c r="E63" s="165">
        <f>IFERROR(VLOOKUP(D63,Списък!$B$3:$I$77,7,0),"")</f>
        <v>203</v>
      </c>
      <c r="F63" s="128" t="str">
        <f>VLOOKUP('Програма-кодове'!E14,Списък!$A$1:$B$209,2,FALSE)</f>
        <v>Петров</v>
      </c>
      <c r="G63" s="165">
        <f>IFERROR(VLOOKUP(F63,Списък!$B$3:$I$77,7,0),"")</f>
        <v>112</v>
      </c>
      <c r="H63" s="128"/>
      <c r="I63" s="165" t="str">
        <f>IFERROR(VLOOKUP(H63,Списък!$B$3:$I$77,7,0),"")</f>
        <v/>
      </c>
      <c r="J63" s="128"/>
      <c r="K63" s="160" t="str">
        <f>IFERROR(VLOOKUP(J63,Списък!$B$3:$I$77,7,0),"")</f>
        <v/>
      </c>
    </row>
    <row r="64" spans="1:11" ht="6" customHeight="1">
      <c r="A64" s="129">
        <v>7</v>
      </c>
      <c r="B64" s="128">
        <f>VLOOKUP('Програма-кодове'!C15,Списък!$A$1:$B$209,2,FALSE)</f>
        <v>0</v>
      </c>
      <c r="C64" s="165" t="str">
        <f>IFERROR(VLOOKUP(B64,Списък!$B$3:$I$77,7,0),"")</f>
        <v/>
      </c>
      <c r="D64" s="128">
        <f>VLOOKUP('Програма-кодове'!D15,Списък!$A$1:$B$209,2,FALSE)</f>
        <v>0</v>
      </c>
      <c r="E64" s="165" t="str">
        <f>IFERROR(VLOOKUP(D64,Списък!$B$3:$I$77,7,0),"")</f>
        <v/>
      </c>
      <c r="F64" s="128">
        <f>VLOOKUP('Програма-кодове'!E15,Списък!$A$1:$B$209,2,FALSE)</f>
        <v>0</v>
      </c>
      <c r="G64" s="165" t="str">
        <f>IFERROR(VLOOKUP(F64,Списък!$B$3:$I$77,7,0),"")</f>
        <v/>
      </c>
      <c r="H64" s="128"/>
      <c r="I64" s="165" t="str">
        <f>IFERROR(VLOOKUP(H64,Списък!$B$3:$I$77,7,0),"")</f>
        <v/>
      </c>
      <c r="J64" s="128"/>
      <c r="K64" s="160" t="str">
        <f>IFERROR(VLOOKUP(J64,Списък!$B$3:$I$77,7,0),"")</f>
        <v/>
      </c>
    </row>
    <row r="65" spans="1:11" ht="6" customHeight="1">
      <c r="A65" s="141"/>
      <c r="B65" s="128"/>
      <c r="C65" s="165" t="str">
        <f>IFERROR(VLOOKUP(B65,Списък!$B$3:$I$77,7,0),"")</f>
        <v/>
      </c>
      <c r="D65" s="128"/>
      <c r="E65" s="165" t="str">
        <f>IFERROR(VLOOKUP(D65,Списък!$B$3:$I$77,7,0),"")</f>
        <v/>
      </c>
      <c r="F65" s="128"/>
      <c r="G65" s="165" t="str">
        <f>IFERROR(VLOOKUP(F65,Списък!$B$3:$I$77,7,0),"")</f>
        <v/>
      </c>
      <c r="H65" s="128"/>
      <c r="I65" s="165" t="str">
        <f>IFERROR(VLOOKUP(H65,Списък!$B$3:$I$77,7,0),"")</f>
        <v/>
      </c>
      <c r="J65" s="128"/>
      <c r="K65" s="160" t="str">
        <f>IFERROR(VLOOKUP(J65,Списък!$B$3:$I$77,7,0),"")</f>
        <v/>
      </c>
    </row>
    <row r="66" spans="1:11" ht="12" customHeight="1">
      <c r="A66" s="142"/>
      <c r="B66" s="132" t="s">
        <v>0</v>
      </c>
      <c r="C66" s="164" t="str">
        <f>IFERROR(VLOOKUP(B66,Списък!$B$3:$I$77,7,0),"")</f>
        <v/>
      </c>
      <c r="D66" s="132" t="s">
        <v>1</v>
      </c>
      <c r="E66" s="164" t="str">
        <f>IFERROR(VLOOKUP(D66,Списък!$B$3:$I$77,7,0),"")</f>
        <v/>
      </c>
      <c r="F66" s="132" t="s">
        <v>2</v>
      </c>
      <c r="G66" s="164" t="str">
        <f>IFERROR(VLOOKUP(F66,Списък!$B$3:$I$77,7,0),"")</f>
        <v/>
      </c>
      <c r="H66" s="132" t="s">
        <v>3</v>
      </c>
      <c r="I66" s="164" t="str">
        <f>IFERROR(VLOOKUP(H66,Списък!$B$3:$I$77,7,0),"")</f>
        <v/>
      </c>
      <c r="J66" s="132" t="s">
        <v>4</v>
      </c>
      <c r="K66" s="161" t="str">
        <f>IFERROR(VLOOKUP(J66,Списък!$B$3:$I$77,7,0),"")</f>
        <v/>
      </c>
    </row>
    <row r="67" spans="1:11" ht="12" customHeight="1">
      <c r="A67" s="129">
        <v>1</v>
      </c>
      <c r="B67" s="128" t="str">
        <f>VLOOKUP('Програма-кодове'!F9,Списък!$A$1:$B$209,2,FALSE)</f>
        <v>Спасова</v>
      </c>
      <c r="C67" s="165">
        <f>IFERROR(VLOOKUP(B67,Списък!$B$3:$I$77,7,0),"")</f>
        <v>205</v>
      </c>
      <c r="D67" s="128" t="str">
        <f>VLOOKUP('Програма-кодове'!G9,Списък!$A$1:$B$209,2,FALSE)</f>
        <v>Вълчева</v>
      </c>
      <c r="E67" s="165">
        <f>IFERROR(VLOOKUP(D67,Списък!$B$3:$I$77,7,0),"")</f>
        <v>201</v>
      </c>
      <c r="F67" s="128" t="str">
        <f>VLOOKUP('Програма-кодове'!H9,Списък!$A$1:$B$209,2,FALSE)</f>
        <v>Г. Петрова/Янева</v>
      </c>
      <c r="G67" s="165" t="str">
        <f>IFERROR(VLOOKUP(F67,Списък!$B$3:$I$77,7,0),"")</f>
        <v>КК5/КК2</v>
      </c>
      <c r="H67" s="128" t="str">
        <f>VLOOKUP('Програма-кодове'!I9,Списък!$A$1:$B$209,2,FALSE)</f>
        <v>Г. Тодорова</v>
      </c>
      <c r="I67" s="165">
        <f>IFERROR(VLOOKUP(H67,Списък!$B$3:$I$77,7,0),"")</f>
        <v>103</v>
      </c>
      <c r="J67" s="128" t="str">
        <f>VLOOKUP('Програма-кодове'!J9,Списък!$A$1:$B$209,2,FALSE)</f>
        <v>Трандев</v>
      </c>
      <c r="K67" s="160" t="str">
        <f>IFERROR(VLOOKUP(J67,Списък!$B$3:$I$77,7,0),"")</f>
        <v>ФС</v>
      </c>
    </row>
    <row r="68" spans="1:11" ht="12" customHeight="1">
      <c r="A68" s="129">
        <v>2</v>
      </c>
      <c r="B68" s="128" t="str">
        <f>VLOOKUP('Програма-кодове'!F10,Списък!$A$1:$B$209,2,FALSE)</f>
        <v>Г. Петрова/Янева</v>
      </c>
      <c r="C68" s="165" t="str">
        <f>IFERROR(VLOOKUP(B68,Списък!$B$3:$I$77,7,0),"")</f>
        <v>КК5/КК2</v>
      </c>
      <c r="D68" s="128" t="str">
        <f>VLOOKUP('Програма-кодове'!G10,Списък!$A$1:$B$209,2,FALSE)</f>
        <v>В. Иванова</v>
      </c>
      <c r="E68" s="165">
        <f>IFERROR(VLOOKUP(D68,Списък!$B$3:$I$77,7,0),"")</f>
        <v>109</v>
      </c>
      <c r="F68" s="128" t="str">
        <f>VLOOKUP('Програма-кодове'!H10,Списък!$A$1:$B$209,2,FALSE)</f>
        <v>Гинева</v>
      </c>
      <c r="G68" s="165">
        <f>IFERROR(VLOOKUP(F68,Списък!$B$3:$I$77,7,0),"")</f>
        <v>102</v>
      </c>
      <c r="H68" s="128" t="str">
        <f>VLOOKUP('Програма-кодове'!I10,Списък!$A$1:$B$209,2,FALSE)</f>
        <v>Краева</v>
      </c>
      <c r="I68" s="165">
        <f>IFERROR(VLOOKUP(H68,Списък!$B$3:$I$77,7,0),"")</f>
        <v>306</v>
      </c>
      <c r="J68" s="128" t="str">
        <f>VLOOKUP('Програма-кодове'!J10,Списък!$A$1:$B$209,2,FALSE)</f>
        <v>Сапунджиева</v>
      </c>
      <c r="K68" s="160">
        <f>IFERROR(VLOOKUP(J68,Списък!$B$3:$I$77,7,0),"")</f>
        <v>104</v>
      </c>
    </row>
    <row r="69" spans="1:11" ht="12" customHeight="1">
      <c r="A69" s="129">
        <v>3</v>
      </c>
      <c r="B69" s="128" t="str">
        <f>VLOOKUP('Програма-кодове'!F11,Списък!$A$1:$B$209,2,FALSE)</f>
        <v>Спасова</v>
      </c>
      <c r="C69" s="165">
        <f>IFERROR(VLOOKUP(B69,Списък!$B$3:$I$77,7,0),"")</f>
        <v>205</v>
      </c>
      <c r="D69" s="128" t="str">
        <f>VLOOKUP('Програма-кодове'!G11,Списък!$A$1:$B$209,2,FALSE)</f>
        <v>Г. Петрова/Янева</v>
      </c>
      <c r="E69" s="165" t="str">
        <f>IFERROR(VLOOKUP(D69,Списък!$B$3:$I$77,7,0),"")</f>
        <v>КК5/КК2</v>
      </c>
      <c r="F69" s="128" t="str">
        <f>VLOOKUP('Програма-кодове'!H11,Списък!$A$1:$B$209,2,FALSE)</f>
        <v>Гинева</v>
      </c>
      <c r="G69" s="165">
        <f>IFERROR(VLOOKUP(F69,Списък!$B$3:$I$77,7,0),"")</f>
        <v>102</v>
      </c>
      <c r="H69" s="128" t="str">
        <f>VLOOKUP('Програма-кодове'!I11,Списък!$A$1:$B$209,2,FALSE)</f>
        <v>Г. Тодорова</v>
      </c>
      <c r="I69" s="165">
        <f>IFERROR(VLOOKUP(H69,Списък!$B$3:$I$77,7,0),"")</f>
        <v>103</v>
      </c>
      <c r="J69" s="128" t="str">
        <f>VLOOKUP('Програма-кодове'!J11,Списък!$A$1:$B$209,2,FALSE)</f>
        <v>Сапунджиева</v>
      </c>
      <c r="K69" s="160">
        <f>IFERROR(VLOOKUP(J69,Списък!$B$3:$I$77,7,0),"")</f>
        <v>104</v>
      </c>
    </row>
    <row r="70" spans="1:11" ht="12" customHeight="1">
      <c r="A70" s="129">
        <v>4</v>
      </c>
      <c r="B70" s="128" t="str">
        <f>VLOOKUP('Програма-кодове'!F12,Списък!$A$1:$B$209,2,FALSE)</f>
        <v>Спасова</v>
      </c>
      <c r="C70" s="165">
        <f>IFERROR(VLOOKUP(B70,Списък!$B$3:$I$77,7,0),"")</f>
        <v>205</v>
      </c>
      <c r="D70" s="128" t="str">
        <f>VLOOKUP('Програма-кодове'!G12,Списък!$A$1:$B$209,2,FALSE)</f>
        <v>Габарова</v>
      </c>
      <c r="E70" s="165">
        <f>IFERROR(VLOOKUP(D70,Списък!$B$3:$I$77,7,0),"")</f>
        <v>206</v>
      </c>
      <c r="F70" s="128" t="str">
        <f>VLOOKUP('Програма-кодове'!H12,Списък!$A$1:$B$209,2,FALSE)</f>
        <v>Н. Николова</v>
      </c>
      <c r="G70" s="165" t="str">
        <f>IFERROR(VLOOKUP(F70,Списък!$B$3:$I$77,7,0),"")</f>
        <v>201/202/203/205/206</v>
      </c>
      <c r="H70" s="128" t="str">
        <f>VLOOKUP('Програма-кодове'!I12,Списък!$A$1:$B$209,2,FALSE)</f>
        <v>Г. Тодорова</v>
      </c>
      <c r="I70" s="165">
        <f>IFERROR(VLOOKUP(H70,Списък!$B$3:$I$77,7,0),"")</f>
        <v>103</v>
      </c>
      <c r="J70" s="128" t="str">
        <f>VLOOKUP('Програма-кодове'!J12,Списък!$A$1:$B$209,2,FALSE)</f>
        <v>Сапунджиева</v>
      </c>
      <c r="K70" s="160">
        <f>IFERROR(VLOOKUP(J70,Списък!$B$3:$I$77,7,0),"")</f>
        <v>104</v>
      </c>
    </row>
    <row r="71" spans="1:11" ht="12" customHeight="1">
      <c r="A71" s="129">
        <v>5</v>
      </c>
      <c r="B71" s="128" t="str">
        <f>VLOOKUP('Програма-кодове'!F13,Списък!$A$1:$B$209,2,FALSE)</f>
        <v>Спасова</v>
      </c>
      <c r="C71" s="165">
        <f>IFERROR(VLOOKUP(B71,Списък!$B$3:$I$77,7,0),"")</f>
        <v>205</v>
      </c>
      <c r="D71" s="128" t="str">
        <f>VLOOKUP('Програма-кодове'!G13,Списък!$A$1:$B$209,2,FALSE)</f>
        <v>Габарова</v>
      </c>
      <c r="E71" s="165">
        <f>IFERROR(VLOOKUP(D71,Списък!$B$3:$I$77,7,0),"")</f>
        <v>206</v>
      </c>
      <c r="F71" s="128" t="str">
        <f>VLOOKUP('Програма-кодове'!H13,Списък!$A$1:$B$209,2,FALSE)</f>
        <v>Гинева</v>
      </c>
      <c r="G71" s="165">
        <f>IFERROR(VLOOKUP(F71,Списък!$B$3:$I$77,7,0),"")</f>
        <v>102</v>
      </c>
      <c r="H71" s="128" t="str">
        <f>VLOOKUP('Програма-кодове'!I13,Списък!$A$1:$B$209,2,FALSE)</f>
        <v>Трандев</v>
      </c>
      <c r="I71" s="165" t="str">
        <f>IFERROR(VLOOKUP(H71,Списък!$B$3:$I$77,7,0),"")</f>
        <v>ФС</v>
      </c>
      <c r="J71" s="128" t="str">
        <f>VLOOKUP('Програма-кодове'!J13,Списък!$A$1:$B$209,2,FALSE)</f>
        <v>Христонова/Янева</v>
      </c>
      <c r="K71" s="160" t="str">
        <f>IFERROR(VLOOKUP(J71,Списък!$B$3:$I$77,7,0),"")</f>
        <v>КК7/КК8</v>
      </c>
    </row>
    <row r="72" spans="1:11" ht="12" customHeight="1">
      <c r="A72" s="129">
        <v>6</v>
      </c>
      <c r="B72" s="128" t="str">
        <f>VLOOKUP('Програма-кодове'!F14,Списък!$A$1:$B$209,2,FALSE)</f>
        <v>В. Иванова</v>
      </c>
      <c r="C72" s="165">
        <f>IFERROR(VLOOKUP(B72,Списък!$B$3:$I$77,7,0),"")</f>
        <v>109</v>
      </c>
      <c r="D72" s="128" t="str">
        <f>VLOOKUP('Програма-кодове'!G14,Списък!$A$1:$B$209,2,FALSE)</f>
        <v>Габарова</v>
      </c>
      <c r="E72" s="165">
        <f>IFERROR(VLOOKUP(D72,Списък!$B$3:$I$77,7,0),"")</f>
        <v>206</v>
      </c>
      <c r="F72" s="128" t="str">
        <f>VLOOKUP('Програма-кодове'!H14,Списък!$A$1:$B$209,2,FALSE)</f>
        <v>Гинева</v>
      </c>
      <c r="G72" s="165">
        <f>IFERROR(VLOOKUP(F72,Списък!$B$3:$I$77,7,0),"")</f>
        <v>102</v>
      </c>
      <c r="H72" s="128" t="str">
        <f>VLOOKUP('Програма-кодове'!I14,Списък!$A$1:$B$209,2,FALSE)</f>
        <v>Христонова/Янева</v>
      </c>
      <c r="I72" s="165" t="str">
        <f>IFERROR(VLOOKUP(H72,Списък!$B$3:$I$77,7,0),"")</f>
        <v>КК7/КК8</v>
      </c>
      <c r="J72" s="128" t="str">
        <f>VLOOKUP('Програма-кодове'!J14,Списък!$A$1:$B$209,2,FALSE)</f>
        <v>Колева</v>
      </c>
      <c r="K72" s="160">
        <f>IFERROR(VLOOKUP(J72,Списък!$B$3:$I$77,7,0),"")</f>
        <v>202</v>
      </c>
    </row>
    <row r="73" spans="1:11" ht="12" customHeight="1">
      <c r="A73" s="129">
        <v>7</v>
      </c>
      <c r="B73" s="128" t="str">
        <f>VLOOKUP('Програма-кодове'!F15,Списък!$A$1:$B$209,2,FALSE)</f>
        <v>Петров</v>
      </c>
      <c r="C73" s="165">
        <f>IFERROR(VLOOKUP(B73,Списък!$B$3:$I$77,7,0),"")</f>
        <v>112</v>
      </c>
      <c r="D73" s="128" t="str">
        <f>VLOOKUP('Програма-кодове'!G15,Списък!$A$1:$B$209,2,FALSE)</f>
        <v>Габарова</v>
      </c>
      <c r="E73" s="165">
        <f>IFERROR(VLOOKUP(D73,Списък!$B$3:$I$77,7,0),"")</f>
        <v>206</v>
      </c>
      <c r="F73" s="128" t="str">
        <f>VLOOKUP('Програма-кодове'!H15,Списък!$A$1:$B$209,2,FALSE)</f>
        <v>Трандев</v>
      </c>
      <c r="G73" s="165" t="str">
        <f>IFERROR(VLOOKUP(F73,Списък!$B$3:$I$77,7,0),"")</f>
        <v>ФС</v>
      </c>
      <c r="H73" s="128" t="str">
        <f>VLOOKUP('Програма-кодове'!I15,Списък!$A$1:$B$209,2,FALSE)</f>
        <v>Трифонова</v>
      </c>
      <c r="I73" s="165">
        <f>IFERROR(VLOOKUP(H73,Списък!$B$3:$I$77,7,0),"")</f>
        <v>203</v>
      </c>
      <c r="J73" s="128" t="str">
        <f>VLOOKUP('Програма-кодове'!J15,Списък!$A$1:$B$209,2,FALSE)</f>
        <v>Колева</v>
      </c>
      <c r="K73" s="160">
        <f>IFERROR(VLOOKUP(J73,Списък!$B$3:$I$77,7,0),"")</f>
        <v>202</v>
      </c>
    </row>
    <row r="74" spans="1:11" ht="6" customHeight="1">
      <c r="A74" s="129"/>
      <c r="B74" s="128"/>
      <c r="C74" s="165" t="str">
        <f>IFERROR(VLOOKUP(B74,Списък!$B$3:$I$77,7,0),"")</f>
        <v/>
      </c>
      <c r="D74" s="128"/>
      <c r="E74" s="165" t="str">
        <f>IFERROR(VLOOKUP(D74,Списък!$B$3:$I$77,7,0),"")</f>
        <v/>
      </c>
      <c r="F74" s="128"/>
      <c r="G74" s="165" t="str">
        <f>IFERROR(VLOOKUP(F74,Списък!$B$3:$I$77,7,0),"")</f>
        <v/>
      </c>
      <c r="H74" s="128"/>
      <c r="I74" s="165" t="str">
        <f>IFERROR(VLOOKUP(H74,Списък!$B$3:$I$77,7,0),"")</f>
        <v/>
      </c>
      <c r="J74" s="128"/>
      <c r="K74" s="160" t="str">
        <f>IFERROR(VLOOKUP(J74,Списък!$B$3:$I$77,7,0),"")</f>
        <v/>
      </c>
    </row>
    <row r="75" spans="1:11" s="13" customFormat="1" ht="12" customHeight="1">
      <c r="A75" s="132"/>
      <c r="B75" s="132" t="s">
        <v>5</v>
      </c>
      <c r="C75" s="164" t="str">
        <f>IFERROR(VLOOKUP(B75,Списък!$B$3:$I$77,7,0),"")</f>
        <v/>
      </c>
      <c r="D75" s="132" t="s">
        <v>6</v>
      </c>
      <c r="E75" s="164" t="str">
        <f>IFERROR(VLOOKUP(D75,Списък!$B$3:$I$77,7,0),"")</f>
        <v/>
      </c>
      <c r="F75" s="132" t="s">
        <v>7</v>
      </c>
      <c r="G75" s="164" t="str">
        <f>IFERROR(VLOOKUP(F75,Списък!$B$3:$I$77,7,0),"")</f>
        <v/>
      </c>
      <c r="H75" s="132" t="s">
        <v>8</v>
      </c>
      <c r="I75" s="164" t="str">
        <f>IFERROR(VLOOKUP(H75,Списък!$B$3:$I$77,7,0),"")</f>
        <v/>
      </c>
      <c r="J75" s="132" t="s">
        <v>9</v>
      </c>
      <c r="K75" s="161" t="str">
        <f>IFERROR(VLOOKUP(J75,Списък!$B$3:$I$77,7,0),"")</f>
        <v/>
      </c>
    </row>
    <row r="76" spans="1:11" ht="12" customHeight="1">
      <c r="A76" s="129">
        <v>1</v>
      </c>
      <c r="B76" s="128" t="str">
        <f>VLOOKUP('Програма-кодове'!K9,Списък!$A$1:$B$209,2,FALSE)</f>
        <v>Краева</v>
      </c>
      <c r="C76" s="165">
        <f>IFERROR(VLOOKUP(B76,Списък!$B$3:$I$77,7,0),"")</f>
        <v>306</v>
      </c>
      <c r="D76" s="128" t="str">
        <f>VLOOKUP('Програма-кодове'!L9,Списък!$A$1:$B$209,2,FALSE)</f>
        <v>Никова</v>
      </c>
      <c r="E76" s="165">
        <f>IFERROR(VLOOKUP(D76,Списък!$B$3:$I$77,7,0),"")</f>
        <v>111</v>
      </c>
      <c r="F76" s="128" t="str">
        <f>VLOOKUP('Програма-кодове'!M9,Списък!$A$1:$B$209,2,FALSE)</f>
        <v>Минчева</v>
      </c>
      <c r="G76" s="165" t="str">
        <f>IFERROR(VLOOKUP(F76,Списък!$B$3:$I$77,7,0),"")</f>
        <v>212/214/215/217</v>
      </c>
      <c r="H76" s="128" t="str">
        <f>VLOOKUP('Програма-кодове'!N9,Списък!$A$1:$B$209,2,FALSE)</f>
        <v>Конгалов</v>
      </c>
      <c r="I76" s="165" t="str">
        <f>IFERROR(VLOOKUP(H76,Списък!$B$3:$I$77,7,0),"")</f>
        <v>ФС</v>
      </c>
      <c r="J76" s="128" t="str">
        <f>VLOOKUP('Програма-кодове'!O9,Списък!$A$1:$B$209,2,FALSE)</f>
        <v>Влашинска</v>
      </c>
      <c r="K76" s="160" t="str">
        <f>IFERROR(VLOOKUP(J76,Списък!$B$3:$I$77,7,0),"")</f>
        <v>212/214/215/217</v>
      </c>
    </row>
    <row r="77" spans="1:11" ht="12" customHeight="1">
      <c r="A77" s="129">
        <v>2</v>
      </c>
      <c r="B77" s="128" t="str">
        <f>VLOOKUP('Програма-кодове'!K10,Списък!$A$1:$B$209,2,FALSE)</f>
        <v>Влашинска</v>
      </c>
      <c r="C77" s="165" t="str">
        <f>IFERROR(VLOOKUP(B77,Списък!$B$3:$I$77,7,0),"")</f>
        <v>212/214/215/217</v>
      </c>
      <c r="D77" s="128" t="str">
        <f>VLOOKUP('Програма-кодове'!L10,Списък!$A$1:$B$209,2,FALSE)</f>
        <v>Мерджанова</v>
      </c>
      <c r="E77" s="165">
        <f>IFERROR(VLOOKUP(D77,Списък!$B$3:$I$77,7,0),"")</f>
        <v>304</v>
      </c>
      <c r="F77" s="128" t="str">
        <f>VLOOKUP('Програма-кодове'!M10,Списък!$A$1:$B$209,2,FALSE)</f>
        <v>Никова</v>
      </c>
      <c r="G77" s="165">
        <f>IFERROR(VLOOKUP(F77,Списък!$B$3:$I$77,7,0),"")</f>
        <v>111</v>
      </c>
      <c r="H77" s="128" t="str">
        <f>VLOOKUP('Програма-кодове'!N10,Списък!$A$1:$B$209,2,FALSE)</f>
        <v>Минчева</v>
      </c>
      <c r="I77" s="165" t="str">
        <f>IFERROR(VLOOKUP(H77,Списък!$B$3:$I$77,7,0),"")</f>
        <v>212/214/215/217</v>
      </c>
      <c r="J77" s="128" t="str">
        <f>VLOOKUP('Програма-кодове'!O10,Списък!$A$1:$B$209,2,FALSE)</f>
        <v>Конгалов</v>
      </c>
      <c r="K77" s="160" t="str">
        <f>IFERROR(VLOOKUP(J77,Списък!$B$3:$I$77,7,0),"")</f>
        <v>ФС</v>
      </c>
    </row>
    <row r="78" spans="1:11" ht="12" customHeight="1">
      <c r="A78" s="129">
        <v>3</v>
      </c>
      <c r="B78" s="128" t="str">
        <f>VLOOKUP('Програма-кодове'!K11,Списък!$A$1:$B$209,2,FALSE)</f>
        <v>Никова</v>
      </c>
      <c r="C78" s="165">
        <f>IFERROR(VLOOKUP(B78,Списък!$B$3:$I$77,7,0),"")</f>
        <v>111</v>
      </c>
      <c r="D78" s="128" t="str">
        <f>VLOOKUP('Програма-кодове'!L11,Списък!$A$1:$B$209,2,FALSE)</f>
        <v>Мерджанова</v>
      </c>
      <c r="E78" s="165">
        <f>IFERROR(VLOOKUP(D78,Списък!$B$3:$I$77,7,0),"")</f>
        <v>304</v>
      </c>
      <c r="F78" s="128" t="str">
        <f>VLOOKUP('Програма-кодове'!M11,Списък!$A$1:$B$209,2,FALSE)</f>
        <v>Конгалов</v>
      </c>
      <c r="G78" s="165" t="str">
        <f>IFERROR(VLOOKUP(F78,Списък!$B$3:$I$77,7,0),"")</f>
        <v>ФС</v>
      </c>
      <c r="H78" s="128" t="str">
        <f>VLOOKUP('Програма-кодове'!N11,Списък!$A$1:$B$209,2,FALSE)</f>
        <v>Гюлева</v>
      </c>
      <c r="I78" s="165">
        <f>IFERROR(VLOOKUP(H78,Списък!$B$3:$I$77,7,0),"")</f>
        <v>204</v>
      </c>
      <c r="J78" s="128" t="str">
        <f>VLOOKUP('Програма-кодове'!O11,Списък!$A$1:$B$209,2,FALSE)</f>
        <v>Козалиева</v>
      </c>
      <c r="K78" s="160" t="str">
        <f>IFERROR(VLOOKUP(J78,Списък!$B$3:$I$77,7,0),"")</f>
        <v>212/214/215/217</v>
      </c>
    </row>
    <row r="79" spans="1:11" ht="12" customHeight="1">
      <c r="A79" s="129">
        <v>4</v>
      </c>
      <c r="B79" s="128" t="str">
        <f>VLOOKUP('Програма-кодове'!K12,Списък!$A$1:$B$209,2,FALSE)</f>
        <v>Иванова</v>
      </c>
      <c r="C79" s="165" t="str">
        <f>IFERROR(VLOOKUP(B79,Списък!$B$3:$I$77,7,0),"")</f>
        <v>104/107/202/205/206/304</v>
      </c>
      <c r="D79" s="128" t="str">
        <f>VLOOKUP('Програма-кодове'!L12,Списък!$A$1:$B$209,2,FALSE)</f>
        <v>Минчева</v>
      </c>
      <c r="E79" s="165" t="str">
        <f>IFERROR(VLOOKUP(D79,Списък!$B$3:$I$77,7,0),"")</f>
        <v>212/214/215/217</v>
      </c>
      <c r="F79" s="128" t="str">
        <f>VLOOKUP('Програма-кодове'!M12,Списък!$A$1:$B$209,2,FALSE)</f>
        <v>Влашинска</v>
      </c>
      <c r="G79" s="165" t="str">
        <f>IFERROR(VLOOKUP(F79,Списък!$B$3:$I$77,7,0),"")</f>
        <v>212/214/215/217</v>
      </c>
      <c r="H79" s="128" t="str">
        <f>VLOOKUP('Програма-кодове'!N12,Списък!$A$1:$B$209,2,FALSE)</f>
        <v>Гюлева</v>
      </c>
      <c r="I79" s="165">
        <f>IFERROR(VLOOKUP(H79,Списък!$B$3:$I$77,7,0),"")</f>
        <v>204</v>
      </c>
      <c r="J79" s="128" t="str">
        <f>VLOOKUP('Програма-кодове'!O12,Списък!$A$1:$B$209,2,FALSE)</f>
        <v>Латева</v>
      </c>
      <c r="K79" s="160">
        <f>IFERROR(VLOOKUP(J79,Списък!$B$3:$I$77,7,0),"")</f>
        <v>110</v>
      </c>
    </row>
    <row r="80" spans="1:11" ht="12" customHeight="1">
      <c r="A80" s="129">
        <v>5</v>
      </c>
      <c r="B80" s="128" t="str">
        <f>VLOOKUP('Програма-кодове'!K13,Списък!$A$1:$B$209,2,FALSE)</f>
        <v>Минчева</v>
      </c>
      <c r="C80" s="165" t="str">
        <f>IFERROR(VLOOKUP(B80,Списък!$B$3:$I$77,7,0),"")</f>
        <v>212/214/215/217</v>
      </c>
      <c r="D80" s="128" t="str">
        <f>VLOOKUP('Програма-кодове'!L13,Списък!$A$1:$B$209,2,FALSE)</f>
        <v>Иванова</v>
      </c>
      <c r="E80" s="165" t="str">
        <f>IFERROR(VLOOKUP(D80,Списък!$B$3:$I$77,7,0),"")</f>
        <v>104/107/202/205/206/304</v>
      </c>
      <c r="F80" s="128" t="str">
        <f>VLOOKUP('Програма-кодове'!M13,Списък!$A$1:$B$209,2,FALSE)</f>
        <v>К. Петрова/Димитрова</v>
      </c>
      <c r="G80" s="165" t="str">
        <f>IFERROR(VLOOKUP(F80,Списък!$B$3:$I$77,7,0),"")</f>
        <v>КК1/КК8</v>
      </c>
      <c r="H80" s="128" t="str">
        <f>VLOOKUP('Програма-кодове'!N13,Списък!$A$1:$B$209,2,FALSE)</f>
        <v>Влашинска</v>
      </c>
      <c r="I80" s="165" t="str">
        <f>IFERROR(VLOOKUP(H80,Списък!$B$3:$I$77,7,0),"")</f>
        <v>212/214/215/217</v>
      </c>
      <c r="J80" s="128" t="str">
        <f>VLOOKUP('Програма-кодове'!O13,Списък!$A$1:$B$209,2,FALSE)</f>
        <v>Латева</v>
      </c>
      <c r="K80" s="160">
        <f>IFERROR(VLOOKUP(J80,Списък!$B$3:$I$77,7,0),"")</f>
        <v>110</v>
      </c>
    </row>
    <row r="81" spans="1:11" ht="12" customHeight="1">
      <c r="A81" s="129">
        <v>6</v>
      </c>
      <c r="B81" s="128" t="str">
        <f>VLOOKUP('Програма-кодове'!K14,Списък!$A$1:$B$209,2,FALSE)</f>
        <v>Филипова</v>
      </c>
      <c r="C81" s="165" t="str">
        <f>IFERROR(VLOOKUP(B81,Списък!$B$3:$I$77,7,0),"")</f>
        <v>109/110/301/302/306</v>
      </c>
      <c r="D81" s="128" t="str">
        <f>VLOOKUP('Програма-кодове'!L14,Списък!$A$1:$B$209,2,FALSE)</f>
        <v>Влашинска</v>
      </c>
      <c r="E81" s="165" t="str">
        <f>IFERROR(VLOOKUP(D81,Списък!$B$3:$I$77,7,0),"")</f>
        <v>212/214/215/217</v>
      </c>
      <c r="F81" s="128" t="str">
        <f>VLOOKUP('Програма-кодове'!M14,Списък!$A$1:$B$209,2,FALSE)</f>
        <v>Гюлева</v>
      </c>
      <c r="G81" s="165">
        <f>IFERROR(VLOOKUP(F81,Списък!$B$3:$I$77,7,0),"")</f>
        <v>204</v>
      </c>
      <c r="H81" s="128" t="str">
        <f>VLOOKUP('Програма-кодове'!N14,Списък!$A$1:$B$209,2,FALSE)</f>
        <v>К. Петрова/Димитрова</v>
      </c>
      <c r="I81" s="165" t="str">
        <f>IFERROR(VLOOKUP(H81,Списък!$B$3:$I$77,7,0),"")</f>
        <v>КК1/КК8</v>
      </c>
      <c r="J81" s="128" t="str">
        <f>VLOOKUP('Програма-кодове'!O14,Списък!$A$1:$B$209,2,FALSE)</f>
        <v>Иванова</v>
      </c>
      <c r="K81" s="160" t="str">
        <f>IFERROR(VLOOKUP(J81,Списък!$B$3:$I$77,7,0),"")</f>
        <v>104/107/202/205/206/304</v>
      </c>
    </row>
    <row r="82" spans="1:11" ht="12" customHeight="1">
      <c r="A82" s="129">
        <v>7</v>
      </c>
      <c r="B82" s="128" t="str">
        <f>VLOOKUP('Програма-кодове'!K15,Списък!$A$1:$B$209,2,FALSE)</f>
        <v>К. Петрова/Димитрова</v>
      </c>
      <c r="C82" s="165" t="str">
        <f>IFERROR(VLOOKUP(B82,Списък!$B$3:$I$77,7,0),"")</f>
        <v>КК1/КК8</v>
      </c>
      <c r="D82" s="128" t="str">
        <f>VLOOKUP('Програма-кодове'!L15,Списък!$A$1:$B$209,2,FALSE)</f>
        <v>Тонева</v>
      </c>
      <c r="E82" s="165" t="str">
        <f>IFERROR(VLOOKUP(D82,Списък!$B$3:$I$77,7,0),"")</f>
        <v>ФС</v>
      </c>
      <c r="F82" s="128" t="str">
        <f>VLOOKUP('Програма-кодове'!M15,Списък!$A$1:$B$209,2,FALSE)</f>
        <v>Гюлева</v>
      </c>
      <c r="G82" s="165">
        <f>IFERROR(VLOOKUP(F82,Списък!$B$3:$I$77,7,0),"")</f>
        <v>204</v>
      </c>
      <c r="H82" s="128" t="str">
        <f>VLOOKUP('Програма-кодове'!N15,Списък!$A$1:$B$209,2,FALSE)</f>
        <v>Латева</v>
      </c>
      <c r="I82" s="165">
        <f>IFERROR(VLOOKUP(H82,Списък!$B$3:$I$77,7,0),"")</f>
        <v>110</v>
      </c>
      <c r="J82" s="128" t="str">
        <f>VLOOKUP('Програма-кодове'!O15,Списък!$A$1:$B$209,2,FALSE)</f>
        <v>Кръстева</v>
      </c>
      <c r="K82" s="160">
        <f>IFERROR(VLOOKUP(J82,Списък!$B$3:$I$77,7,0),"")</f>
        <v>302</v>
      </c>
    </row>
    <row r="83" spans="1:11" ht="6" customHeight="1">
      <c r="A83" s="141"/>
      <c r="B83" s="128"/>
      <c r="C83" s="165" t="str">
        <f>IFERROR(VLOOKUP(B83,Списък!$B$3:$I$77,7,0),"")</f>
        <v/>
      </c>
      <c r="D83" s="128"/>
      <c r="E83" s="165" t="str">
        <f>IFERROR(VLOOKUP(D83,Списък!$B$3:$I$77,7,0),"")</f>
        <v/>
      </c>
      <c r="F83" s="128"/>
      <c r="G83" s="165" t="str">
        <f>IFERROR(VLOOKUP(F83,Списък!$B$3:$I$77,7,0),"")</f>
        <v/>
      </c>
      <c r="H83" s="128"/>
      <c r="I83" s="165" t="str">
        <f>IFERROR(VLOOKUP(H83,Списък!$B$3:$I$77,7,0),"")</f>
        <v/>
      </c>
      <c r="J83" s="128"/>
      <c r="K83" s="160" t="str">
        <f>IFERROR(VLOOKUP(J83,Списък!$B$3:$I$77,7,0),"")</f>
        <v/>
      </c>
    </row>
    <row r="84" spans="1:11" s="13" customFormat="1" ht="12" customHeight="1">
      <c r="A84" s="132"/>
      <c r="B84" s="132" t="s">
        <v>10</v>
      </c>
      <c r="C84" s="164" t="str">
        <f>IFERROR(VLOOKUP(B84,Списък!$B$3:$I$77,7,0),"")</f>
        <v/>
      </c>
      <c r="D84" s="132" t="s">
        <v>11</v>
      </c>
      <c r="E84" s="164" t="str">
        <f>IFERROR(VLOOKUP(D84,Списък!$B$3:$I$77,7,0),"")</f>
        <v/>
      </c>
      <c r="F84" s="132" t="s">
        <v>12</v>
      </c>
      <c r="G84" s="164" t="str">
        <f>IFERROR(VLOOKUP(F84,Списък!$B$3:$I$77,7,0),"")</f>
        <v/>
      </c>
      <c r="H84" s="132" t="s">
        <v>13</v>
      </c>
      <c r="I84" s="164" t="str">
        <f>IFERROR(VLOOKUP(H84,Списък!$B$3:$I$77,7,0),"")</f>
        <v/>
      </c>
      <c r="J84" s="132" t="s">
        <v>14</v>
      </c>
      <c r="K84" s="161" t="str">
        <f>IFERROR(VLOOKUP(J84,Списък!$B$3:$I$77,7,0),"")</f>
        <v/>
      </c>
    </row>
    <row r="85" spans="1:11" ht="12" customHeight="1">
      <c r="A85" s="129">
        <v>1</v>
      </c>
      <c r="B85" s="128" t="str">
        <f>VLOOKUP('Програма-кодове'!P9,Списък!$A$1:$B$209,2,FALSE)</f>
        <v>Клисарова</v>
      </c>
      <c r="C85" s="165">
        <f>IFERROR(VLOOKUP(B85,Списък!$B$3:$I$77,7,0),"")</f>
        <v>305</v>
      </c>
      <c r="D85" s="128" t="str">
        <f>VLOOKUP('Програма-кодове'!Q9,Списък!$A$1:$B$209,2,FALSE)</f>
        <v>Габарова</v>
      </c>
      <c r="E85" s="165">
        <f>IFERROR(VLOOKUP(D85,Списък!$B$3:$I$77,7,0),"")</f>
        <v>206</v>
      </c>
      <c r="F85" s="128" t="str">
        <f>VLOOKUP('Програма-кодове'!R9,Списък!$A$1:$B$209,2,FALSE)</f>
        <v>Кръстева</v>
      </c>
      <c r="G85" s="165">
        <f>IFERROR(VLOOKUP(F85,Списък!$B$3:$I$77,7,0),"")</f>
        <v>302</v>
      </c>
      <c r="H85" s="128" t="str">
        <f>VLOOKUP('Програма-кодове'!S9,Списък!$A$1:$B$209,2,FALSE)</f>
        <v>Киркова/К. Петрова</v>
      </c>
      <c r="I85" s="165" t="str">
        <f>IFERROR(VLOOKUP(H85,Списък!$B$3:$I$77,7,0),"")</f>
        <v>КК7/КК1</v>
      </c>
      <c r="J85" s="155" t="str">
        <f>VLOOKUP('Програма-кодове'!T9,Списък!$A$1:$B$209,2,FALSE)</f>
        <v>В. Иванова</v>
      </c>
      <c r="K85" s="199">
        <f>IFERROR(VLOOKUP(J85,Списък!$B$3:$I$77,7,0),"")</f>
        <v>109</v>
      </c>
    </row>
    <row r="86" spans="1:11" ht="12" customHeight="1">
      <c r="A86" s="129">
        <v>2</v>
      </c>
      <c r="B86" s="128" t="str">
        <f>VLOOKUP('Програма-кодове'!P10,Списък!$A$1:$B$209,2,FALSE)</f>
        <v>Киркова/К. Петрова</v>
      </c>
      <c r="C86" s="165" t="str">
        <f>IFERROR(VLOOKUP(B86,Списък!$B$3:$I$77,7,0),"")</f>
        <v>КК7/КК1</v>
      </c>
      <c r="D86" s="128" t="str">
        <f>VLOOKUP('Програма-кодове'!Q10,Списък!$A$1:$B$209,2,FALSE)</f>
        <v>Габарова</v>
      </c>
      <c r="E86" s="165">
        <f>IFERROR(VLOOKUP(D86,Списък!$B$3:$I$77,7,0),"")</f>
        <v>206</v>
      </c>
      <c r="F86" s="128" t="str">
        <f>VLOOKUP('Програма-кодове'!R10,Списък!$A$1:$B$209,2,FALSE)</f>
        <v>Кръстева</v>
      </c>
      <c r="G86" s="165">
        <f>IFERROR(VLOOKUP(F86,Списък!$B$3:$I$77,7,0),"")</f>
        <v>302</v>
      </c>
      <c r="H86" s="128" t="str">
        <f>VLOOKUP('Програма-кодове'!S10,Списък!$A$1:$B$209,2,FALSE)</f>
        <v>Киров</v>
      </c>
      <c r="I86" s="165" t="str">
        <f>IFERROR(VLOOKUP(H86,Списък!$B$3:$I$77,7,0),"")</f>
        <v>109/110/111/114/102/302</v>
      </c>
      <c r="J86" s="128" t="str">
        <f>VLOOKUP('Програма-кодове'!T10,Списък!$A$1:$B$209,2,FALSE)</f>
        <v>Вълчева</v>
      </c>
      <c r="K86" s="160">
        <f>IFERROR(VLOOKUP(J86,Списък!$B$3:$I$77,7,0),"")</f>
        <v>201</v>
      </c>
    </row>
    <row r="87" spans="1:11" ht="12" customHeight="1">
      <c r="A87" s="129">
        <v>3</v>
      </c>
      <c r="B87" s="128" t="str">
        <f>VLOOKUP('Програма-кодове'!P11,Списък!$A$1:$B$209,2,FALSE)</f>
        <v>Паронова</v>
      </c>
      <c r="C87" s="165" t="str">
        <f>IFERROR(VLOOKUP(B87,Списък!$B$3:$I$77,7,0),"")</f>
        <v>212/214/215/217</v>
      </c>
      <c r="D87" s="128" t="str">
        <f>VLOOKUP('Програма-кодове'!Q11,Списък!$A$1:$B$209,2,FALSE)</f>
        <v>Киркова/К. Петрова</v>
      </c>
      <c r="E87" s="165" t="str">
        <f>IFERROR(VLOOKUP(D87,Списък!$B$3:$I$77,7,0),"")</f>
        <v>КК7/КК1</v>
      </c>
      <c r="F87" s="128" t="str">
        <f>VLOOKUP('Програма-кодове'!R11,Списък!$A$1:$B$209,2,FALSE)</f>
        <v>Влашинска</v>
      </c>
      <c r="G87" s="165" t="str">
        <f>IFERROR(VLOOKUP(F87,Списък!$B$3:$I$77,7,0),"")</f>
        <v>212/214/215/217</v>
      </c>
      <c r="H87" s="128" t="str">
        <f>VLOOKUP('Програма-кодове'!S11,Списък!$A$1:$B$209,2,FALSE)</f>
        <v>Петров ФВС</v>
      </c>
      <c r="I87" s="165" t="str">
        <f>IFERROR(VLOOKUP(H87,Списък!$B$3:$I$77,7,0),"")</f>
        <v>ФС</v>
      </c>
      <c r="J87" s="128" t="str">
        <f>VLOOKUP('Програма-кодове'!T11,Списък!$A$1:$B$209,2,FALSE)</f>
        <v>Вълчева</v>
      </c>
      <c r="K87" s="160">
        <f>IFERROR(VLOOKUP(J87,Списък!$B$3:$I$77,7,0),"")</f>
        <v>201</v>
      </c>
    </row>
    <row r="88" spans="1:11" ht="12" customHeight="1">
      <c r="A88" s="129">
        <v>4</v>
      </c>
      <c r="B88" s="128" t="str">
        <f>VLOOKUP('Програма-кодове'!P12,Списък!$A$1:$B$209,2,FALSE)</f>
        <v>Вълчева</v>
      </c>
      <c r="C88" s="165">
        <f>IFERROR(VLOOKUP(B88,Списък!$B$3:$I$77,7,0),"")</f>
        <v>201</v>
      </c>
      <c r="D88" s="128" t="str">
        <f>VLOOKUP('Програма-кодове'!Q12,Списък!$A$1:$B$209,2,FALSE)</f>
        <v>Трандев</v>
      </c>
      <c r="E88" s="165" t="str">
        <f>IFERROR(VLOOKUP(D88,Списък!$B$3:$I$77,7,0),"")</f>
        <v>ФС</v>
      </c>
      <c r="F88" s="128" t="str">
        <f>VLOOKUP('Програма-кодове'!R12,Списък!$A$1:$B$209,2,FALSE)</f>
        <v>Киркова/К. Петрова</v>
      </c>
      <c r="G88" s="165" t="str">
        <f>IFERROR(VLOOKUP(F88,Списък!$B$3:$I$77,7,0),"")</f>
        <v>КК7/КК1</v>
      </c>
      <c r="H88" s="128" t="str">
        <f>VLOOKUP('Програма-кодове'!S12,Списък!$A$1:$B$209,2,FALSE)</f>
        <v>Кирилова</v>
      </c>
      <c r="I88" s="165">
        <f>IFERROR(VLOOKUP(H88,Списък!$B$3:$I$77,7,0),"")</f>
        <v>108</v>
      </c>
      <c r="J88" s="128" t="str">
        <f>VLOOKUP('Програма-кодове'!T12,Списък!$A$1:$B$209,2,FALSE)</f>
        <v>Костова</v>
      </c>
      <c r="K88" s="160" t="str">
        <f>IFERROR(VLOOKUP(J88,Списък!$B$3:$I$77,7,0),"")</f>
        <v>212/214/215/217</v>
      </c>
    </row>
    <row r="89" spans="1:11" ht="12" customHeight="1">
      <c r="A89" s="129">
        <v>5</v>
      </c>
      <c r="B89" s="128" t="str">
        <f>VLOOKUP('Програма-кодове'!P13,Списък!$A$1:$B$209,2,FALSE)</f>
        <v>Вълчева</v>
      </c>
      <c r="C89" s="165">
        <f>IFERROR(VLOOKUP(B89,Списък!$B$3:$I$77,7,0),"")</f>
        <v>201</v>
      </c>
      <c r="D89" s="128" t="str">
        <f>VLOOKUP('Програма-кодове'!Q13,Списък!$A$1:$B$209,2,FALSE)</f>
        <v>Кръстева</v>
      </c>
      <c r="E89" s="165">
        <f>IFERROR(VLOOKUP(D89,Списък!$B$3:$I$77,7,0),"")</f>
        <v>302</v>
      </c>
      <c r="F89" s="128" t="str">
        <f>VLOOKUP('Програма-кодове'!R13,Списък!$A$1:$B$209,2,FALSE)</f>
        <v>В. Иванова</v>
      </c>
      <c r="G89" s="165">
        <f>IFERROR(VLOOKUP(F89,Списък!$B$3:$I$77,7,0),"")</f>
        <v>109</v>
      </c>
      <c r="H89" s="128" t="str">
        <f>VLOOKUP('Програма-кодове'!S13,Списък!$A$1:$B$209,2,FALSE)</f>
        <v>Кирилова</v>
      </c>
      <c r="I89" s="165">
        <f>IFERROR(VLOOKUP(H89,Списък!$B$3:$I$77,7,0),"")</f>
        <v>108</v>
      </c>
      <c r="J89" s="128" t="str">
        <f>VLOOKUP('Програма-кодове'!T13,Списък!$A$1:$B$209,2,FALSE)</f>
        <v>Коларова</v>
      </c>
      <c r="K89" s="160" t="str">
        <f>IFERROR(VLOOKUP(J89,Списък!$B$3:$I$77,7,0),"")</f>
        <v>212/214/215/217</v>
      </c>
    </row>
    <row r="90" spans="1:11" ht="12" customHeight="1">
      <c r="A90" s="129">
        <v>6</v>
      </c>
      <c r="B90" s="128" t="str">
        <f>VLOOKUP('Програма-кодове'!P14,Списък!$A$1:$B$209,2,FALSE)</f>
        <v>Трандев</v>
      </c>
      <c r="C90" s="165" t="str">
        <f>IFERROR(VLOOKUP(B90,Списък!$B$3:$I$77,7,0),"")</f>
        <v>ФС</v>
      </c>
      <c r="D90" s="128" t="str">
        <f>VLOOKUP('Програма-кодове'!Q14,Списък!$A$1:$B$209,2,FALSE)</f>
        <v>Коларова</v>
      </c>
      <c r="E90" s="165" t="str">
        <f>IFERROR(VLOOKUP(D90,Списък!$B$3:$I$77,7,0),"")</f>
        <v>212/214/215/217</v>
      </c>
      <c r="F90" s="128" t="str">
        <f>VLOOKUP('Програма-кодове'!R14,Списък!$A$1:$B$209,2,FALSE)</f>
        <v>Данева</v>
      </c>
      <c r="G90" s="165">
        <f>IFERROR(VLOOKUP(F90,Списък!$B$3:$I$77,7,0),"")</f>
        <v>101</v>
      </c>
      <c r="H90" s="128" t="str">
        <f>VLOOKUP('Програма-кодове'!S14,Списък!$A$1:$B$209,2,FALSE)</f>
        <v>Кръстева</v>
      </c>
      <c r="I90" s="165">
        <f>IFERROR(VLOOKUP(H90,Списък!$B$3:$I$77,7,0),"")</f>
        <v>302</v>
      </c>
      <c r="J90" s="128" t="str">
        <f>VLOOKUP('Програма-кодове'!T14,Списък!$A$1:$B$209,2,FALSE)</f>
        <v>Кирилова/Тодорова</v>
      </c>
      <c r="K90" s="160" t="str">
        <f>IFERROR(VLOOKUP(J90,Списък!$B$3:$I$77,7,0),"")</f>
        <v>108/101-105</v>
      </c>
    </row>
    <row r="91" spans="1:11" ht="12" customHeight="1">
      <c r="A91" s="129">
        <v>7</v>
      </c>
      <c r="B91" s="128" t="str">
        <f>VLOOKUP('Програма-кодове'!P15,Списък!$A$1:$B$209,2,FALSE)</f>
        <v>В. Иванова</v>
      </c>
      <c r="C91" s="165">
        <f>IFERROR(VLOOKUP(B91,Списък!$B$3:$I$77,7,0),"")</f>
        <v>109</v>
      </c>
      <c r="D91" s="128" t="str">
        <f>VLOOKUP('Програма-кодове'!Q15,Списък!$A$1:$B$209,2,FALSE)</f>
        <v>Костова</v>
      </c>
      <c r="E91" s="165" t="str">
        <f>IFERROR(VLOOKUP(D91,Списък!$B$3:$I$77,7,0),"")</f>
        <v>212/214/215/217</v>
      </c>
      <c r="F91" s="128" t="str">
        <f>VLOOKUP('Програма-кодове'!R15,Списък!$A$1:$B$209,2,FALSE)</f>
        <v>Данева</v>
      </c>
      <c r="G91" s="165">
        <f>IFERROR(VLOOKUP(F91,Списък!$B$3:$I$77,7,0),"")</f>
        <v>101</v>
      </c>
      <c r="H91" s="128" t="str">
        <f>VLOOKUP('Програма-кодове'!S15,Списък!$A$1:$B$209,2,FALSE)</f>
        <v>Коларова</v>
      </c>
      <c r="I91" s="165" t="str">
        <f>IFERROR(VLOOKUP(H91,Списък!$B$3:$I$77,7,0),"")</f>
        <v>212/214/215/217</v>
      </c>
      <c r="J91" s="128" t="str">
        <f>VLOOKUP('Програма-кодове'!T15,Списък!$A$1:$B$209,2,FALSE)</f>
        <v>Кирилова/Тодорова</v>
      </c>
      <c r="K91" s="160" t="str">
        <f>IFERROR(VLOOKUP(J91,Списък!$B$3:$I$77,7,0),"")</f>
        <v>108/101-105</v>
      </c>
    </row>
    <row r="92" spans="1:11" ht="3" customHeight="1">
      <c r="A92" s="129"/>
      <c r="B92" s="128"/>
      <c r="C92" s="165" t="str">
        <f>IFERROR(VLOOKUP(B92,Списък!$B$3:$I$77,7,0),"")</f>
        <v/>
      </c>
      <c r="D92" s="128"/>
      <c r="E92" s="165" t="str">
        <f>IFERROR(VLOOKUP(D92,Списък!$B$3:$I$77,7,0),"")</f>
        <v/>
      </c>
      <c r="F92" s="128"/>
      <c r="G92" s="165" t="str">
        <f>IFERROR(VLOOKUP(F92,Списък!$B$3:$I$77,7,0),"")</f>
        <v/>
      </c>
      <c r="H92" s="128"/>
      <c r="I92" s="165" t="str">
        <f>IFERROR(VLOOKUP(H92,Списък!$B$3:$I$77,7,0),"")</f>
        <v/>
      </c>
      <c r="J92" s="135"/>
      <c r="K92" s="162" t="str">
        <f>IFERROR(VLOOKUP(J92,Списък!$B$3:$I$77,7,0),"")</f>
        <v/>
      </c>
    </row>
    <row r="93" spans="1:11" s="13" customFormat="1" ht="12" customHeight="1">
      <c r="A93" s="132"/>
      <c r="B93" s="132" t="s">
        <v>15</v>
      </c>
      <c r="C93" s="164" t="str">
        <f>IFERROR(VLOOKUP(B93,Списък!$B$3:$I$77,7,0),"")</f>
        <v/>
      </c>
      <c r="D93" s="132" t="s">
        <v>16</v>
      </c>
      <c r="E93" s="164" t="str">
        <f>IFERROR(VLOOKUP(D93,Списък!$B$3:$I$77,7,0),"")</f>
        <v/>
      </c>
      <c r="F93" s="132" t="s">
        <v>17</v>
      </c>
      <c r="G93" s="164" t="str">
        <f>IFERROR(VLOOKUP(F93,Списък!$B$3:$I$77,7,0),"")</f>
        <v/>
      </c>
      <c r="H93" s="132" t="s">
        <v>46</v>
      </c>
      <c r="I93" s="164" t="str">
        <f>IFERROR(VLOOKUP(H93,Списък!$B$3:$I$77,7,0),"")</f>
        <v/>
      </c>
      <c r="J93" s="132" t="s">
        <v>18</v>
      </c>
      <c r="K93" s="161" t="str">
        <f>IFERROR(VLOOKUP(J93,Списък!$B$3:$I$77,7,0),"")</f>
        <v/>
      </c>
    </row>
    <row r="94" spans="1:11" ht="12" customHeight="1">
      <c r="A94" s="129">
        <v>1</v>
      </c>
      <c r="B94" s="128" t="str">
        <f>VLOOKUP('Програма-кодове'!U9,Списък!$A$1:$B$209,2,FALSE)</f>
        <v>Христонова/Цветков</v>
      </c>
      <c r="C94" s="165" t="str">
        <f>IFERROR(VLOOKUP(B94,Списък!$B$3:$I$77,7,0),"")</f>
        <v>КК4/КК6</v>
      </c>
      <c r="D94" s="128" t="str">
        <f>VLOOKUP('Програма-кодове'!V9,Списък!$A$1:$B$209,2,FALSE)</f>
        <v>Паронова</v>
      </c>
      <c r="E94" s="165" t="str">
        <f>IFERROR(VLOOKUP(D94,Списък!$B$3:$I$77,7,0),"")</f>
        <v>212/214/215/217</v>
      </c>
      <c r="F94" s="128" t="str">
        <f>VLOOKUP('Програма-кодове'!W9,Списък!$A$1:$B$209,2,FALSE)</f>
        <v>Чанкова</v>
      </c>
      <c r="G94" s="165">
        <f>IFERROR(VLOOKUP(F94,Списък!$B$3:$I$77,7,0),"")</f>
        <v>105</v>
      </c>
      <c r="H94" s="128" t="str">
        <f>VLOOKUP('Програма-кодове'!X9,Списък!$A$1:$B$209,2,FALSE)</f>
        <v>Даскалова</v>
      </c>
      <c r="I94" s="165" t="str">
        <f>IFERROR(VLOOKUP(H94,Списък!$B$3:$I$77,7,0),"")</f>
        <v>107/108</v>
      </c>
      <c r="J94" s="128" t="str">
        <f>VLOOKUP('Програма-кодове'!Y9,Списък!$A$1:$B$209,2,FALSE)</f>
        <v>Козалиева</v>
      </c>
      <c r="K94" s="160" t="str">
        <f>IFERROR(VLOOKUP(J94,Списък!$B$3:$I$77,7,0),"")</f>
        <v>212/214/215/217</v>
      </c>
    </row>
    <row r="95" spans="1:11" ht="12" customHeight="1">
      <c r="A95" s="129">
        <v>2</v>
      </c>
      <c r="B95" s="128" t="str">
        <f>VLOOKUP('Програма-кодове'!U10,Списък!$A$1:$B$209,2,FALSE)</f>
        <v>Паронова</v>
      </c>
      <c r="C95" s="165" t="str">
        <f>IFERROR(VLOOKUP(B95,Списък!$B$3:$I$77,7,0),"")</f>
        <v>212/214/215/217</v>
      </c>
      <c r="D95" s="128" t="str">
        <f>VLOOKUP('Програма-кодове'!V10,Списък!$A$1:$B$209,2,FALSE)</f>
        <v>Ю. Делчева</v>
      </c>
      <c r="E95" s="165" t="str">
        <f>IFERROR(VLOOKUP(D95,Списък!$B$3:$I$77,7,0),"")</f>
        <v>212/214/215/217</v>
      </c>
      <c r="F95" s="128" t="str">
        <f>VLOOKUP('Програма-кодове'!W10,Списък!$A$1:$B$209,2,FALSE)</f>
        <v>Чанкова</v>
      </c>
      <c r="G95" s="165">
        <f>IFERROR(VLOOKUP(F95,Списък!$B$3:$I$77,7,0),"")</f>
        <v>105</v>
      </c>
      <c r="H95" s="128" t="str">
        <f>VLOOKUP('Програма-кодове'!X10,Списък!$A$1:$B$209,2,FALSE)</f>
        <v>Христонова/Цветков</v>
      </c>
      <c r="I95" s="165" t="str">
        <f>IFERROR(VLOOKUP(H95,Списък!$B$3:$I$77,7,0),"")</f>
        <v>КК4/КК6</v>
      </c>
      <c r="J95" s="128" t="str">
        <f>VLOOKUP('Програма-кодове'!Y10,Списък!$A$1:$B$209,2,FALSE)</f>
        <v>Козалиева</v>
      </c>
      <c r="K95" s="160" t="str">
        <f>IFERROR(VLOOKUP(J95,Списък!$B$3:$I$77,7,0),"")</f>
        <v>212/214/215/217</v>
      </c>
    </row>
    <row r="96" spans="1:11" ht="12" customHeight="1">
      <c r="A96" s="129">
        <v>3</v>
      </c>
      <c r="B96" s="128" t="str">
        <f>VLOOKUP('Програма-кодове'!U11,Списък!$A$1:$B$209,2,FALSE)</f>
        <v>Киров</v>
      </c>
      <c r="C96" s="165" t="str">
        <f>IFERROR(VLOOKUP(B96,Списък!$B$3:$I$77,7,0),"")</f>
        <v>109/110/111/114/102/302</v>
      </c>
      <c r="D96" s="128" t="str">
        <f>VLOOKUP('Програма-кодове'!V11,Списък!$A$1:$B$209,2,FALSE)</f>
        <v>Христонова/Цветков</v>
      </c>
      <c r="E96" s="165" t="str">
        <f>IFERROR(VLOOKUP(D96,Списък!$B$3:$I$77,7,0),"")</f>
        <v>КК4/КК6</v>
      </c>
      <c r="F96" s="128" t="str">
        <f>VLOOKUP('Програма-кодове'!W11,Списък!$A$1:$B$209,2,FALSE)</f>
        <v>Ю. Делчева</v>
      </c>
      <c r="G96" s="165" t="str">
        <f>IFERROR(VLOOKUP(F96,Списък!$B$3:$I$77,7,0),"")</f>
        <v>212/214/215/217</v>
      </c>
      <c r="H96" s="128" t="str">
        <f>VLOOKUP('Програма-кодове'!X11,Списък!$A$1:$B$209,2,FALSE)</f>
        <v>В. Иванова</v>
      </c>
      <c r="I96" s="165">
        <f>IFERROR(VLOOKUP(H96,Списък!$B$3:$I$77,7,0),"")</f>
        <v>109</v>
      </c>
      <c r="J96" s="128" t="str">
        <f>VLOOKUP('Програма-кодове'!Y11,Списък!$A$1:$B$209,2,FALSE)</f>
        <v>Минчева</v>
      </c>
      <c r="K96" s="160" t="str">
        <f>IFERROR(VLOOKUP(J96,Списък!$B$3:$I$77,7,0),"")</f>
        <v>212/214/215/217</v>
      </c>
    </row>
    <row r="97" spans="1:12" ht="12" customHeight="1">
      <c r="A97" s="129">
        <v>4</v>
      </c>
      <c r="B97" s="128" t="str">
        <f>VLOOKUP('Програма-кодове'!U12,Списък!$A$1:$B$209,2,FALSE)</f>
        <v>Козалиева</v>
      </c>
      <c r="C97" s="165" t="str">
        <f>IFERROR(VLOOKUP(B97,Списък!$B$3:$I$77,7,0),"")</f>
        <v>212/214/215/217</v>
      </c>
      <c r="D97" s="128" t="str">
        <f>VLOOKUP('Програма-кодове'!V12,Списък!$A$1:$B$209,2,FALSE)</f>
        <v>Чанкова</v>
      </c>
      <c r="E97" s="165">
        <f>IFERROR(VLOOKUP(D97,Списък!$B$3:$I$77,7,0),"")</f>
        <v>105</v>
      </c>
      <c r="F97" s="128" t="str">
        <f>VLOOKUP('Програма-кодове'!W12,Списък!$A$1:$B$209,2,FALSE)</f>
        <v>Христонова/Цветков</v>
      </c>
      <c r="G97" s="165" t="str">
        <f>IFERROR(VLOOKUP(F97,Списък!$B$3:$I$77,7,0),"")</f>
        <v>КК4/КК6</v>
      </c>
      <c r="H97" s="128" t="str">
        <f>VLOOKUP('Програма-кодове'!X12,Списък!$A$1:$B$209,2,FALSE)</f>
        <v>Гочева</v>
      </c>
      <c r="I97" s="165">
        <f>IFERROR(VLOOKUP(H97,Списък!$B$3:$I$77,7,0),"")</f>
        <v>301</v>
      </c>
      <c r="J97" s="128" t="str">
        <f>VLOOKUP('Програма-кодове'!Y12,Списък!$A$1:$B$209,2,FALSE)</f>
        <v>Конгалов</v>
      </c>
      <c r="K97" s="160" t="str">
        <f>IFERROR(VLOOKUP(J97,Списък!$B$3:$I$77,7,0),"")</f>
        <v>ФС</v>
      </c>
    </row>
    <row r="98" spans="1:12" ht="12" customHeight="1">
      <c r="A98" s="129">
        <v>5</v>
      </c>
      <c r="B98" s="128" t="str">
        <f>VLOOKUP('Програма-кодове'!U13,Списък!$A$1:$B$209,2,FALSE)</f>
        <v>Н. Николова</v>
      </c>
      <c r="C98" s="165" t="str">
        <f>IFERROR(VLOOKUP(B98,Списък!$B$3:$I$77,7,0),"")</f>
        <v>201/202/203/205/206</v>
      </c>
      <c r="D98" s="128" t="str">
        <f>VLOOKUP('Програма-кодове'!V13,Списък!$A$1:$B$209,2,FALSE)</f>
        <v>Чанкова</v>
      </c>
      <c r="E98" s="165">
        <f>IFERROR(VLOOKUP(D98,Списък!$B$3:$I$77,7,0),"")</f>
        <v>105</v>
      </c>
      <c r="F98" s="128" t="str">
        <f>VLOOKUP('Програма-кодове'!W13,Списък!$A$1:$B$209,2,FALSE)</f>
        <v>Костова</v>
      </c>
      <c r="G98" s="165" t="str">
        <f>IFERROR(VLOOKUP(F98,Списък!$B$3:$I$77,7,0),"")</f>
        <v>212/214/215/217</v>
      </c>
      <c r="H98" s="128" t="str">
        <f>VLOOKUP('Програма-кодове'!X13,Списък!$A$1:$B$209,2,FALSE)</f>
        <v>Паронова</v>
      </c>
      <c r="I98" s="165" t="str">
        <f>IFERROR(VLOOKUP(H98,Списък!$B$3:$I$77,7,0),"")</f>
        <v>212/214/215/217</v>
      </c>
      <c r="J98" s="128" t="str">
        <f>VLOOKUP('Програма-кодове'!Y13,Списък!$A$1:$B$209,2,FALSE)</f>
        <v>Гочева</v>
      </c>
      <c r="K98" s="160">
        <f>IFERROR(VLOOKUP(J98,Списък!$B$3:$I$77,7,0),"")</f>
        <v>301</v>
      </c>
    </row>
    <row r="99" spans="1:12" ht="12" customHeight="1">
      <c r="A99" s="129">
        <v>6</v>
      </c>
      <c r="B99" s="128" t="str">
        <f>VLOOKUP('Програма-кодове'!U14,Списък!$A$1:$B$209,2,FALSE)</f>
        <v>Батимов</v>
      </c>
      <c r="C99" s="165">
        <f>IFERROR(VLOOKUP(B99,Списък!$B$3:$I$77,7,0),"")</f>
        <v>303</v>
      </c>
      <c r="D99" s="128" t="str">
        <f>VLOOKUP('Програма-кодове'!V14,Списък!$A$1:$B$209,2,FALSE)</f>
        <v>Н. Николова</v>
      </c>
      <c r="E99" s="165" t="str">
        <f>IFERROR(VLOOKUP(D99,Списък!$B$3:$I$77,7,0),"")</f>
        <v>201/202/203/205/206</v>
      </c>
      <c r="F99" s="128" t="str">
        <f>VLOOKUP('Програма-кодове'!W14,Списък!$A$1:$B$209,2,FALSE)</f>
        <v>Гочева</v>
      </c>
      <c r="G99" s="165">
        <f>IFERROR(VLOOKUP(F99,Списък!$B$3:$I$77,7,0),"")</f>
        <v>301</v>
      </c>
      <c r="H99" s="128" t="str">
        <f>VLOOKUP('Програма-кодове'!X14,Списък!$A$1:$B$209,2,FALSE)</f>
        <v>Чанкова</v>
      </c>
      <c r="I99" s="165">
        <f>IFERROR(VLOOKUP(H99,Списък!$B$3:$I$77,7,0),"")</f>
        <v>105</v>
      </c>
      <c r="J99" s="128" t="str">
        <f>VLOOKUP('Програма-кодове'!Y14,Списък!$A$1:$B$209,2,FALSE)</f>
        <v>Паронова</v>
      </c>
      <c r="K99" s="160" t="str">
        <f>IFERROR(VLOOKUP(J99,Списък!$B$3:$I$77,7,0),"")</f>
        <v>212/214/215/217</v>
      </c>
    </row>
    <row r="100" spans="1:12" ht="12" customHeight="1">
      <c r="A100" s="129">
        <v>7</v>
      </c>
      <c r="B100" s="128" t="str">
        <f>VLOOKUP('Програма-кодове'!U15,Списък!$A$1:$B$209,2,FALSE)</f>
        <v>Батимов</v>
      </c>
      <c r="C100" s="165">
        <f>IFERROR(VLOOKUP(B100,Списък!$B$3:$I$77,7,0),"")</f>
        <v>303</v>
      </c>
      <c r="D100" s="128" t="str">
        <f>VLOOKUP('Програма-кодове'!V15,Списък!$A$1:$B$209,2,FALSE)</f>
        <v>Гочева</v>
      </c>
      <c r="E100" s="165">
        <f>IFERROR(VLOOKUP(D100,Списък!$B$3:$I$77,7,0),"")</f>
        <v>301</v>
      </c>
      <c r="F100" s="128" t="str">
        <f>VLOOKUP('Програма-кодове'!W15,Списък!$A$1:$B$209,2,FALSE)</f>
        <v>Паронова</v>
      </c>
      <c r="G100" s="165" t="str">
        <f>IFERROR(VLOOKUP(F100,Списък!$B$3:$I$77,7,0),"")</f>
        <v>212/214/215/217</v>
      </c>
      <c r="H100" s="128" t="str">
        <f>VLOOKUP('Програма-кодове'!X15,Списък!$A$1:$B$209,2,FALSE)</f>
        <v>Чанкова</v>
      </c>
      <c r="I100" s="165">
        <f>IFERROR(VLOOKUP(H100,Списък!$B$3:$I$77,7,0),"")</f>
        <v>105</v>
      </c>
      <c r="J100" s="128" t="str">
        <f>VLOOKUP('Програма-кодове'!Y15,Списък!$A$1:$B$209,2,FALSE)</f>
        <v>Н. Николова</v>
      </c>
      <c r="K100" s="160" t="str">
        <f>IFERROR(VLOOKUP(J100,Списък!$B$3:$I$77,7,0),"")</f>
        <v>201/202/203/205/206</v>
      </c>
    </row>
    <row r="101" spans="1:12" ht="6" customHeight="1">
      <c r="A101" s="141"/>
      <c r="B101" s="128"/>
      <c r="C101" s="165" t="str">
        <f>IFERROR(VLOOKUP(B101,Списък!$B$3:$I$77,7,0),"")</f>
        <v/>
      </c>
      <c r="D101" s="128"/>
      <c r="E101" s="165" t="str">
        <f>IFERROR(VLOOKUP(D101,Списък!$B$3:$I$77,7,0),"")</f>
        <v/>
      </c>
      <c r="F101" s="128"/>
      <c r="G101" s="165" t="str">
        <f>IFERROR(VLOOKUP(F101,Списък!$B$3:$I$77,7,0),"")</f>
        <v/>
      </c>
      <c r="H101" s="128"/>
      <c r="I101" s="165" t="str">
        <f>IFERROR(VLOOKUP(H101,Списък!$B$3:$I$77,7,0),"")</f>
        <v/>
      </c>
      <c r="J101" s="128"/>
      <c r="K101" s="160" t="str">
        <f>IFERROR(VLOOKUP(J101,Списък!$B$3:$I$77,7,0),"")</f>
        <v/>
      </c>
    </row>
    <row r="102" spans="1:12" s="13" customFormat="1" ht="12" customHeight="1">
      <c r="A102" s="132"/>
      <c r="B102" s="132" t="s">
        <v>48</v>
      </c>
      <c r="C102" s="164" t="str">
        <f>IFERROR(VLOOKUP(B102,Списък!$B$3:$I$77,7,0),"")</f>
        <v/>
      </c>
      <c r="D102" s="132" t="s">
        <v>49</v>
      </c>
      <c r="E102" s="164" t="str">
        <f>IFERROR(VLOOKUP(D102,Списък!$B$3:$I$77,7,0),"")</f>
        <v/>
      </c>
      <c r="F102" s="132" t="s">
        <v>50</v>
      </c>
      <c r="G102" s="164" t="str">
        <f>IFERROR(VLOOKUP(F102,Списък!$B$3:$I$77,7,0),"")</f>
        <v/>
      </c>
      <c r="H102" s="132" t="s">
        <v>51</v>
      </c>
      <c r="I102" s="164" t="str">
        <f>IFERROR(VLOOKUP(H102,Списък!$B$3:$I$77,7,0),"")</f>
        <v/>
      </c>
      <c r="J102" s="132" t="s">
        <v>52</v>
      </c>
      <c r="K102" s="161" t="str">
        <f>IFERROR(VLOOKUP(J102,Списък!$B$3:$I$77,7,0),"")</f>
        <v/>
      </c>
    </row>
    <row r="103" spans="1:12">
      <c r="A103" s="129">
        <v>1</v>
      </c>
      <c r="B103" s="128" t="str">
        <f>VLOOKUP('Програма-кодове'!Z9,Списък!$A$1:$B$209,2,FALSE)</f>
        <v>Петкова/Димитрова</v>
      </c>
      <c r="C103" s="160" t="str">
        <f>IFERROR(VLOOKUP(B103,Списък!$B$3:$I$77,7,0),"")</f>
        <v>КК3/КК8</v>
      </c>
      <c r="D103" s="128" t="str">
        <f>VLOOKUP('Програма-кодове'!AA9,Списък!$A$1:$B$209,2,FALSE)</f>
        <v>Латева</v>
      </c>
      <c r="E103" s="165">
        <f>IFERROR(VLOOKUP(D103,Списък!$B$3:$I$77,7,0),"")</f>
        <v>110</v>
      </c>
      <c r="F103" s="128" t="str">
        <f>VLOOKUP('Програма-кодове'!AB9,Списък!$A$1:$B$209,2,FALSE)</f>
        <v>Батимов</v>
      </c>
      <c r="G103" s="160">
        <f>IFERROR(VLOOKUP(F103,Списък!$B$3:$I$77,7,0),"")</f>
        <v>303</v>
      </c>
      <c r="H103" s="128" t="str">
        <f>VLOOKUP('Програма-кодове'!AC9,Списък!$A$1:$B$209,2,FALSE)</f>
        <v>Колева</v>
      </c>
      <c r="I103" s="160">
        <f>IFERROR(VLOOKUP(H103,Списък!$B$3:$I$77,7,0),"")</f>
        <v>202</v>
      </c>
      <c r="J103" s="18" t="str">
        <f>VLOOKUP('Програма-кодове'!AD9,Списък!$A$1:$B$209,2,FALSE)</f>
        <v>Д. Николова</v>
      </c>
      <c r="K103" s="160">
        <f>IFERROR(VLOOKUP(J103,Списък!$B$3:$I$77,7,0),"")</f>
        <v>106</v>
      </c>
    </row>
    <row r="104" spans="1:12">
      <c r="A104" s="129">
        <v>2</v>
      </c>
      <c r="B104" s="128" t="str">
        <f>VLOOKUP('Програма-кодове'!Z10,Списък!$A$1:$B$209,2,FALSE)</f>
        <v>Латева</v>
      </c>
      <c r="C104" s="160">
        <f>IFERROR(VLOOKUP(B104,Списък!$B$3:$I$77,7,0),"")</f>
        <v>110</v>
      </c>
      <c r="D104" s="128" t="str">
        <f>VLOOKUP('Програма-кодове'!AA10,Списък!$A$1:$B$209,2,FALSE)</f>
        <v>Петкова/Димитрова</v>
      </c>
      <c r="E104" s="165" t="str">
        <f>IFERROR(VLOOKUP(D104,Списък!$B$3:$I$77,7,0),"")</f>
        <v>КК3/КК8</v>
      </c>
      <c r="F104" s="128" t="str">
        <f>VLOOKUP('Програма-кодове'!AB10,Списък!$A$1:$B$209,2,FALSE)</f>
        <v>Батимов</v>
      </c>
      <c r="G104" s="160">
        <f>IFERROR(VLOOKUP(F104,Списък!$B$3:$I$77,7,0),"")</f>
        <v>303</v>
      </c>
      <c r="H104" s="128" t="str">
        <f>VLOOKUP('Програма-кодове'!AC10,Списък!$A$1:$B$209,2,FALSE)</f>
        <v>Колева</v>
      </c>
      <c r="I104" s="160">
        <f>IFERROR(VLOOKUP(H104,Списък!$B$3:$I$77,7,0),"")</f>
        <v>202</v>
      </c>
      <c r="J104" s="18" t="str">
        <f>VLOOKUP('Програма-кодове'!AD10,Списък!$A$1:$B$209,2,FALSE)</f>
        <v>Д. Николова</v>
      </c>
      <c r="K104" s="160">
        <f>IFERROR(VLOOKUP(J104,Списък!$B$3:$I$77,7,0),"")</f>
        <v>106</v>
      </c>
    </row>
    <row r="105" spans="1:12">
      <c r="A105" s="129">
        <v>3</v>
      </c>
      <c r="B105" s="128" t="str">
        <f>VLOOKUP('Програма-кодове'!Z11,Списък!$A$1:$B$209,2,FALSE)</f>
        <v>Д. Николова</v>
      </c>
      <c r="C105" s="160">
        <f>IFERROR(VLOOKUP(B105,Списък!$B$3:$I$77,7,0),"")</f>
        <v>106</v>
      </c>
      <c r="D105" s="128" t="str">
        <f>VLOOKUP('Програма-кодове'!AA11,Списък!$A$1:$B$209,2,FALSE)</f>
        <v>Колева</v>
      </c>
      <c r="E105" s="165">
        <f>IFERROR(VLOOKUP(D105,Списък!$B$3:$I$77,7,0),"")</f>
        <v>202</v>
      </c>
      <c r="F105" s="128" t="str">
        <f>VLOOKUP('Програма-кодове'!AB11,Списък!$A$1:$B$209,2,FALSE)</f>
        <v>Петкова/Димитрова</v>
      </c>
      <c r="G105" s="160" t="str">
        <f>IFERROR(VLOOKUP(F105,Списък!$B$3:$I$77,7,0),"")</f>
        <v>КК3/КК8</v>
      </c>
      <c r="H105" s="128" t="str">
        <f>VLOOKUP('Програма-кодове'!AC11,Списък!$A$1:$B$209,2,FALSE)</f>
        <v>Батимов</v>
      </c>
      <c r="I105" s="160">
        <f>IFERROR(VLOOKUP(H105,Списък!$B$3:$I$77,7,0),"")</f>
        <v>303</v>
      </c>
      <c r="J105" s="18" t="str">
        <f>VLOOKUP('Програма-кодове'!AD11,Списък!$A$1:$B$209,2,FALSE)</f>
        <v>Латева</v>
      </c>
      <c r="K105" s="160">
        <f>IFERROR(VLOOKUP(J105,Списък!$B$3:$I$77,7,0),"")</f>
        <v>110</v>
      </c>
    </row>
    <row r="106" spans="1:12" ht="12.75" customHeight="1">
      <c r="A106" s="129">
        <v>4</v>
      </c>
      <c r="B106" s="128" t="str">
        <f>VLOOKUP('Програма-кодове'!Z12,Списък!$A$1:$B$209,2,FALSE)</f>
        <v>Батимов</v>
      </c>
      <c r="C106" s="160">
        <f>IFERROR(VLOOKUP(B106,Списък!$B$3:$I$77,7,0),"")</f>
        <v>303</v>
      </c>
      <c r="D106" s="128" t="str">
        <f>VLOOKUP('Програма-кодове'!AA12,Списък!$A$1:$B$209,2,FALSE)</f>
        <v>Колева</v>
      </c>
      <c r="E106" s="165">
        <f>IFERROR(VLOOKUP(D106,Списък!$B$3:$I$77,7,0),"")</f>
        <v>202</v>
      </c>
      <c r="F106" s="128" t="str">
        <f>VLOOKUP('Програма-кодове'!AB12,Списък!$A$1:$B$209,2,FALSE)</f>
        <v>Д. Николова</v>
      </c>
      <c r="G106" s="160">
        <f>IFERROR(VLOOKUP(F106,Списък!$B$3:$I$77,7,0),"")</f>
        <v>106</v>
      </c>
      <c r="H106" s="128" t="str">
        <f>VLOOKUP('Програма-кодове'!AC12,Списък!$A$1:$B$209,2,FALSE)</f>
        <v>Петкова/Димитрова</v>
      </c>
      <c r="I106" s="160" t="str">
        <f>IFERROR(VLOOKUP(H106,Списък!$B$3:$I$77,7,0),"")</f>
        <v>КК3/КК8</v>
      </c>
      <c r="J106" s="18" t="str">
        <f>VLOOKUP('Програма-кодове'!AD12,Списък!$A$1:$B$209,2,FALSE)</f>
        <v>Мерджанова</v>
      </c>
      <c r="K106" s="160">
        <f>IFERROR(VLOOKUP(J106,Списък!$B$3:$I$77,7,0),"")</f>
        <v>304</v>
      </c>
    </row>
    <row r="107" spans="1:12">
      <c r="A107" s="129">
        <v>5</v>
      </c>
      <c r="B107" s="128" t="str">
        <f>VLOOKUP('Програма-кодове'!Z13,Списък!$A$1:$B$209,2,FALSE)</f>
        <v>Батимов</v>
      </c>
      <c r="C107" s="160">
        <f>IFERROR(VLOOKUP(B107,Списък!$B$3:$I$77,7,0),"")</f>
        <v>303</v>
      </c>
      <c r="D107" s="128" t="str">
        <f>VLOOKUP('Програма-кодове'!AA13,Списък!$A$1:$B$209,2,FALSE)</f>
        <v>Филипова</v>
      </c>
      <c r="E107" s="165" t="str">
        <f>IFERROR(VLOOKUP(D107,Списък!$B$3:$I$77,7,0),"")</f>
        <v>109/110/301/302/306</v>
      </c>
      <c r="F107" s="128" t="str">
        <f>VLOOKUP('Програма-кодове'!AB13,Списък!$A$1:$B$209,2,FALSE)</f>
        <v>Д. Николова</v>
      </c>
      <c r="G107" s="160">
        <f>IFERROR(VLOOKUP(F107,Списък!$B$3:$I$77,7,0),"")</f>
        <v>106</v>
      </c>
      <c r="H107" s="128" t="str">
        <f>VLOOKUP('Програма-кодове'!AC13,Списък!$A$1:$B$209,2,FALSE)</f>
        <v>Славова</v>
      </c>
      <c r="I107" s="160">
        <f>IFERROR(VLOOKUP(H107,Списък!$B$3:$I$77,7,0),"")</f>
        <v>114</v>
      </c>
      <c r="J107" s="18" t="str">
        <f>VLOOKUP('Програма-кодове'!AD13,Списък!$A$1:$B$209,2,FALSE)</f>
        <v>Тонева</v>
      </c>
      <c r="K107" s="160" t="str">
        <f>IFERROR(VLOOKUP(J107,Списък!$B$3:$I$77,7,0),"")</f>
        <v>ФС</v>
      </c>
    </row>
    <row r="108" spans="1:12">
      <c r="A108" s="129">
        <v>6</v>
      </c>
      <c r="B108" s="128" t="str">
        <f>VLOOKUP('Програма-кодове'!Z14,Списък!$A$1:$B$209,2,FALSE)</f>
        <v>Тонева</v>
      </c>
      <c r="C108" s="160" t="str">
        <f>IFERROR(VLOOKUP(B108,Списък!$B$3:$I$77,7,0),"")</f>
        <v>ФС</v>
      </c>
      <c r="D108" s="128" t="str">
        <f>VLOOKUP('Програма-кодове'!AA14,Списък!$A$1:$B$209,2,FALSE)</f>
        <v>Мерджанова</v>
      </c>
      <c r="E108" s="165">
        <f>IFERROR(VLOOKUP(D108,Списък!$B$3:$I$77,7,0),"")</f>
        <v>304</v>
      </c>
      <c r="F108" s="128" t="str">
        <f>VLOOKUP('Програма-кодове'!AB14,Списък!$A$1:$B$209,2,FALSE)</f>
        <v>Латева</v>
      </c>
      <c r="G108" s="160">
        <f>IFERROR(VLOOKUP(F108,Списък!$B$3:$I$77,7,0),"")</f>
        <v>110</v>
      </c>
      <c r="H108" s="128" t="str">
        <f>VLOOKUP('Програма-кодове'!AC14,Списък!$A$1:$B$209,2,FALSE)</f>
        <v>Д. Николова</v>
      </c>
      <c r="I108" s="160">
        <f>IFERROR(VLOOKUP(H108,Списък!$B$3:$I$77,7,0),"")</f>
        <v>106</v>
      </c>
      <c r="J108" s="18" t="str">
        <f>VLOOKUP('Програма-кодове'!AD14,Списък!$A$1:$B$209,2,FALSE)</f>
        <v>Славова</v>
      </c>
      <c r="K108" s="160">
        <f>IFERROR(VLOOKUP(J108,Списък!$B$3:$I$77,7,0),"")</f>
        <v>114</v>
      </c>
    </row>
    <row r="109" spans="1:12" ht="12" customHeight="1">
      <c r="A109" s="143">
        <v>7</v>
      </c>
      <c r="B109" s="135" t="str">
        <f>VLOOKUP('Програма-кодове'!Z15,Списък!$A$1:$B$209,2,FALSE)</f>
        <v>Филипова</v>
      </c>
      <c r="C109" s="162" t="str">
        <f>IFERROR(VLOOKUP(B109,Списък!$B$3:$I$77,7,0),"")</f>
        <v>109/110/301/302/306</v>
      </c>
      <c r="D109" s="135" t="str">
        <f>VLOOKUP('Програма-кодове'!AA15,Списък!$A$1:$B$209,2,FALSE)</f>
        <v>Мерджанова</v>
      </c>
      <c r="E109" s="162">
        <f>IFERROR(VLOOKUP(D109,Списък!$B$3:$I$77,7,0),"")</f>
        <v>304</v>
      </c>
      <c r="F109" s="135" t="str">
        <f>VLOOKUP('Програма-кодове'!AB15,Списък!$A$1:$B$209,2,FALSE)</f>
        <v>Славова</v>
      </c>
      <c r="G109" s="162">
        <f>IFERROR(VLOOKUP(F109,Списък!$B$3:$I$77,7,0),"")</f>
        <v>114</v>
      </c>
      <c r="H109" s="135" t="str">
        <f>VLOOKUP('Програма-кодове'!AC15,Списък!$A$1:$B$209,2,FALSE)</f>
        <v>Д. Николова</v>
      </c>
      <c r="I109" s="162">
        <f>IFERROR(VLOOKUP(H109,Списък!$B$3:$I$77,7,0),"")</f>
        <v>106</v>
      </c>
      <c r="J109" s="147" t="str">
        <f>VLOOKUP('Програма-кодове'!AD15,Списък!$A$1:$B$209,2,FALSE)</f>
        <v>Минчева</v>
      </c>
      <c r="K109" s="162" t="str">
        <f>IFERROR(VLOOKUP(J109,Списък!$B$3:$I$77,7,0),"")</f>
        <v>212/214/215/217</v>
      </c>
    </row>
    <row r="110" spans="1:12" ht="6.75" customHeight="1">
      <c r="A110" s="43"/>
      <c r="C110" s="165"/>
      <c r="E110" s="165"/>
      <c r="G110" s="165"/>
      <c r="I110" s="165"/>
      <c r="K110" s="165"/>
    </row>
    <row r="111" spans="1:12" ht="30" customHeight="1">
      <c r="A111" s="384" t="s">
        <v>26</v>
      </c>
      <c r="B111" s="384"/>
      <c r="C111" s="384"/>
      <c r="D111" s="384"/>
      <c r="E111" s="384"/>
      <c r="F111" s="384"/>
      <c r="G111" s="384"/>
      <c r="H111" s="384"/>
      <c r="I111" s="384"/>
      <c r="J111" s="384"/>
      <c r="K111" s="384"/>
    </row>
    <row r="112" spans="1:12" s="13" customFormat="1" ht="12" customHeight="1">
      <c r="A112" s="145"/>
      <c r="B112" s="144">
        <v>5</v>
      </c>
      <c r="C112" s="164" t="str">
        <f>IFERROR(VLOOKUP(B112,Списък!$B$3:$I$77,7,0),"")</f>
        <v/>
      </c>
      <c r="D112" s="145">
        <v>6</v>
      </c>
      <c r="E112" s="164" t="str">
        <f>IFERROR(VLOOKUP(D112,Списък!$B$3:$I$77,7,0),"")</f>
        <v/>
      </c>
      <c r="F112" s="145">
        <v>7</v>
      </c>
      <c r="G112" s="164" t="str">
        <f>IFERROR(VLOOKUP(F112,Списък!$B$3:$I$77,7,0),"")</f>
        <v/>
      </c>
      <c r="H112" s="145"/>
      <c r="I112" s="164" t="str">
        <f>IFERROR(VLOOKUP(H112,Списък!$B$3:$I$77,7,0),"")</f>
        <v/>
      </c>
      <c r="J112" s="145"/>
      <c r="K112" s="161" t="str">
        <f>IFERROR(VLOOKUP(J112,Списък!$B$3:$I$77,7,0),"")</f>
        <v/>
      </c>
      <c r="L112" s="12"/>
    </row>
    <row r="113" spans="1:11" ht="12" customHeight="1">
      <c r="A113" s="129">
        <v>1</v>
      </c>
      <c r="B113" s="12" t="str">
        <f>VLOOKUP('Програма-кодове'!C16,Списък!$A$1:$B$209,2,FALSE)</f>
        <v>Петров</v>
      </c>
      <c r="C113" s="165">
        <f>IFERROR(VLOOKUP(B113,Списък!$B$3:$I$77,7,0),"")</f>
        <v>112</v>
      </c>
      <c r="D113" s="128" t="str">
        <f>VLOOKUP('Програма-кодове'!D16,Списък!$A$1:$B$209,2,FALSE)</f>
        <v>Кръстева</v>
      </c>
      <c r="E113" s="165">
        <f>IFERROR(VLOOKUP(D113,Списък!$B$3:$I$77,7,0),"")</f>
        <v>302</v>
      </c>
      <c r="F113" s="128" t="str">
        <f>VLOOKUP('Програма-кодове'!E16,Списък!$A$1:$B$209,2,FALSE)</f>
        <v>Петкова/Пецова</v>
      </c>
      <c r="G113" s="165" t="str">
        <f>IFERROR(VLOOKUP(F113,Списък!$B$3:$I$77,7,0),"")</f>
        <v>КК8/112</v>
      </c>
      <c r="H113" s="128"/>
      <c r="I113" s="165" t="str">
        <f>IFERROR(VLOOKUP(H113,Списък!$B$3:$I$77,7,0),"")</f>
        <v/>
      </c>
      <c r="J113" s="128"/>
      <c r="K113" s="160" t="str">
        <f>IFERROR(VLOOKUP(J113,Списък!$B$3:$I$77,7,0),"")</f>
        <v/>
      </c>
    </row>
    <row r="114" spans="1:11" ht="12" customHeight="1">
      <c r="A114" s="129">
        <v>2</v>
      </c>
      <c r="B114" s="12" t="str">
        <f>VLOOKUP('Програма-кодове'!C17,Списък!$A$1:$B$209,2,FALSE)</f>
        <v>Краева</v>
      </c>
      <c r="C114" s="165">
        <f>IFERROR(VLOOKUP(B114,Списък!$B$3:$I$77,7,0),"")</f>
        <v>306</v>
      </c>
      <c r="D114" s="128" t="str">
        <f>VLOOKUP('Програма-кодове'!D17,Списък!$A$1:$B$209,2,FALSE)</f>
        <v>Петкова/Пецова</v>
      </c>
      <c r="E114" s="165" t="str">
        <f>IFERROR(VLOOKUP(D114,Списък!$B$3:$I$77,7,0),"")</f>
        <v>КК8/112</v>
      </c>
      <c r="F114" s="128" t="str">
        <f>VLOOKUP('Програма-кодове'!E17,Списък!$A$1:$B$209,2,FALSE)</f>
        <v>Клисарова</v>
      </c>
      <c r="G114" s="165">
        <f>IFERROR(VLOOKUP(F114,Списък!$B$3:$I$77,7,0),"")</f>
        <v>305</v>
      </c>
      <c r="H114" s="128"/>
      <c r="I114" s="165" t="str">
        <f>IFERROR(VLOOKUP(H114,Списък!$B$3:$I$77,7,0),"")</f>
        <v/>
      </c>
      <c r="J114" s="128"/>
      <c r="K114" s="160" t="str">
        <f>IFERROR(VLOOKUP(J114,Списък!$B$3:$I$77,7,0),"")</f>
        <v/>
      </c>
    </row>
    <row r="115" spans="1:11" ht="12" customHeight="1">
      <c r="A115" s="129">
        <v>3</v>
      </c>
      <c r="B115" s="12" t="str">
        <f>VLOOKUP('Програма-кодове'!C18,Списък!$A$1:$B$209,2,FALSE)</f>
        <v>Сапунджиева</v>
      </c>
      <c r="C115" s="165">
        <f>IFERROR(VLOOKUP(B115,Списък!$B$3:$I$77,7,0),"")</f>
        <v>104</v>
      </c>
      <c r="D115" s="128" t="str">
        <f>VLOOKUP('Програма-кодове'!D18,Списък!$A$1:$B$209,2,FALSE)</f>
        <v>Трифонова</v>
      </c>
      <c r="E115" s="165">
        <f>IFERROR(VLOOKUP(D115,Списък!$B$3:$I$77,7,0),"")</f>
        <v>203</v>
      </c>
      <c r="F115" s="128" t="str">
        <f>VLOOKUP('Програма-кодове'!E18,Списък!$A$1:$B$209,2,FALSE)</f>
        <v>Янева/Пецова</v>
      </c>
      <c r="G115" s="165" t="str">
        <f>IFERROR(VLOOKUP(F115,Списък!$B$3:$I$77,7,0),"")</f>
        <v>КК3/</v>
      </c>
      <c r="H115" s="128"/>
      <c r="I115" s="165" t="str">
        <f>IFERROR(VLOOKUP(H115,Списък!$B$3:$I$77,7,0),"")</f>
        <v/>
      </c>
      <c r="J115" s="128"/>
      <c r="K115" s="160" t="str">
        <f>IFERROR(VLOOKUP(J115,Списък!$B$3:$I$77,7,0),"")</f>
        <v/>
      </c>
    </row>
    <row r="116" spans="1:11" ht="12" customHeight="1">
      <c r="A116" s="129">
        <v>4</v>
      </c>
      <c r="B116" s="12" t="str">
        <f>VLOOKUP('Програма-кодове'!C19,Списък!$A$1:$B$209,2,FALSE)</f>
        <v>Киров</v>
      </c>
      <c r="C116" s="165" t="str">
        <f>IFERROR(VLOOKUP(B116,Списък!$B$3:$I$77,7,0),"")</f>
        <v>109/110/111/114/102/302</v>
      </c>
      <c r="D116" s="128" t="str">
        <f>VLOOKUP('Програма-кодове'!D19,Списък!$A$1:$B$209,2,FALSE)</f>
        <v>Янева/Пецова</v>
      </c>
      <c r="E116" s="165" t="str">
        <f>IFERROR(VLOOKUP(D116,Списък!$B$3:$I$77,7,0),"")</f>
        <v>КК3/</v>
      </c>
      <c r="F116" s="128" t="str">
        <f>VLOOKUP('Програма-кодове'!E19,Списък!$A$1:$B$209,2,FALSE)</f>
        <v>Трифонова</v>
      </c>
      <c r="G116" s="165">
        <f>IFERROR(VLOOKUP(F116,Списък!$B$3:$I$77,7,0),"")</f>
        <v>203</v>
      </c>
      <c r="H116" s="128"/>
      <c r="I116" s="165" t="str">
        <f>IFERROR(VLOOKUP(H116,Списък!$B$3:$I$77,7,0),"")</f>
        <v/>
      </c>
      <c r="J116" s="128"/>
      <c r="K116" s="160" t="str">
        <f>IFERROR(VLOOKUP(J116,Списък!$B$3:$I$77,7,0),"")</f>
        <v/>
      </c>
    </row>
    <row r="117" spans="1:11" ht="12" customHeight="1">
      <c r="A117" s="129">
        <v>5</v>
      </c>
      <c r="B117" s="12" t="str">
        <f>VLOOKUP('Програма-кодове'!C20,Списък!$A$1:$B$209,2,FALSE)</f>
        <v>Тонева</v>
      </c>
      <c r="C117" s="165" t="str">
        <f>IFERROR(VLOOKUP(B117,Списък!$B$3:$I$77,7,0),"")</f>
        <v>ФС</v>
      </c>
      <c r="D117" s="128" t="str">
        <f>VLOOKUP('Програма-кодове'!D20,Списък!$A$1:$B$209,2,FALSE)</f>
        <v>Паронова</v>
      </c>
      <c r="E117" s="165" t="str">
        <f>IFERROR(VLOOKUP(D117,Списък!$B$3:$I$77,7,0),"")</f>
        <v>212/214/215/217</v>
      </c>
      <c r="F117" s="128" t="str">
        <f>VLOOKUP('Програма-кодове'!E20,Списък!$A$1:$B$209,2,FALSE)</f>
        <v>Г. Тодорова</v>
      </c>
      <c r="G117" s="165">
        <f>IFERROR(VLOOKUP(F117,Списък!$B$3:$I$77,7,0),"")</f>
        <v>103</v>
      </c>
      <c r="H117" s="128"/>
      <c r="I117" s="165" t="str">
        <f>IFERROR(VLOOKUP(H117,Списък!$B$3:$I$77,7,0),"")</f>
        <v/>
      </c>
      <c r="J117" s="128"/>
      <c r="K117" s="160" t="str">
        <f>IFERROR(VLOOKUP(J117,Списък!$B$3:$I$77,7,0),"")</f>
        <v/>
      </c>
    </row>
    <row r="118" spans="1:11" ht="12" customHeight="1">
      <c r="A118" s="129">
        <v>6</v>
      </c>
      <c r="B118" s="12" t="str">
        <f>VLOOKUP('Програма-кодове'!C21,Списък!$A$1:$B$209,2,FALSE)</f>
        <v>Гюлева</v>
      </c>
      <c r="C118" s="165">
        <f>IFERROR(VLOOKUP(B118,Списък!$B$3:$I$77,7,0),"")</f>
        <v>204</v>
      </c>
      <c r="D118" s="128" t="str">
        <f>VLOOKUP('Програма-кодове'!D21,Списък!$A$1:$B$209,2,FALSE)</f>
        <v>Трандев</v>
      </c>
      <c r="E118" s="165" t="str">
        <f>IFERROR(VLOOKUP(D118,Списък!$B$3:$I$77,7,0),"")</f>
        <v>ФС</v>
      </c>
      <c r="F118" s="128" t="str">
        <f>VLOOKUP('Програма-кодове'!E21,Списък!$A$1:$B$209,2,FALSE)</f>
        <v>Минчева</v>
      </c>
      <c r="G118" s="165" t="str">
        <f>IFERROR(VLOOKUP(F118,Списък!$B$3:$I$77,7,0),"")</f>
        <v>212/214/215/217</v>
      </c>
      <c r="H118" s="128"/>
      <c r="I118" s="165" t="str">
        <f>IFERROR(VLOOKUP(H118,Списък!$B$3:$I$77,7,0),"")</f>
        <v/>
      </c>
      <c r="J118" s="128"/>
      <c r="K118" s="160" t="str">
        <f>IFERROR(VLOOKUP(J118,Списък!$B$3:$I$77,7,0),"")</f>
        <v/>
      </c>
    </row>
    <row r="119" spans="1:11" ht="12" customHeight="1">
      <c r="A119" s="129">
        <v>7</v>
      </c>
      <c r="B119" s="12" t="str">
        <f>VLOOKUP('Програма-кодове'!C22,Списък!$A$1:$B$209,2,FALSE)</f>
        <v>Пецова</v>
      </c>
      <c r="C119" s="165" t="str">
        <f>IFERROR(VLOOKUP(B119,Списък!$B$3:$I$77,7,0),"")</f>
        <v>102/105/111/112</v>
      </c>
      <c r="D119" s="128" t="str">
        <f>VLOOKUP('Програма-кодове'!D22,Списък!$A$1:$B$209,2,FALSE)</f>
        <v>Никова</v>
      </c>
      <c r="E119" s="165">
        <f>IFERROR(VLOOKUP(D119,Списък!$B$3:$I$77,7,0),"")</f>
        <v>111</v>
      </c>
      <c r="F119" s="128" t="str">
        <f>VLOOKUP('Програма-кодове'!E22,Списък!$A$1:$B$209,2,FALSE)</f>
        <v>Трифонова</v>
      </c>
      <c r="G119" s="165">
        <f>IFERROR(VLOOKUP(F119,Списък!$B$3:$I$77,7,0),"")</f>
        <v>203</v>
      </c>
      <c r="H119" s="128"/>
      <c r="I119" s="165" t="str">
        <f>IFERROR(VLOOKUP(H119,Списък!$B$3:$I$77,7,0),"")</f>
        <v/>
      </c>
      <c r="J119" s="128"/>
      <c r="K119" s="160" t="str">
        <f>IFERROR(VLOOKUP(J119,Списък!$B$3:$I$77,7,0),"")</f>
        <v/>
      </c>
    </row>
    <row r="120" spans="1:11" ht="3" customHeight="1">
      <c r="A120" s="141"/>
      <c r="C120" s="165" t="str">
        <f>IFERROR(VLOOKUP(B120,Списък!$B$3:$I$77,7,0),"")</f>
        <v/>
      </c>
      <c r="D120" s="128"/>
      <c r="E120" s="165" t="str">
        <f>IFERROR(VLOOKUP(D120,Списък!$B$3:$I$77,7,0),"")</f>
        <v/>
      </c>
      <c r="F120" s="128"/>
      <c r="G120" s="165" t="str">
        <f>IFERROR(VLOOKUP(F120,Списък!$B$3:$I$77,7,0),"")</f>
        <v/>
      </c>
      <c r="H120" s="128"/>
      <c r="I120" s="165" t="str">
        <f>IFERROR(VLOOKUP(H120,Списък!$B$3:$I$77,7,0),"")</f>
        <v/>
      </c>
      <c r="J120" s="128"/>
      <c r="K120" s="160" t="str">
        <f>IFERROR(VLOOKUP(J120,Списък!$B$3:$I$77,7,0),"")</f>
        <v/>
      </c>
    </row>
    <row r="121" spans="1:11" ht="12" customHeight="1">
      <c r="A121" s="146"/>
      <c r="B121" s="144" t="s">
        <v>0</v>
      </c>
      <c r="C121" s="164" t="str">
        <f>IFERROR(VLOOKUP(B121,Списък!$B$3:$I$77,7,0),"")</f>
        <v/>
      </c>
      <c r="D121" s="145" t="s">
        <v>1</v>
      </c>
      <c r="E121" s="164" t="str">
        <f>IFERROR(VLOOKUP(D121,Списък!$B$3:$I$77,7,0),"")</f>
        <v/>
      </c>
      <c r="F121" s="145" t="s">
        <v>2</v>
      </c>
      <c r="G121" s="164" t="str">
        <f>IFERROR(VLOOKUP(F121,Списък!$B$3:$I$77,7,0),"")</f>
        <v/>
      </c>
      <c r="H121" s="145" t="s">
        <v>3</v>
      </c>
      <c r="I121" s="164" t="str">
        <f>IFERROR(VLOOKUP(H121,Списък!$B$3:$I$77,7,0),"")</f>
        <v/>
      </c>
      <c r="J121" s="145" t="s">
        <v>4</v>
      </c>
      <c r="K121" s="161" t="str">
        <f>IFERROR(VLOOKUP(J121,Списък!$B$3:$I$77,7,0),"")</f>
        <v/>
      </c>
    </row>
    <row r="122" spans="1:11" ht="12" customHeight="1">
      <c r="A122" s="129">
        <v>1</v>
      </c>
      <c r="B122" s="12" t="str">
        <f>VLOOKUP('Програма-кодове'!F16,Списък!$A$1:$B$209,2,FALSE)</f>
        <v>Клисарова</v>
      </c>
      <c r="C122" s="165">
        <f>IFERROR(VLOOKUP(B122,Списък!$B$3:$I$77,7,0),"")</f>
        <v>305</v>
      </c>
      <c r="D122" s="128" t="str">
        <f>VLOOKUP('Програма-кодове'!G16,Списък!$A$1:$B$209,2,FALSE)</f>
        <v>Гочева</v>
      </c>
      <c r="E122" s="165">
        <f>IFERROR(VLOOKUP(D122,Списък!$B$3:$I$77,7,0),"")</f>
        <v>301</v>
      </c>
      <c r="F122" s="128" t="str">
        <f>VLOOKUP('Програма-кодове'!H16,Списък!$A$1:$B$209,2,FALSE)</f>
        <v>Н. Николова</v>
      </c>
      <c r="G122" s="165" t="str">
        <f>IFERROR(VLOOKUP(F122,Списък!$B$3:$I$77,7,0),"")</f>
        <v>201/202/203/205/206</v>
      </c>
      <c r="H122" s="128" t="str">
        <f>VLOOKUP('Програма-кодове'!I16,Списък!$A$1:$B$209,2,FALSE)</f>
        <v>Г. Тодорова</v>
      </c>
      <c r="I122" s="165">
        <f>IFERROR(VLOOKUP(H122,Списък!$B$3:$I$77,7,0),"")</f>
        <v>103</v>
      </c>
      <c r="J122" s="128" t="str">
        <f>VLOOKUP('Програма-кодове'!J16,Списък!$A$1:$B$209,2,FALSE)</f>
        <v>Сапунджиева</v>
      </c>
      <c r="K122" s="160">
        <f>IFERROR(VLOOKUP(J122,Списък!$B$3:$I$77,7,0),"")</f>
        <v>104</v>
      </c>
    </row>
    <row r="123" spans="1:11" ht="12" customHeight="1">
      <c r="A123" s="129">
        <v>2</v>
      </c>
      <c r="B123" s="12" t="str">
        <f>VLOOKUP('Програма-кодове'!F17,Списък!$A$1:$B$209,2,FALSE)</f>
        <v>Трифонова</v>
      </c>
      <c r="C123" s="165">
        <f>IFERROR(VLOOKUP(B123,Списък!$B$3:$I$77,7,0),"")</f>
        <v>203</v>
      </c>
      <c r="D123" s="128" t="str">
        <f>VLOOKUP('Програма-кодове'!G17,Списък!$A$1:$B$209,2,FALSE)</f>
        <v>Петров</v>
      </c>
      <c r="E123" s="165">
        <f>IFERROR(VLOOKUP(D123,Списък!$B$3:$I$77,7,0),"")</f>
        <v>112</v>
      </c>
      <c r="F123" s="128" t="str">
        <f>VLOOKUP('Програма-кодове'!H17,Списък!$A$1:$B$209,2,FALSE)</f>
        <v>Н. Николова</v>
      </c>
      <c r="G123" s="165" t="str">
        <f>IFERROR(VLOOKUP(F123,Списък!$B$3:$I$77,7,0),"")</f>
        <v>201/202/203/205/206</v>
      </c>
      <c r="H123" s="128" t="str">
        <f>VLOOKUP('Програма-кодове'!I17,Списък!$A$1:$B$209,2,FALSE)</f>
        <v>Г. Тодорова</v>
      </c>
      <c r="I123" s="165">
        <f>IFERROR(VLOOKUP(H123,Списък!$B$3:$I$77,7,0),"")</f>
        <v>103</v>
      </c>
      <c r="J123" s="128" t="str">
        <f>VLOOKUP('Програма-кодове'!J17,Списък!$A$1:$B$209,2,FALSE)</f>
        <v>Сапунджиева</v>
      </c>
      <c r="K123" s="160">
        <f>IFERROR(VLOOKUP(J123,Списък!$B$3:$I$77,7,0),"")</f>
        <v>104</v>
      </c>
    </row>
    <row r="124" spans="1:11" ht="12" customHeight="1">
      <c r="A124" s="129">
        <v>3</v>
      </c>
      <c r="B124" s="12" t="str">
        <f>VLOOKUP('Програма-кодове'!F18,Списък!$A$1:$B$209,2,FALSE)</f>
        <v>Спасова</v>
      </c>
      <c r="C124" s="165">
        <f>IFERROR(VLOOKUP(B124,Списък!$B$3:$I$77,7,0),"")</f>
        <v>205</v>
      </c>
      <c r="D124" s="128" t="str">
        <f>VLOOKUP('Програма-кодове'!G18,Списък!$A$1:$B$209,2,FALSE)</f>
        <v>Габарова</v>
      </c>
      <c r="E124" s="165">
        <f>IFERROR(VLOOKUP(D124,Списък!$B$3:$I$77,7,0),"")</f>
        <v>206</v>
      </c>
      <c r="F124" s="128" t="str">
        <f>VLOOKUP('Програма-кодове'!H18,Списък!$A$1:$B$209,2,FALSE)</f>
        <v>Краева</v>
      </c>
      <c r="G124" s="165">
        <f>IFERROR(VLOOKUP(F124,Списък!$B$3:$I$77,7,0),"")</f>
        <v>306</v>
      </c>
      <c r="H124" s="128" t="str">
        <f>VLOOKUP('Програма-кодове'!I18,Списък!$A$1:$B$209,2,FALSE)</f>
        <v>Г. Тодорова</v>
      </c>
      <c r="I124" s="165">
        <f>IFERROR(VLOOKUP(H124,Списък!$B$3:$I$77,7,0),"")</f>
        <v>103</v>
      </c>
      <c r="J124" s="128" t="str">
        <f>VLOOKUP('Програма-кодове'!J18,Списък!$A$1:$B$209,2,FALSE)</f>
        <v>Петров</v>
      </c>
      <c r="K124" s="160">
        <f>IFERROR(VLOOKUP(J124,Списък!$B$3:$I$77,7,0),"")</f>
        <v>112</v>
      </c>
    </row>
    <row r="125" spans="1:11" ht="12" customHeight="1">
      <c r="A125" s="129">
        <v>4</v>
      </c>
      <c r="B125" s="12" t="str">
        <f>VLOOKUP('Програма-кодове'!F19,Списък!$A$1:$B$209,2,FALSE)</f>
        <v>Спасова</v>
      </c>
      <c r="C125" s="165">
        <f>IFERROR(VLOOKUP(B125,Списък!$B$3:$I$77,7,0),"")</f>
        <v>205</v>
      </c>
      <c r="D125" s="128" t="str">
        <f>VLOOKUP('Програма-кодове'!G19,Списък!$A$1:$B$209,2,FALSE)</f>
        <v>Габарова</v>
      </c>
      <c r="E125" s="165">
        <f>IFERROR(VLOOKUP(D125,Списък!$B$3:$I$77,7,0),"")</f>
        <v>206</v>
      </c>
      <c r="F125" s="128" t="str">
        <f>VLOOKUP('Програма-кодове'!H19,Списък!$A$1:$B$209,2,FALSE)</f>
        <v>Гинева</v>
      </c>
      <c r="G125" s="165">
        <f>IFERROR(VLOOKUP(F125,Списък!$B$3:$I$77,7,0),"")</f>
        <v>102</v>
      </c>
      <c r="H125" s="128" t="str">
        <f>VLOOKUP('Програма-кодове'!I19,Списък!$A$1:$B$209,2,FALSE)</f>
        <v>Г. Тодорова</v>
      </c>
      <c r="I125" s="165">
        <f>IFERROR(VLOOKUP(H125,Списък!$B$3:$I$77,7,0),"")</f>
        <v>103</v>
      </c>
      <c r="J125" s="128" t="str">
        <f>VLOOKUP('Програма-кодове'!J19,Списък!$A$1:$B$209,2,FALSE)</f>
        <v>Мерджанова</v>
      </c>
      <c r="K125" s="160">
        <f>IFERROR(VLOOKUP(J125,Списък!$B$3:$I$77,7,0),"")</f>
        <v>304</v>
      </c>
    </row>
    <row r="126" spans="1:11" ht="12" customHeight="1">
      <c r="A126" s="129">
        <v>5</v>
      </c>
      <c r="B126" s="12" t="str">
        <f>VLOOKUP('Програма-кодове'!F20,Списък!$A$1:$B$209,2,FALSE)</f>
        <v>Трандев</v>
      </c>
      <c r="C126" s="165" t="str">
        <f>IFERROR(VLOOKUP(B126,Списък!$B$3:$I$77,7,0),"")</f>
        <v>ФС</v>
      </c>
      <c r="D126" s="128" t="str">
        <f>VLOOKUP('Програма-кодове'!G20,Списък!$A$1:$B$209,2,FALSE)</f>
        <v>Габарова</v>
      </c>
      <c r="E126" s="165">
        <f>IFERROR(VLOOKUP(D126,Списък!$B$3:$I$77,7,0),"")</f>
        <v>206</v>
      </c>
      <c r="F126" s="128" t="str">
        <f>VLOOKUP('Програма-кодове'!H20,Списък!$A$1:$B$209,2,FALSE)</f>
        <v>Гинева</v>
      </c>
      <c r="G126" s="165">
        <f>IFERROR(VLOOKUP(F126,Списък!$B$3:$I$77,7,0),"")</f>
        <v>102</v>
      </c>
      <c r="H126" s="128" t="str">
        <f>VLOOKUP('Програма-кодове'!I20,Списък!$A$1:$B$209,2,FALSE)</f>
        <v>Краева</v>
      </c>
      <c r="I126" s="165">
        <f>IFERROR(VLOOKUP(H126,Списък!$B$3:$I$77,7,0),"")</f>
        <v>306</v>
      </c>
      <c r="J126" s="128" t="str">
        <f>VLOOKUP('Програма-кодове'!J20,Списък!$A$1:$B$209,2,FALSE)</f>
        <v>Сапунджиева</v>
      </c>
      <c r="K126" s="160">
        <f>IFERROR(VLOOKUP(J126,Списък!$B$3:$I$77,7,0),"")</f>
        <v>104</v>
      </c>
    </row>
    <row r="127" spans="1:11" ht="12" customHeight="1">
      <c r="A127" s="129">
        <v>6</v>
      </c>
      <c r="B127" s="12" t="str">
        <f>VLOOKUP('Програма-кодове'!F21,Списък!$A$1:$B$209,2,FALSE)</f>
        <v>Спасова</v>
      </c>
      <c r="C127" s="165">
        <f>IFERROR(VLOOKUP(B127,Списък!$B$3:$I$77,7,0),"")</f>
        <v>205</v>
      </c>
      <c r="D127" s="128" t="str">
        <f>VLOOKUP('Програма-кодове'!G21,Списък!$A$1:$B$209,2,FALSE)</f>
        <v>Габарова</v>
      </c>
      <c r="E127" s="165">
        <f>IFERROR(VLOOKUP(D127,Списък!$B$3:$I$77,7,0),"")</f>
        <v>206</v>
      </c>
      <c r="F127" s="128" t="str">
        <f>VLOOKUP('Програма-кодове'!H21,Списък!$A$1:$B$209,2,FALSE)</f>
        <v>Гинева</v>
      </c>
      <c r="G127" s="165">
        <f>IFERROR(VLOOKUP(F127,Списък!$B$3:$I$77,7,0),"")</f>
        <v>102</v>
      </c>
      <c r="H127" s="128" t="str">
        <f>VLOOKUP('Програма-кодове'!I21,Списък!$A$1:$B$209,2,FALSE)</f>
        <v>Трифонова</v>
      </c>
      <c r="I127" s="165">
        <f>IFERROR(VLOOKUP(H127,Списък!$B$3:$I$77,7,0),"")</f>
        <v>203</v>
      </c>
      <c r="J127" s="128" t="str">
        <f>VLOOKUP('Програма-кодове'!J21,Списък!$A$1:$B$209,2,FALSE)</f>
        <v>Сапунджиева</v>
      </c>
      <c r="K127" s="160">
        <f>IFERROR(VLOOKUP(J127,Списък!$B$3:$I$77,7,0),"")</f>
        <v>104</v>
      </c>
    </row>
    <row r="128" spans="1:11" ht="12" customHeight="1">
      <c r="A128" s="129">
        <v>7</v>
      </c>
      <c r="B128" s="21" t="str">
        <f>VLOOKUP('Програма-кодове'!F22,Списък!$A$1:$B$209,2,FALSE)</f>
        <v>Спасова</v>
      </c>
      <c r="C128" s="165">
        <f>IFERROR(VLOOKUP(B128,Списък!$B$3:$I$77,7,0),"")</f>
        <v>205</v>
      </c>
      <c r="D128" s="128" t="str">
        <f>VLOOKUP('Програма-кодове'!G22,Списък!$A$1:$B$209,2,FALSE)</f>
        <v>Вълчева</v>
      </c>
      <c r="E128" s="165">
        <f>IFERROR(VLOOKUP(D128,Списък!$B$3:$I$77,7,0),"")</f>
        <v>201</v>
      </c>
      <c r="F128" s="128" t="str">
        <f>VLOOKUP('Програма-кодове'!H22,Списък!$A$1:$B$209,2,FALSE)</f>
        <v>Гинева</v>
      </c>
      <c r="G128" s="165">
        <f>IFERROR(VLOOKUP(F128,Списък!$B$3:$I$77,7,0),"")</f>
        <v>102</v>
      </c>
      <c r="H128" s="128" t="str">
        <f>VLOOKUP('Програма-кодове'!I22,Списък!$A$1:$B$209,2,FALSE)</f>
        <v>Г. Тодорова</v>
      </c>
      <c r="I128" s="165">
        <f>IFERROR(VLOOKUP(H128,Списък!$B$3:$I$77,7,0),"")</f>
        <v>103</v>
      </c>
      <c r="J128" s="128" t="str">
        <f>VLOOKUP('Програма-кодове'!J22,Списък!$A$1:$B$209,2,FALSE)</f>
        <v>Сапунджиева</v>
      </c>
      <c r="K128" s="160">
        <f>IFERROR(VLOOKUP(J128,Списък!$B$3:$I$77,7,0),"")</f>
        <v>104</v>
      </c>
    </row>
    <row r="129" spans="1:11" ht="3" customHeight="1">
      <c r="A129" s="129"/>
      <c r="C129" s="165" t="str">
        <f>IFERROR(VLOOKUP(B129,Списък!$B$3:$I$77,7,0),"")</f>
        <v/>
      </c>
      <c r="D129" s="128"/>
      <c r="E129" s="165" t="str">
        <f>IFERROR(VLOOKUP(D129,Списък!$B$3:$I$77,7,0),"")</f>
        <v/>
      </c>
      <c r="F129" s="128"/>
      <c r="G129" s="165" t="str">
        <f>IFERROR(VLOOKUP(F129,Списък!$B$3:$I$77,7,0),"")</f>
        <v/>
      </c>
      <c r="H129" s="128"/>
      <c r="I129" s="165" t="str">
        <f>IFERROR(VLOOKUP(H129,Списък!$B$3:$I$77,7,0),"")</f>
        <v/>
      </c>
      <c r="J129" s="128"/>
      <c r="K129" s="160" t="str">
        <f>IFERROR(VLOOKUP(J129,Списък!$B$3:$I$77,7,0),"")</f>
        <v/>
      </c>
    </row>
    <row r="130" spans="1:11" s="13" customFormat="1" ht="12" customHeight="1">
      <c r="A130" s="145"/>
      <c r="B130" s="144" t="s">
        <v>5</v>
      </c>
      <c r="C130" s="164" t="str">
        <f>IFERROR(VLOOKUP(B130,Списък!$B$3:$I$77,7,0),"")</f>
        <v/>
      </c>
      <c r="D130" s="145" t="s">
        <v>6</v>
      </c>
      <c r="E130" s="164" t="str">
        <f>IFERROR(VLOOKUP(D130,Списък!$B$3:$I$77,7,0),"")</f>
        <v/>
      </c>
      <c r="F130" s="145" t="s">
        <v>7</v>
      </c>
      <c r="G130" s="164" t="str">
        <f>IFERROR(VLOOKUP(F130,Списък!$B$3:$I$77,7,0),"")</f>
        <v/>
      </c>
      <c r="H130" s="145" t="s">
        <v>8</v>
      </c>
      <c r="I130" s="164" t="str">
        <f>IFERROR(VLOOKUP(H130,Списък!$B$3:$I$77,7,0),"")</f>
        <v/>
      </c>
      <c r="J130" s="145" t="s">
        <v>9</v>
      </c>
      <c r="K130" s="161" t="str">
        <f>IFERROR(VLOOKUP(J130,Списък!$B$3:$I$77,7,0),"")</f>
        <v/>
      </c>
    </row>
    <row r="131" spans="1:11" ht="12" customHeight="1">
      <c r="A131" s="129">
        <v>1</v>
      </c>
      <c r="B131" s="12" t="str">
        <f>VLOOKUP('Програма-кодове'!K16,Списък!$A$1:$B$209,2,FALSE)</f>
        <v>Влашинска</v>
      </c>
      <c r="C131" s="165" t="str">
        <f>IFERROR(VLOOKUP(B131,Списък!$B$3:$I$77,7,0),"")</f>
        <v>212/214/215/217</v>
      </c>
      <c r="D131" s="128" t="str">
        <f>VLOOKUP('Програма-кодове'!L16,Списък!$A$1:$B$209,2,FALSE)</f>
        <v>Христонова/Янева</v>
      </c>
      <c r="E131" s="165" t="str">
        <f>IFERROR(VLOOKUP(D131,Списък!$B$3:$I$77,7,0),"")</f>
        <v>КК7/КК8</v>
      </c>
      <c r="F131" s="128" t="str">
        <f>VLOOKUP('Програма-кодове'!M16,Списък!$A$1:$B$209,2,FALSE)</f>
        <v>Филипова</v>
      </c>
      <c r="G131" s="165" t="str">
        <f>IFERROR(VLOOKUP(F131,Списък!$B$3:$I$77,7,0),"")</f>
        <v>109/110/301/302/306</v>
      </c>
      <c r="H131" s="128" t="str">
        <f>VLOOKUP('Програма-кодове'!N16,Списък!$A$1:$B$209,2,FALSE)</f>
        <v>Краева</v>
      </c>
      <c r="I131" s="165">
        <f>IFERROR(VLOOKUP(H131,Списък!$B$3:$I$77,7,0),"")</f>
        <v>306</v>
      </c>
      <c r="J131" s="128" t="str">
        <f>VLOOKUP('Програма-кодове'!O16,Списък!$A$1:$B$209,2,FALSE)</f>
        <v>Иванова</v>
      </c>
      <c r="K131" s="160" t="str">
        <f>IFERROR(VLOOKUP(J131,Списък!$B$3:$I$77,7,0),"")</f>
        <v>104/107/202/205/206/304</v>
      </c>
    </row>
    <row r="132" spans="1:11" ht="12" customHeight="1">
      <c r="A132" s="129">
        <v>2</v>
      </c>
      <c r="B132" s="12" t="str">
        <f>VLOOKUP('Програма-кодове'!K17,Списък!$A$1:$B$209,2,FALSE)</f>
        <v>Христонова/Янева</v>
      </c>
      <c r="C132" s="165" t="str">
        <f>IFERROR(VLOOKUP(B132,Списък!$B$3:$I$77,7,0),"")</f>
        <v>КК7/КК8</v>
      </c>
      <c r="D132" s="128" t="str">
        <f>VLOOKUP('Програма-кодове'!L17,Списък!$A$1:$B$209,2,FALSE)</f>
        <v>Никова</v>
      </c>
      <c r="E132" s="165">
        <f>IFERROR(VLOOKUP(D132,Списък!$B$3:$I$77,7,0),"")</f>
        <v>111</v>
      </c>
      <c r="F132" s="128" t="str">
        <f>VLOOKUP('Програма-кодове'!M17,Списък!$A$1:$B$209,2,FALSE)</f>
        <v>Влашинска</v>
      </c>
      <c r="G132" s="165" t="str">
        <f>IFERROR(VLOOKUP(F132,Списък!$B$3:$I$77,7,0),"")</f>
        <v>212/214/215/217</v>
      </c>
      <c r="H132" s="128" t="str">
        <f>VLOOKUP('Програма-кодове'!N17,Списък!$A$1:$B$209,2,FALSE)</f>
        <v>Иванова</v>
      </c>
      <c r="I132" s="165" t="str">
        <f>IFERROR(VLOOKUP(H132,Списък!$B$3:$I$77,7,0),"")</f>
        <v>104/107/202/205/206/304</v>
      </c>
      <c r="J132" s="128" t="str">
        <f>VLOOKUP('Програма-кодове'!O17,Списък!$A$1:$B$209,2,FALSE)</f>
        <v>Филипова</v>
      </c>
      <c r="K132" s="160" t="str">
        <f>IFERROR(VLOOKUP(J132,Списък!$B$3:$I$77,7,0),"")</f>
        <v>109/110/301/302/306</v>
      </c>
    </row>
    <row r="133" spans="1:11" ht="12" customHeight="1">
      <c r="A133" s="129">
        <v>3</v>
      </c>
      <c r="B133" s="12" t="str">
        <f>VLOOKUP('Програма-кодове'!K18,Списък!$A$1:$B$209,2,FALSE)</f>
        <v>Никова</v>
      </c>
      <c r="C133" s="165">
        <f>IFERROR(VLOOKUP(B133,Списък!$B$3:$I$77,7,0),"")</f>
        <v>111</v>
      </c>
      <c r="D133" s="128" t="str">
        <f>VLOOKUP('Програма-кодове'!L18,Списък!$A$1:$B$209,2,FALSE)</f>
        <v>Мерджанова</v>
      </c>
      <c r="E133" s="165">
        <f>IFERROR(VLOOKUP(D133,Списък!$B$3:$I$77,7,0),"")</f>
        <v>304</v>
      </c>
      <c r="F133" s="128" t="str">
        <f>VLOOKUP('Програма-кодове'!M18,Списък!$A$1:$B$209,2,FALSE)</f>
        <v>Иванова</v>
      </c>
      <c r="G133" s="165" t="str">
        <f>IFERROR(VLOOKUP(F133,Списък!$B$3:$I$77,7,0),"")</f>
        <v>104/107/202/205/206/304</v>
      </c>
      <c r="H133" s="128" t="str">
        <f>VLOOKUP('Програма-кодове'!N18,Списък!$A$1:$B$209,2,FALSE)</f>
        <v>Филипова</v>
      </c>
      <c r="I133" s="165" t="str">
        <f>IFERROR(VLOOKUP(H133,Списък!$B$3:$I$77,7,0),"")</f>
        <v>109/110/301/302/306</v>
      </c>
      <c r="J133" s="128" t="str">
        <f>VLOOKUP('Програма-кодове'!O18,Списък!$A$1:$B$209,2,FALSE)</f>
        <v>Влашинска</v>
      </c>
      <c r="K133" s="160" t="str">
        <f>IFERROR(VLOOKUP(J133,Списък!$B$3:$I$77,7,0),"")</f>
        <v>212/214/215/217</v>
      </c>
    </row>
    <row r="134" spans="1:11" ht="12" customHeight="1">
      <c r="A134" s="129">
        <v>4</v>
      </c>
      <c r="B134" s="12" t="str">
        <f>VLOOKUP('Програма-кодове'!K19,Списък!$A$1:$B$209,2,FALSE)</f>
        <v>Тонева</v>
      </c>
      <c r="C134" s="165" t="str">
        <f>IFERROR(VLOOKUP(B134,Списък!$B$3:$I$77,7,0),"")</f>
        <v>ФС</v>
      </c>
      <c r="D134" s="128" t="str">
        <f>VLOOKUP('Програма-кодове'!L19,Списък!$A$1:$B$209,2,FALSE)</f>
        <v>Иванова</v>
      </c>
      <c r="E134" s="165" t="str">
        <f>IFERROR(VLOOKUP(D134,Списък!$B$3:$I$77,7,0),"")</f>
        <v>104/107/202/205/206/304</v>
      </c>
      <c r="F134" s="128" t="str">
        <f>VLOOKUP('Програма-кодове'!M19,Списък!$A$1:$B$209,2,FALSE)</f>
        <v>Никова</v>
      </c>
      <c r="G134" s="165">
        <f>IFERROR(VLOOKUP(F134,Списък!$B$3:$I$77,7,0),"")</f>
        <v>111</v>
      </c>
      <c r="H134" s="128" t="str">
        <f>VLOOKUP('Програма-кодове'!N19,Списък!$A$1:$B$209,2,FALSE)</f>
        <v>Латева</v>
      </c>
      <c r="I134" s="165">
        <f>IFERROR(VLOOKUP(H134,Списък!$B$3:$I$77,7,0),"")</f>
        <v>110</v>
      </c>
      <c r="J134" s="128" t="str">
        <f>VLOOKUP('Програма-кодове'!O19,Списък!$A$1:$B$209,2,FALSE)</f>
        <v>Кръстева</v>
      </c>
      <c r="K134" s="160">
        <f>IFERROR(VLOOKUP(J134,Списък!$B$3:$I$77,7,0),"")</f>
        <v>302</v>
      </c>
    </row>
    <row r="135" spans="1:11" ht="12" customHeight="1">
      <c r="A135" s="129">
        <v>5</v>
      </c>
      <c r="B135" s="12" t="str">
        <f>VLOOKUP('Програма-кодове'!K20,Списък!$A$1:$B$209,2,FALSE)</f>
        <v>Минчева</v>
      </c>
      <c r="C135" s="165" t="str">
        <f>IFERROR(VLOOKUP(B135,Списък!$B$3:$I$77,7,0),"")</f>
        <v>212/214/215/217</v>
      </c>
      <c r="D135" s="128" t="str">
        <f>VLOOKUP('Програма-кодове'!L20,Списък!$A$1:$B$209,2,FALSE)</f>
        <v>Иванова</v>
      </c>
      <c r="E135" s="165" t="str">
        <f>IFERROR(VLOOKUP(D135,Списък!$B$3:$I$77,7,0),"")</f>
        <v>104/107/202/205/206/304</v>
      </c>
      <c r="F135" s="128" t="str">
        <f>VLOOKUP('Програма-кодове'!M20,Списък!$A$1:$B$209,2,FALSE)</f>
        <v>Мерджанова</v>
      </c>
      <c r="G135" s="165">
        <f>IFERROR(VLOOKUP(F135,Списък!$B$3:$I$77,7,0),"")</f>
        <v>304</v>
      </c>
      <c r="H135" s="128" t="str">
        <f>VLOOKUP('Програма-кодове'!N20,Списък!$A$1:$B$209,2,FALSE)</f>
        <v>Козалиева</v>
      </c>
      <c r="I135" s="165" t="str">
        <f>IFERROR(VLOOKUP(H135,Списък!$B$3:$I$77,7,0),"")</f>
        <v>212/214/215/217</v>
      </c>
      <c r="J135" s="128" t="str">
        <f>VLOOKUP('Програма-кодове'!O20,Списък!$A$1:$B$209,2,FALSE)</f>
        <v>Пецова</v>
      </c>
      <c r="K135" s="160" t="str">
        <f>IFERROR(VLOOKUP(J135,Списък!$B$3:$I$77,7,0),"")</f>
        <v>102/105/111/112</v>
      </c>
    </row>
    <row r="136" spans="1:11" ht="12" customHeight="1">
      <c r="A136" s="129">
        <v>6</v>
      </c>
      <c r="B136" s="12" t="str">
        <f>VLOOKUP('Програма-кодове'!K21,Списък!$A$1:$B$209,2,FALSE)</f>
        <v>Краева</v>
      </c>
      <c r="C136" s="165">
        <f>IFERROR(VLOOKUP(B136,Списък!$B$3:$I$77,7,0),"")</f>
        <v>306</v>
      </c>
      <c r="D136" s="128" t="str">
        <f>VLOOKUP('Програма-кодове'!L21,Списък!$A$1:$B$209,2,FALSE)</f>
        <v>Влашинска</v>
      </c>
      <c r="E136" s="165" t="str">
        <f>IFERROR(VLOOKUP(D136,Списък!$B$3:$I$77,7,0),"")</f>
        <v>212/214/215/217</v>
      </c>
      <c r="F136" s="128" t="str">
        <f>VLOOKUP('Програма-кодове'!M21,Списък!$A$1:$B$209,2,FALSE)</f>
        <v>Мерджанова</v>
      </c>
      <c r="G136" s="165">
        <f>IFERROR(VLOOKUP(F136,Списък!$B$3:$I$77,7,0),"")</f>
        <v>304</v>
      </c>
      <c r="H136" s="128" t="str">
        <f>VLOOKUP('Програма-кодове'!N21,Списък!$A$1:$B$209,2,FALSE)</f>
        <v>Пецова</v>
      </c>
      <c r="I136" s="165" t="str">
        <f>IFERROR(VLOOKUP(H136,Списък!$B$3:$I$77,7,0),"")</f>
        <v>102/105/111/112</v>
      </c>
      <c r="J136" s="128" t="str">
        <f>VLOOKUP('Програма-кодове'!O21,Списък!$A$1:$B$209,2,FALSE)</f>
        <v>Латева</v>
      </c>
      <c r="K136" s="160">
        <f>IFERROR(VLOOKUP(J136,Списък!$B$3:$I$77,7,0),"")</f>
        <v>110</v>
      </c>
    </row>
    <row r="137" spans="1:11" ht="12" customHeight="1">
      <c r="A137" s="129">
        <v>7</v>
      </c>
      <c r="B137" s="12" t="str">
        <f>VLOOKUP('Програма-кодове'!K22,Списък!$A$1:$B$209,2,FALSE)</f>
        <v>Гюлева</v>
      </c>
      <c r="C137" s="165">
        <f>IFERROR(VLOOKUP(B137,Списък!$B$3:$I$77,7,0),"")</f>
        <v>204</v>
      </c>
      <c r="D137" s="128" t="str">
        <f>VLOOKUP('Програма-кодове'!L22,Списък!$A$1:$B$209,2,FALSE)</f>
        <v>Мерджанова</v>
      </c>
      <c r="E137" s="165">
        <f>IFERROR(VLOOKUP(D137,Списък!$B$3:$I$77,7,0),"")</f>
        <v>304</v>
      </c>
      <c r="F137" s="128" t="str">
        <f>VLOOKUP('Програма-кодове'!M22,Списък!$A$1:$B$209,2,FALSE)</f>
        <v>Влашинска</v>
      </c>
      <c r="G137" s="165" t="str">
        <f>IFERROR(VLOOKUP(F137,Списък!$B$3:$I$77,7,0),"")</f>
        <v>212/214/215/217</v>
      </c>
      <c r="H137" s="128" t="str">
        <f>VLOOKUP('Програма-кодове'!N22,Списък!$A$1:$B$209,2,FALSE)</f>
        <v>Краева</v>
      </c>
      <c r="I137" s="165">
        <f>IFERROR(VLOOKUP(H137,Списък!$B$3:$I$77,7,0),"")</f>
        <v>306</v>
      </c>
      <c r="J137" s="128" t="str">
        <f>VLOOKUP('Програма-кодове'!O22,Списък!$A$1:$B$209,2,FALSE)</f>
        <v>Иванова</v>
      </c>
      <c r="K137" s="160" t="str">
        <f>IFERROR(VLOOKUP(J137,Списък!$B$3:$I$77,7,0),"")</f>
        <v>104/107/202/205/206/304</v>
      </c>
    </row>
    <row r="138" spans="1:11" ht="3" customHeight="1">
      <c r="A138" s="141"/>
      <c r="C138" s="165" t="str">
        <f>IFERROR(VLOOKUP(B138,Списък!$B$3:$I$77,7,0),"")</f>
        <v/>
      </c>
      <c r="D138" s="128"/>
      <c r="E138" s="165" t="str">
        <f>IFERROR(VLOOKUP(D138,Списък!$B$3:$I$77,7,0),"")</f>
        <v/>
      </c>
      <c r="F138" s="128"/>
      <c r="G138" s="165" t="str">
        <f>IFERROR(VLOOKUP(F138,Списък!$B$3:$I$77,7,0),"")</f>
        <v/>
      </c>
      <c r="H138" s="128"/>
      <c r="I138" s="165" t="str">
        <f>IFERROR(VLOOKUP(H138,Списък!$B$3:$I$77,7,0),"")</f>
        <v/>
      </c>
      <c r="J138" s="128"/>
      <c r="K138" s="160" t="str">
        <f>IFERROR(VLOOKUP(J138,Списък!$B$3:$I$77,7,0),"")</f>
        <v/>
      </c>
    </row>
    <row r="139" spans="1:11" s="13" customFormat="1" ht="12" customHeight="1">
      <c r="A139" s="145"/>
      <c r="B139" s="144" t="s">
        <v>10</v>
      </c>
      <c r="C139" s="164" t="str">
        <f>IFERROR(VLOOKUP(B139,Списък!$B$3:$I$77,7,0),"")</f>
        <v/>
      </c>
      <c r="D139" s="145" t="s">
        <v>11</v>
      </c>
      <c r="E139" s="164" t="str">
        <f>IFERROR(VLOOKUP(D139,Списък!$B$3:$I$77,7,0),"")</f>
        <v/>
      </c>
      <c r="F139" s="145" t="s">
        <v>12</v>
      </c>
      <c r="G139" s="164" t="str">
        <f>IFERROR(VLOOKUP(F139,Списък!$B$3:$I$77,7,0),"")</f>
        <v/>
      </c>
      <c r="H139" s="145" t="s">
        <v>13</v>
      </c>
      <c r="I139" s="164" t="str">
        <f>IFERROR(VLOOKUP(H139,Списък!$B$3:$I$77,7,0),"")</f>
        <v/>
      </c>
      <c r="J139" s="145" t="s">
        <v>14</v>
      </c>
      <c r="K139" s="161" t="str">
        <f>IFERROR(VLOOKUP(J139,Списък!$B$3:$I$77,7,0),"")</f>
        <v/>
      </c>
    </row>
    <row r="140" spans="1:11" ht="12" customHeight="1">
      <c r="A140" s="129">
        <v>1</v>
      </c>
      <c r="B140" s="12" t="str">
        <f>VLOOKUP('Програма-кодове'!P16,Списък!$A$1:$B$209,2,FALSE)</f>
        <v>Коларова</v>
      </c>
      <c r="C140" s="165" t="str">
        <f>IFERROR(VLOOKUP(B140,Списък!$B$3:$I$77,7,0),"")</f>
        <v>212/214/215/217</v>
      </c>
      <c r="D140" s="128" t="str">
        <f>VLOOKUP('Програма-кодове'!Q16,Списък!$A$1:$B$209,2,FALSE)</f>
        <v>Габарова</v>
      </c>
      <c r="E140" s="165">
        <f>IFERROR(VLOOKUP(D140,Списък!$B$3:$I$77,7,0),"")</f>
        <v>206</v>
      </c>
      <c r="F140" s="128" t="str">
        <f>VLOOKUP('Програма-кодове'!R16,Списък!$A$1:$B$209,2,FALSE)</f>
        <v>Киркова/К. Петрова</v>
      </c>
      <c r="G140" s="165" t="str">
        <f>IFERROR(VLOOKUP(F140,Списък!$B$3:$I$77,7,0),"")</f>
        <v>КК7/КК1</v>
      </c>
      <c r="H140" s="128" t="str">
        <f>VLOOKUP('Програма-кодове'!S16,Списък!$A$1:$B$209,2,FALSE)</f>
        <v>Костова</v>
      </c>
      <c r="I140" s="165" t="str">
        <f>IFERROR(VLOOKUP(H140,Списък!$B$3:$I$77,7,0),"")</f>
        <v>212/214/215/217</v>
      </c>
      <c r="J140" s="128" t="str">
        <f>VLOOKUP('Програма-кодове'!T16,Списък!$A$1:$B$209,2,FALSE)</f>
        <v>Никова</v>
      </c>
      <c r="K140" s="160">
        <f>IFERROR(VLOOKUP(J140,Списък!$B$3:$I$77,7,0),"")</f>
        <v>111</v>
      </c>
    </row>
    <row r="141" spans="1:11" ht="12" customHeight="1">
      <c r="A141" s="129">
        <v>2</v>
      </c>
      <c r="B141" s="12" t="str">
        <f>VLOOKUP('Програма-кодове'!P17,Списък!$A$1:$B$209,2,FALSE)</f>
        <v>Киров</v>
      </c>
      <c r="C141" s="165" t="str">
        <f>IFERROR(VLOOKUP(B141,Списък!$B$3:$I$77,7,0),"")</f>
        <v>109/110/111/114/102/302</v>
      </c>
      <c r="D141" s="128" t="str">
        <f>VLOOKUP('Програма-кодове'!Q17,Списък!$A$1:$B$209,2,FALSE)</f>
        <v>Славова</v>
      </c>
      <c r="E141" s="165">
        <f>IFERROR(VLOOKUP(D141,Списък!$B$3:$I$77,7,0),"")</f>
        <v>114</v>
      </c>
      <c r="F141" s="128" t="str">
        <f>VLOOKUP('Програма-кодове'!R17,Списък!$A$1:$B$209,2,FALSE)</f>
        <v>Кръстева</v>
      </c>
      <c r="G141" s="165">
        <f>IFERROR(VLOOKUP(F141,Списък!$B$3:$I$77,7,0),"")</f>
        <v>302</v>
      </c>
      <c r="H141" s="128" t="str">
        <f>VLOOKUP('Програма-кодове'!S17,Списък!$A$1:$B$209,2,FALSE)</f>
        <v>Киркова/К. Петрова</v>
      </c>
      <c r="I141" s="165" t="str">
        <f>IFERROR(VLOOKUP(H141,Списък!$B$3:$I$77,7,0),"")</f>
        <v>КК7/КК1</v>
      </c>
      <c r="J141" s="128" t="str">
        <f>VLOOKUP('Програма-кодове'!T17,Списък!$A$1:$B$209,2,FALSE)</f>
        <v>Костова</v>
      </c>
      <c r="K141" s="160" t="str">
        <f>IFERROR(VLOOKUP(J141,Списък!$B$3:$I$77,7,0),"")</f>
        <v>212/214/215/217</v>
      </c>
    </row>
    <row r="142" spans="1:11" ht="12" customHeight="1">
      <c r="A142" s="129">
        <v>3</v>
      </c>
      <c r="B142" s="12" t="str">
        <f>VLOOKUP('Програма-кодове'!P18,Списък!$A$1:$B$209,2,FALSE)</f>
        <v>Клисарова</v>
      </c>
      <c r="C142" s="165">
        <f>IFERROR(VLOOKUP(B142,Списък!$B$3:$I$77,7,0),"")</f>
        <v>305</v>
      </c>
      <c r="D142" s="128" t="str">
        <f>VLOOKUP('Програма-кодове'!Q18,Списък!$A$1:$B$209,2,FALSE)</f>
        <v>Киркова/К. Петрова</v>
      </c>
      <c r="E142" s="165" t="str">
        <f>IFERROR(VLOOKUP(D142,Списък!$B$3:$I$77,7,0),"")</f>
        <v>КК7/КК1</v>
      </c>
      <c r="F142" s="128" t="str">
        <f>VLOOKUP('Програма-кодове'!R18,Списък!$A$1:$B$209,2,FALSE)</f>
        <v>Славова</v>
      </c>
      <c r="G142" s="165">
        <f>IFERROR(VLOOKUP(F142,Списък!$B$3:$I$77,7,0),"")</f>
        <v>114</v>
      </c>
      <c r="H142" s="128" t="str">
        <f>VLOOKUP('Програма-кодове'!S18,Списък!$A$1:$B$209,2,FALSE)</f>
        <v>Кръстева</v>
      </c>
      <c r="I142" s="165">
        <f>IFERROR(VLOOKUP(H142,Списък!$B$3:$I$77,7,0),"")</f>
        <v>302</v>
      </c>
      <c r="J142" s="128" t="str">
        <f>VLOOKUP('Програма-кодове'!T18,Списък!$A$1:$B$209,2,FALSE)</f>
        <v>Данева</v>
      </c>
      <c r="K142" s="160">
        <f>IFERROR(VLOOKUP(J142,Списък!$B$3:$I$77,7,0),"")</f>
        <v>101</v>
      </c>
    </row>
    <row r="143" spans="1:11" ht="12" customHeight="1">
      <c r="A143" s="129">
        <v>4</v>
      </c>
      <c r="B143" s="12" t="str">
        <f>VLOOKUP('Програма-кодове'!P19,Списък!$A$1:$B$209,2,FALSE)</f>
        <v>Киркова/К. Петрова</v>
      </c>
      <c r="C143" s="165" t="str">
        <f>IFERROR(VLOOKUP(B143,Списък!$B$3:$I$77,7,0),"")</f>
        <v>КК7/КК1</v>
      </c>
      <c r="D143" s="128" t="str">
        <f>VLOOKUP('Програма-кодове'!Q19,Списък!$A$1:$B$209,2,FALSE)</f>
        <v>Влашинска</v>
      </c>
      <c r="E143" s="165" t="str">
        <f>IFERROR(VLOOKUP(D143,Списък!$B$3:$I$77,7,0),"")</f>
        <v>212/214/215/217</v>
      </c>
      <c r="F143" s="128" t="str">
        <f>VLOOKUP('Програма-кодове'!R19,Списък!$A$1:$B$209,2,FALSE)</f>
        <v>Петров ФВС</v>
      </c>
      <c r="G143" s="165" t="str">
        <f>IFERROR(VLOOKUP(F143,Списък!$B$3:$I$77,7,0),"")</f>
        <v>ФС</v>
      </c>
      <c r="H143" s="128" t="str">
        <f>VLOOKUP('Програма-кодове'!S19,Списък!$A$1:$B$209,2,FALSE)</f>
        <v>Паронова</v>
      </c>
      <c r="I143" s="165" t="str">
        <f>IFERROR(VLOOKUP(H143,Списък!$B$3:$I$77,7,0),"")</f>
        <v>212/214/215/217</v>
      </c>
      <c r="J143" s="128" t="str">
        <f>VLOOKUP('Програма-кодове'!T19,Списък!$A$1:$B$209,2,FALSE)</f>
        <v>Данева</v>
      </c>
      <c r="K143" s="160">
        <f>IFERROR(VLOOKUP(J143,Списък!$B$3:$I$77,7,0),"")</f>
        <v>101</v>
      </c>
    </row>
    <row r="144" spans="1:11" ht="12" customHeight="1">
      <c r="A144" s="129">
        <v>5</v>
      </c>
      <c r="B144" s="12" t="str">
        <f>VLOOKUP('Програма-кодове'!P20,Списък!$A$1:$B$209,2,FALSE)</f>
        <v>В. Иванова</v>
      </c>
      <c r="C144" s="165">
        <f>IFERROR(VLOOKUP(B144,Списък!$B$3:$I$77,7,0),"")</f>
        <v>109</v>
      </c>
      <c r="D144" s="128" t="str">
        <f>VLOOKUP('Програма-кодове'!Q20,Списък!$A$1:$B$209,2,FALSE)</f>
        <v>Кръстева</v>
      </c>
      <c r="E144" s="165">
        <f>IFERROR(VLOOKUP(D144,Списък!$B$3:$I$77,7,0),"")</f>
        <v>302</v>
      </c>
      <c r="F144" s="128" t="str">
        <f>VLOOKUP('Програма-кодове'!R20,Списък!$A$1:$B$209,2,FALSE)</f>
        <v>Вълчева</v>
      </c>
      <c r="G144" s="165">
        <f>IFERROR(VLOOKUP(F144,Списък!$B$3:$I$77,7,0),"")</f>
        <v>201</v>
      </c>
      <c r="H144" s="128" t="str">
        <f>VLOOKUP('Програма-кодове'!S20,Списък!$A$1:$B$209,2,FALSE)</f>
        <v>Никова</v>
      </c>
      <c r="I144" s="165">
        <f>IFERROR(VLOOKUP(H144,Списък!$B$3:$I$77,7,0),"")</f>
        <v>111</v>
      </c>
      <c r="J144" s="128" t="str">
        <f>VLOOKUP('Програма-кодове'!T20,Списък!$A$1:$B$209,2,FALSE)</f>
        <v>Киркова/К. Петрова</v>
      </c>
      <c r="K144" s="160" t="str">
        <f>IFERROR(VLOOKUP(J144,Списък!$B$3:$I$77,7,0),"")</f>
        <v>КК7/КК1</v>
      </c>
    </row>
    <row r="145" spans="1:11" ht="12" customHeight="1">
      <c r="A145" s="129">
        <v>6</v>
      </c>
      <c r="B145" s="12" t="str">
        <f>VLOOKUP('Програма-кодове'!P21,Списък!$A$1:$B$209,2,FALSE)</f>
        <v>Данева</v>
      </c>
      <c r="C145" s="165">
        <f>IFERROR(VLOOKUP(B145,Списък!$B$3:$I$77,7,0),"")</f>
        <v>101</v>
      </c>
      <c r="D145" s="128" t="str">
        <f>VLOOKUP('Програма-кодове'!Q21,Списък!$A$1:$B$209,2,FALSE)</f>
        <v>Кръстева</v>
      </c>
      <c r="E145" s="165">
        <f>IFERROR(VLOOKUP(D145,Списък!$B$3:$I$77,7,0),"")</f>
        <v>302</v>
      </c>
      <c r="F145" s="128" t="str">
        <f>VLOOKUP('Програма-кодове'!R21,Списък!$A$1:$B$209,2,FALSE)</f>
        <v>Вълчева</v>
      </c>
      <c r="G145" s="165">
        <f>IFERROR(VLOOKUP(F145,Списък!$B$3:$I$77,7,0),"")</f>
        <v>201</v>
      </c>
      <c r="H145" s="128" t="str">
        <f>VLOOKUP('Програма-кодове'!S21,Списък!$A$1:$B$209,2,FALSE)</f>
        <v>В. Иванова</v>
      </c>
      <c r="I145" s="165">
        <f>IFERROR(VLOOKUP(H145,Списък!$B$3:$I$77,7,0),"")</f>
        <v>109</v>
      </c>
      <c r="J145" s="128" t="str">
        <f>VLOOKUP('Програма-кодове'!T21,Списък!$A$1:$B$209,2,FALSE)</f>
        <v>Паронова</v>
      </c>
      <c r="K145" s="160" t="str">
        <f>IFERROR(VLOOKUP(J145,Списък!$B$3:$I$77,7,0),"")</f>
        <v>212/214/215/217</v>
      </c>
    </row>
    <row r="146" spans="1:11" ht="12" customHeight="1">
      <c r="A146" s="129">
        <v>7</v>
      </c>
      <c r="B146" s="12" t="str">
        <f>VLOOKUP('Програма-кодове'!P22,Списък!$A$1:$B$209,2,FALSE)</f>
        <v>Киров</v>
      </c>
      <c r="C146" s="165" t="str">
        <f>IFERROR(VLOOKUP(B146,Списък!$B$3:$I$77,7,0),"")</f>
        <v>109/110/111/114/102/302</v>
      </c>
      <c r="D146" s="128" t="str">
        <f>VLOOKUP('Програма-кодове'!Q22,Списък!$A$1:$B$209,2,FALSE)</f>
        <v>Кръстева</v>
      </c>
      <c r="E146" s="165">
        <f>IFERROR(VLOOKUP(D146,Списък!$B$3:$I$77,7,0),"")</f>
        <v>302</v>
      </c>
      <c r="F146" s="128" t="str">
        <f>VLOOKUP('Програма-кодове'!R22,Списък!$A$1:$B$209,2,FALSE)</f>
        <v>Данева</v>
      </c>
      <c r="G146" s="165">
        <f>IFERROR(VLOOKUP(F146,Списък!$B$3:$I$77,7,0),"")</f>
        <v>101</v>
      </c>
      <c r="H146" s="128" t="str">
        <f>VLOOKUP('Програма-кодове'!S22,Списък!$A$1:$B$209,2,FALSE)</f>
        <v>Паронова</v>
      </c>
      <c r="I146" s="165" t="str">
        <f>IFERROR(VLOOKUP(H146,Списък!$B$3:$I$77,7,0),"")</f>
        <v>212/214/215/217</v>
      </c>
      <c r="J146" s="128" t="str">
        <f>VLOOKUP('Програма-кодове'!T22,Списък!$A$1:$B$209,2,FALSE)</f>
        <v>Костова</v>
      </c>
      <c r="K146" s="160" t="str">
        <f>IFERROR(VLOOKUP(J146,Списък!$B$3:$I$77,7,0),"")</f>
        <v>212/214/215/217</v>
      </c>
    </row>
    <row r="147" spans="1:11" ht="3" customHeight="1">
      <c r="A147" s="141"/>
      <c r="C147" s="165" t="str">
        <f>IFERROR(VLOOKUP(B147,Списък!$B$3:$I$77,7,0),"")</f>
        <v/>
      </c>
      <c r="D147" s="128"/>
      <c r="E147" s="165" t="str">
        <f>IFERROR(VLOOKUP(D147,Списък!$B$3:$I$77,7,0),"")</f>
        <v/>
      </c>
      <c r="F147" s="128"/>
      <c r="G147" s="165" t="str">
        <f>IFERROR(VLOOKUP(F147,Списък!$B$3:$I$77,7,0),"")</f>
        <v/>
      </c>
      <c r="H147" s="128"/>
      <c r="I147" s="165" t="str">
        <f>IFERROR(VLOOKUP(H147,Списък!$B$3:$I$77,7,0),"")</f>
        <v/>
      </c>
      <c r="J147" s="128"/>
      <c r="K147" s="160" t="str">
        <f>IFERROR(VLOOKUP(J147,Списък!$B$3:$I$77,7,0),"")</f>
        <v/>
      </c>
    </row>
    <row r="148" spans="1:11" s="13" customFormat="1" ht="12" customHeight="1">
      <c r="A148" s="145"/>
      <c r="B148" s="144" t="s">
        <v>15</v>
      </c>
      <c r="C148" s="164" t="str">
        <f>IFERROR(VLOOKUP(B148,Списък!$B$3:$I$77,7,0),"")</f>
        <v/>
      </c>
      <c r="D148" s="145" t="s">
        <v>16</v>
      </c>
      <c r="E148" s="164" t="str">
        <f>IFERROR(VLOOKUP(D148,Списък!$B$3:$I$77,7,0),"")</f>
        <v/>
      </c>
      <c r="F148" s="145" t="s">
        <v>17</v>
      </c>
      <c r="G148" s="164" t="str">
        <f>IFERROR(VLOOKUP(F148,Списък!$B$3:$I$77,7,0),"")</f>
        <v/>
      </c>
      <c r="H148" s="145" t="s">
        <v>46</v>
      </c>
      <c r="I148" s="164" t="str">
        <f>IFERROR(VLOOKUP(H148,Списък!$B$3:$I$77,7,0),"")</f>
        <v/>
      </c>
      <c r="J148" s="145" t="s">
        <v>18</v>
      </c>
      <c r="K148" s="161" t="str">
        <f>IFERROR(VLOOKUP(J148,Списък!$B$3:$I$77,7,0),"")</f>
        <v/>
      </c>
    </row>
    <row r="149" spans="1:11" ht="12" customHeight="1">
      <c r="A149" s="129">
        <v>1</v>
      </c>
      <c r="B149" s="12" t="str">
        <f>VLOOKUP('Програма-кодове'!U16,Списък!$A$1:$B$209,2,FALSE)</f>
        <v>Данева</v>
      </c>
      <c r="C149" s="165">
        <f>IFERROR(VLOOKUP(B149,Списък!$B$3:$I$77,7,0),"")</f>
        <v>101</v>
      </c>
      <c r="D149" s="128" t="str">
        <f>VLOOKUP('Програма-кодове'!V16,Списък!$A$1:$B$209,2,FALSE)</f>
        <v>Киров</v>
      </c>
      <c r="E149" s="165" t="str">
        <f>IFERROR(VLOOKUP(D149,Списък!$B$3:$I$77,7,0),"")</f>
        <v>109/110/111/114/102/302</v>
      </c>
      <c r="F149" s="128" t="str">
        <f>VLOOKUP('Програма-кодове'!W16,Списък!$A$1:$B$209,2,FALSE)</f>
        <v>Конгалов</v>
      </c>
      <c r="G149" s="165" t="str">
        <f>IFERROR(VLOOKUP(F149,Списък!$B$3:$I$77,7,0),"")</f>
        <v>ФС</v>
      </c>
      <c r="H149" s="128" t="str">
        <f>VLOOKUP('Програма-кодове'!X16,Списък!$A$1:$B$209,2,FALSE)</f>
        <v>Даскалова</v>
      </c>
      <c r="I149" s="165" t="str">
        <f>IFERROR(VLOOKUP(H149,Списък!$B$3:$I$77,7,0),"")</f>
        <v>107/108</v>
      </c>
      <c r="J149" s="128" t="str">
        <f>VLOOKUP('Програма-кодове'!Y16,Списък!$A$1:$B$209,2,FALSE)</f>
        <v>Минчева</v>
      </c>
      <c r="K149" s="160" t="str">
        <f>IFERROR(VLOOKUP(J149,Списък!$B$3:$I$77,7,0),"")</f>
        <v>212/214/215/217</v>
      </c>
    </row>
    <row r="150" spans="1:11" ht="12" customHeight="1">
      <c r="A150" s="129">
        <v>2</v>
      </c>
      <c r="B150" s="12" t="str">
        <f>VLOOKUP('Програма-кодове'!U17,Списък!$A$1:$B$209,2,FALSE)</f>
        <v>Данева</v>
      </c>
      <c r="C150" s="165">
        <f>IFERROR(VLOOKUP(B150,Списък!$B$3:$I$77,7,0),"")</f>
        <v>101</v>
      </c>
      <c r="D150" s="128" t="str">
        <f>VLOOKUP('Програма-кодове'!V17,Списък!$A$1:$B$209,2,FALSE)</f>
        <v>Конгалов</v>
      </c>
      <c r="E150" s="165" t="str">
        <f>IFERROR(VLOOKUP(D150,Списък!$B$3:$I$77,7,0),"")</f>
        <v>ФС</v>
      </c>
      <c r="F150" s="128" t="str">
        <f>VLOOKUP('Програма-кодове'!W17,Списък!$A$1:$B$209,2,FALSE)</f>
        <v>Гочева</v>
      </c>
      <c r="G150" s="165">
        <f>IFERROR(VLOOKUP(F150,Списък!$B$3:$I$77,7,0),"")</f>
        <v>301</v>
      </c>
      <c r="H150" s="128" t="str">
        <f>VLOOKUP('Програма-кодове'!X17,Списък!$A$1:$B$209,2,FALSE)</f>
        <v>Даскалова</v>
      </c>
      <c r="I150" s="165" t="str">
        <f>IFERROR(VLOOKUP(H150,Списък!$B$3:$I$77,7,0),"")</f>
        <v>107/108</v>
      </c>
      <c r="J150" s="128" t="str">
        <f>VLOOKUP('Програма-кодове'!Y17,Списък!$A$1:$B$209,2,FALSE)</f>
        <v>Минчева</v>
      </c>
      <c r="K150" s="160" t="str">
        <f>IFERROR(VLOOKUP(J150,Списък!$B$3:$I$77,7,0),"")</f>
        <v>212/214/215/217</v>
      </c>
    </row>
    <row r="151" spans="1:11" ht="12" customHeight="1">
      <c r="A151" s="129">
        <v>3</v>
      </c>
      <c r="B151" s="12" t="str">
        <f>VLOOKUP('Програма-кодове'!U18,Списък!$A$1:$B$209,2,FALSE)</f>
        <v>Батимов</v>
      </c>
      <c r="C151" s="165">
        <f>IFERROR(VLOOKUP(B151,Списък!$B$3:$I$77,7,0),"")</f>
        <v>303</v>
      </c>
      <c r="D151" s="128" t="str">
        <f>VLOOKUP('Програма-кодове'!V18,Списък!$A$1:$B$209,2,FALSE)</f>
        <v>Христонова/Цветков</v>
      </c>
      <c r="E151" s="165" t="str">
        <f>IFERROR(VLOOKUP(D151,Списък!$B$3:$I$77,7,0),"")</f>
        <v>КК4/КК6</v>
      </c>
      <c r="F151" s="128" t="str">
        <f>VLOOKUP('Програма-кодове'!W18,Списък!$A$1:$B$209,2,FALSE)</f>
        <v>Гочева</v>
      </c>
      <c r="G151" s="165">
        <f>IFERROR(VLOOKUP(F151,Списък!$B$3:$I$77,7,0),"")</f>
        <v>301</v>
      </c>
      <c r="H151" s="128" t="str">
        <f>VLOOKUP('Програма-кодове'!X18,Списък!$A$1:$B$209,2,FALSE)</f>
        <v>Конгалов</v>
      </c>
      <c r="I151" s="165" t="str">
        <f>IFERROR(VLOOKUP(H151,Списък!$B$3:$I$77,7,0),"")</f>
        <v>ФС</v>
      </c>
      <c r="J151" s="128" t="str">
        <f>VLOOKUP('Програма-кодове'!Y18,Списък!$A$1:$B$209,2,FALSE)</f>
        <v>Киров</v>
      </c>
      <c r="K151" s="160" t="str">
        <f>IFERROR(VLOOKUP(J151,Списък!$B$3:$I$77,7,0),"")</f>
        <v>109/110/111/114/102/302</v>
      </c>
    </row>
    <row r="152" spans="1:11" ht="12" customHeight="1">
      <c r="A152" s="129">
        <v>4</v>
      </c>
      <c r="B152" s="12" t="str">
        <f>VLOOKUP('Програма-кодове'!U19,Списък!$A$1:$B$209,2,FALSE)</f>
        <v>Христонова/Цветков</v>
      </c>
      <c r="C152" s="165" t="str">
        <f>IFERROR(VLOOKUP(B152,Списък!$B$3:$I$77,7,0),"")</f>
        <v>КК4/КК6</v>
      </c>
      <c r="D152" s="128" t="str">
        <f>VLOOKUP('Програма-кодове'!V19,Списък!$A$1:$B$209,2,FALSE)</f>
        <v>Гочева</v>
      </c>
      <c r="E152" s="165">
        <f>IFERROR(VLOOKUP(D152,Списък!$B$3:$I$77,7,0),"")</f>
        <v>301</v>
      </c>
      <c r="F152" s="128" t="str">
        <f>VLOOKUP('Програма-кодове'!W19,Списък!$A$1:$B$209,2,FALSE)</f>
        <v>Славова</v>
      </c>
      <c r="G152" s="165">
        <f>IFERROR(VLOOKUP(F152,Списък!$B$3:$I$77,7,0),"")</f>
        <v>114</v>
      </c>
      <c r="H152" s="128" t="str">
        <f>VLOOKUP('Програма-кодове'!X19,Списък!$A$1:$B$209,2,FALSE)</f>
        <v>Костова</v>
      </c>
      <c r="I152" s="165" t="str">
        <f>IFERROR(VLOOKUP(H152,Списък!$B$3:$I$77,7,0),"")</f>
        <v>212/214/215/217</v>
      </c>
      <c r="J152" s="128" t="str">
        <f>VLOOKUP('Програма-кодове'!Y19,Списък!$A$1:$B$209,2,FALSE)</f>
        <v>Козалиева</v>
      </c>
      <c r="K152" s="160" t="str">
        <f>IFERROR(VLOOKUP(J152,Списък!$B$3:$I$77,7,0),"")</f>
        <v>212/214/215/217</v>
      </c>
    </row>
    <row r="153" spans="1:11" ht="12" customHeight="1">
      <c r="A153" s="129">
        <v>5</v>
      </c>
      <c r="B153" s="12" t="str">
        <f>VLOOKUP('Програма-кодове'!U20,Списък!$A$1:$B$209,2,FALSE)</f>
        <v>Костова</v>
      </c>
      <c r="C153" s="165" t="str">
        <f>IFERROR(VLOOKUP(B153,Списък!$B$3:$I$77,7,0),"")</f>
        <v>212/214/215/217</v>
      </c>
      <c r="D153" s="128" t="str">
        <f>VLOOKUP('Програма-кодове'!V20,Списък!$A$1:$B$209,2,FALSE)</f>
        <v>Гочева</v>
      </c>
      <c r="E153" s="165">
        <f>IFERROR(VLOOKUP(D153,Списък!$B$3:$I$77,7,0),"")</f>
        <v>301</v>
      </c>
      <c r="F153" s="128" t="str">
        <f>VLOOKUP('Програма-кодове'!W20,Списък!$A$1:$B$209,2,FALSE)</f>
        <v>Киров</v>
      </c>
      <c r="G153" s="165" t="str">
        <f>IFERROR(VLOOKUP(F153,Списък!$B$3:$I$77,7,0),"")</f>
        <v>109/110/111/114/102/302</v>
      </c>
      <c r="H153" s="128" t="str">
        <f>VLOOKUP('Програма-кодове'!X20,Списък!$A$1:$B$209,2,FALSE)</f>
        <v>Христонова/Цветков</v>
      </c>
      <c r="I153" s="165" t="str">
        <f>IFERROR(VLOOKUP(H153,Списък!$B$3:$I$77,7,0),"")</f>
        <v>КК4/КК6</v>
      </c>
      <c r="J153" s="128" t="str">
        <f>VLOOKUP('Програма-кодове'!Y20,Списък!$A$1:$B$209,2,FALSE)</f>
        <v>Чанкова</v>
      </c>
      <c r="K153" s="160">
        <f>IFERROR(VLOOKUP(J153,Списък!$B$3:$I$77,7,0),"")</f>
        <v>105</v>
      </c>
    </row>
    <row r="154" spans="1:11" ht="12" customHeight="1">
      <c r="A154" s="129">
        <v>6</v>
      </c>
      <c r="B154" s="12" t="str">
        <f>VLOOKUP('Програма-кодове'!U21,Списък!$A$1:$B$209,2,FALSE)</f>
        <v>Киров</v>
      </c>
      <c r="C154" s="165" t="str">
        <f>IFERROR(VLOOKUP(B154,Списък!$B$3:$I$77,7,0),"")</f>
        <v>109/110/111/114/102/302</v>
      </c>
      <c r="D154" s="128" t="str">
        <f>VLOOKUP('Програма-кодове'!V21,Списък!$A$1:$B$209,2,FALSE)</f>
        <v>Костова</v>
      </c>
      <c r="E154" s="165" t="str">
        <f>IFERROR(VLOOKUP(D154,Списък!$B$3:$I$77,7,0),"")</f>
        <v>212/214/215/217</v>
      </c>
      <c r="F154" s="128" t="str">
        <f>VLOOKUP('Програма-кодове'!W21,Списък!$A$1:$B$209,2,FALSE)</f>
        <v>Христонова/Цветков</v>
      </c>
      <c r="G154" s="165" t="str">
        <f>IFERROR(VLOOKUP(F154,Списък!$B$3:$I$77,7,0),"")</f>
        <v>КК4/КК6</v>
      </c>
      <c r="H154" s="128" t="str">
        <f>VLOOKUP('Програма-кодове'!X21,Списък!$A$1:$B$209,2,FALSE)</f>
        <v>Козалиева</v>
      </c>
      <c r="I154" s="165" t="str">
        <f>IFERROR(VLOOKUP(H154,Списък!$B$3:$I$77,7,0),"")</f>
        <v>212/214/215/217</v>
      </c>
      <c r="J154" s="128" t="str">
        <f>VLOOKUP('Програма-кодове'!Y21,Списък!$A$1:$B$209,2,FALSE)</f>
        <v>Чанкова</v>
      </c>
      <c r="K154" s="160">
        <f>IFERROR(VLOOKUP(J154,Списък!$B$3:$I$77,7,0),"")</f>
        <v>105</v>
      </c>
    </row>
    <row r="155" spans="1:11" ht="12" customHeight="1">
      <c r="A155" s="129">
        <v>7</v>
      </c>
      <c r="B155" s="12" t="str">
        <f>VLOOKUP('Програма-кодове'!U22,Списък!$A$1:$B$209,2,FALSE)</f>
        <v>Тодорова</v>
      </c>
      <c r="C155" s="165" t="str">
        <f>IFERROR(VLOOKUP(B155,Списък!$B$3:$I$77,7,0),"")</f>
        <v>107/108/206/301/302/305</v>
      </c>
      <c r="D155" s="128" t="str">
        <f>VLOOKUP('Програма-кодове'!V22,Списък!$A$1:$B$209,2,FALSE)</f>
        <v>Гочева</v>
      </c>
      <c r="E155" s="165">
        <f>IFERROR(VLOOKUP(D155,Списък!$B$3:$I$77,7,0),"")</f>
        <v>301</v>
      </c>
      <c r="F155" s="128" t="str">
        <f>VLOOKUP('Програма-кодове'!W22,Списък!$A$1:$B$209,2,FALSE)</f>
        <v>Чанкова</v>
      </c>
      <c r="G155" s="165">
        <f>IFERROR(VLOOKUP(F155,Списък!$B$3:$I$77,7,0),"")</f>
        <v>105</v>
      </c>
      <c r="H155" s="128" t="str">
        <f>VLOOKUP('Програма-кодове'!X22,Списък!$A$1:$B$209,2,FALSE)</f>
        <v>Даскалова</v>
      </c>
      <c r="I155" s="165" t="str">
        <f>IFERROR(VLOOKUP(H155,Списък!$B$3:$I$77,7,0),"")</f>
        <v>107/108</v>
      </c>
      <c r="J155" s="128" t="str">
        <f>VLOOKUP('Програма-кодове'!Y22,Списък!$A$1:$B$209,2,FALSE)</f>
        <v>Козалиева</v>
      </c>
      <c r="K155" s="160" t="str">
        <f>IFERROR(VLOOKUP(J155,Списък!$B$3:$I$77,7,0),"")</f>
        <v>212/214/215/217</v>
      </c>
    </row>
    <row r="156" spans="1:11" ht="3" customHeight="1">
      <c r="A156" s="141"/>
      <c r="C156" s="165" t="str">
        <f>IFERROR(VLOOKUP(B156,Списък!$B$3:$I$77,7,0),"")</f>
        <v/>
      </c>
      <c r="D156" s="128"/>
      <c r="E156" s="165" t="str">
        <f>IFERROR(VLOOKUP(D156,Списък!$B$3:$I$77,7,0),"")</f>
        <v/>
      </c>
      <c r="F156" s="128"/>
      <c r="G156" s="165" t="str">
        <f>IFERROR(VLOOKUP(F156,Списък!$B$3:$I$77,7,0),"")</f>
        <v/>
      </c>
      <c r="H156" s="128"/>
      <c r="I156" s="165" t="str">
        <f>IFERROR(VLOOKUP(H156,Списък!$B$3:$I$77,7,0),"")</f>
        <v/>
      </c>
      <c r="J156" s="128"/>
      <c r="K156" s="160" t="str">
        <f>IFERROR(VLOOKUP(J156,Списък!$B$3:$I$77,7,0),"")</f>
        <v/>
      </c>
    </row>
    <row r="157" spans="1:11" s="13" customFormat="1" ht="12" customHeight="1">
      <c r="A157" s="145"/>
      <c r="B157" s="144" t="s">
        <v>48</v>
      </c>
      <c r="C157" s="164" t="str">
        <f>IFERROR(VLOOKUP(B157,Списък!$B$3:$I$77,7,0),"")</f>
        <v/>
      </c>
      <c r="D157" s="145" t="s">
        <v>49</v>
      </c>
      <c r="E157" s="164" t="str">
        <f>IFERROR(VLOOKUP(D157,Списък!$B$3:$I$77,7,0),"")</f>
        <v/>
      </c>
      <c r="F157" s="145" t="s">
        <v>50</v>
      </c>
      <c r="G157" s="164" t="str">
        <f>IFERROR(VLOOKUP(F157,Списък!$B$3:$I$77,7,0),"")</f>
        <v/>
      </c>
      <c r="H157" s="145" t="s">
        <v>51</v>
      </c>
      <c r="I157" s="164" t="str">
        <f>IFERROR(VLOOKUP(H157,Списък!$B$3:$I$77,7,0),"")</f>
        <v/>
      </c>
      <c r="J157" s="145" t="s">
        <v>52</v>
      </c>
      <c r="K157" s="161" t="str">
        <f>IFERROR(VLOOKUP(J157,Списък!$B$3:$I$77,7,0),"")</f>
        <v/>
      </c>
    </row>
    <row r="158" spans="1:11" ht="12" customHeight="1">
      <c r="A158" s="129">
        <v>1</v>
      </c>
      <c r="B158" s="12" t="str">
        <f>VLOOKUP('Програма-кодове'!Z16,Списък!$A$1:$B$209,2,FALSE)</f>
        <v>Д. Николова</v>
      </c>
      <c r="C158" s="160">
        <f>IFERROR(VLOOKUP(B158,Списък!$B$3:$I$77,7,0),"")</f>
        <v>106</v>
      </c>
      <c r="D158" s="128" t="str">
        <f>VLOOKUP('Програма-кодове'!AA16,Списък!$A$1:$B$209,2,FALSE)</f>
        <v>Мерджанова</v>
      </c>
      <c r="E158" s="160">
        <f>IFERROR(VLOOKUP(D158,Списък!$B$3:$I$77,7,0),"")</f>
        <v>304</v>
      </c>
      <c r="F158" s="128" t="str">
        <f>VLOOKUP('Програма-кодове'!AB16,Списък!$A$1:$B$209,2,FALSE)</f>
        <v>Батимов</v>
      </c>
      <c r="G158" s="160">
        <f>IFERROR(VLOOKUP(F158,Списък!$B$3:$I$77,7,0),"")</f>
        <v>303</v>
      </c>
      <c r="H158" s="128" t="str">
        <f>VLOOKUP('Програма-кодове'!AC16,Списък!$A$1:$B$209,2,FALSE)</f>
        <v>Колева</v>
      </c>
      <c r="I158" s="160">
        <f>IFERROR(VLOOKUP(H158,Списък!$B$3:$I$77,7,0),"")</f>
        <v>202</v>
      </c>
      <c r="J158" s="128" t="str">
        <f>VLOOKUP('Програма-кодове'!AD16,Списък!$A$1:$B$209,2,FALSE)</f>
        <v>Тонева</v>
      </c>
      <c r="K158" s="160" t="str">
        <f>IFERROR(VLOOKUP(J158,Списък!$B$3:$I$77,7,0),"")</f>
        <v>ФС</v>
      </c>
    </row>
    <row r="159" spans="1:11" ht="12" customHeight="1">
      <c r="A159" s="129">
        <v>2</v>
      </c>
      <c r="B159" s="12" t="str">
        <f>VLOOKUP('Програма-кодове'!Z17,Списък!$A$1:$B$209,2,FALSE)</f>
        <v>Колева</v>
      </c>
      <c r="C159" s="160">
        <f>IFERROR(VLOOKUP(B159,Списък!$B$3:$I$77,7,0),"")</f>
        <v>202</v>
      </c>
      <c r="D159" s="128" t="str">
        <f>VLOOKUP('Програма-кодове'!AA17,Списък!$A$1:$B$209,2,FALSE)</f>
        <v>Тонева</v>
      </c>
      <c r="E159" s="160" t="str">
        <f>IFERROR(VLOOKUP(D159,Списък!$B$3:$I$77,7,0),"")</f>
        <v>ФС</v>
      </c>
      <c r="F159" s="128" t="str">
        <f>VLOOKUP('Програма-кодове'!AB17,Списък!$A$1:$B$209,2,FALSE)</f>
        <v>Батимов</v>
      </c>
      <c r="G159" s="160">
        <f>IFERROR(VLOOKUP(F159,Списък!$B$3:$I$77,7,0),"")</f>
        <v>303</v>
      </c>
      <c r="H159" s="128" t="str">
        <f>VLOOKUP('Програма-кодове'!AC17,Списък!$A$1:$B$209,2,FALSE)</f>
        <v>Д. Николова</v>
      </c>
      <c r="I159" s="160">
        <f>IFERROR(VLOOKUP(H159,Списък!$B$3:$I$77,7,0),"")</f>
        <v>106</v>
      </c>
      <c r="J159" s="128" t="str">
        <f>VLOOKUP('Програма-кодове'!AD17,Списък!$A$1:$B$209,2,FALSE)</f>
        <v>Коларова</v>
      </c>
      <c r="K159" s="160" t="str">
        <f>IFERROR(VLOOKUP(J159,Списък!$B$3:$I$77,7,0),"")</f>
        <v>212/214/215/217</v>
      </c>
    </row>
    <row r="160" spans="1:11" ht="12" customHeight="1">
      <c r="A160" s="129">
        <v>3</v>
      </c>
      <c r="B160" s="12" t="str">
        <f>VLOOKUP('Програма-кодове'!Z18,Списък!$A$1:$B$209,2,FALSE)</f>
        <v>Тонева</v>
      </c>
      <c r="C160" s="160" t="str">
        <f>IFERROR(VLOOKUP(B160,Списък!$B$3:$I$77,7,0),"")</f>
        <v>ФС</v>
      </c>
      <c r="D160" s="128" t="str">
        <f>VLOOKUP('Програма-кодове'!AA18,Списък!$A$1:$B$209,2,FALSE)</f>
        <v>Петкова/Димитрова</v>
      </c>
      <c r="E160" s="160" t="str">
        <f>IFERROR(VLOOKUP(D160,Списък!$B$3:$I$77,7,0),"")</f>
        <v>КК3/КК8</v>
      </c>
      <c r="F160" s="128" t="str">
        <f>VLOOKUP('Програма-кодове'!AB18,Списък!$A$1:$B$209,2,FALSE)</f>
        <v>Колева</v>
      </c>
      <c r="G160" s="160">
        <f>IFERROR(VLOOKUP(F160,Списък!$B$3:$I$77,7,0),"")</f>
        <v>202</v>
      </c>
      <c r="H160" s="128" t="str">
        <f>VLOOKUP('Програма-кодове'!AC18,Списък!$A$1:$B$209,2,FALSE)</f>
        <v>Даскалова</v>
      </c>
      <c r="I160" s="160" t="str">
        <f>IFERROR(VLOOKUP(H160,Списък!$B$3:$I$77,7,0),"")</f>
        <v>107/108</v>
      </c>
      <c r="J160" s="128" t="str">
        <f>VLOOKUP('Програма-кодове'!AD18,Списък!$A$1:$B$209,2,FALSE)</f>
        <v>Минчева</v>
      </c>
      <c r="K160" s="160" t="str">
        <f>IFERROR(VLOOKUP(J160,Списък!$B$3:$I$77,7,0),"")</f>
        <v>212/214/215/217</v>
      </c>
    </row>
    <row r="161" spans="1:12" ht="12" customHeight="1">
      <c r="A161" s="129">
        <v>4</v>
      </c>
      <c r="B161" s="12" t="str">
        <f>VLOOKUP('Програма-кодове'!Z19,Списък!$A$1:$B$209,2,FALSE)</f>
        <v>Батимов</v>
      </c>
      <c r="C161" s="160">
        <f>IFERROR(VLOOKUP(B161,Списък!$B$3:$I$77,7,0),"")</f>
        <v>303</v>
      </c>
      <c r="D161" s="128" t="str">
        <f>VLOOKUP('Програма-кодове'!AA19,Списък!$A$1:$B$209,2,FALSE)</f>
        <v>Д. Николова</v>
      </c>
      <c r="E161" s="160">
        <f>IFERROR(VLOOKUP(D161,Списък!$B$3:$I$77,7,0),"")</f>
        <v>106</v>
      </c>
      <c r="F161" s="128" t="str">
        <f>VLOOKUP('Програма-кодове'!AB19,Списък!$A$1:$B$209,2,FALSE)</f>
        <v>Петкова/Димитрова</v>
      </c>
      <c r="G161" s="160" t="str">
        <f>IFERROR(VLOOKUP(F161,Списък!$B$3:$I$77,7,0),"")</f>
        <v>КК3/КК8</v>
      </c>
      <c r="H161" s="128" t="str">
        <f>VLOOKUP('Програма-кодове'!AC19,Списък!$A$1:$B$209,2,FALSE)</f>
        <v>Даскалова</v>
      </c>
      <c r="I161" s="160" t="str">
        <f>IFERROR(VLOOKUP(H161,Списък!$B$3:$I$77,7,0),"")</f>
        <v>107/108</v>
      </c>
      <c r="J161" s="128" t="str">
        <f>VLOOKUP('Програма-кодове'!AD19,Списък!$A$1:$B$209,2,FALSE)</f>
        <v>Минчева</v>
      </c>
      <c r="K161" s="160" t="str">
        <f>IFERROR(VLOOKUP(J161,Списък!$B$3:$I$77,7,0),"")</f>
        <v>212/214/215/217</v>
      </c>
    </row>
    <row r="162" spans="1:12" ht="12" customHeight="1">
      <c r="A162" s="129">
        <v>5</v>
      </c>
      <c r="B162" s="12" t="str">
        <f>VLOOKUP('Програма-кодове'!Z20,Списък!$A$1:$B$209,2,FALSE)</f>
        <v>Петкова/Димитрова</v>
      </c>
      <c r="C162" s="160" t="str">
        <f>IFERROR(VLOOKUP(B162,Списък!$B$3:$I$77,7,0),"")</f>
        <v>КК3/КК8</v>
      </c>
      <c r="D162" s="128" t="str">
        <f>VLOOKUP('Програма-кодове'!AA20,Списък!$A$1:$B$209,2,FALSE)</f>
        <v>Даскалова/Тодорова</v>
      </c>
      <c r="E162" s="160" t="str">
        <f>IFERROR(VLOOKUP(D162,Списък!$B$3:$I$77,7,0),"")</f>
        <v>107-108/101-105</v>
      </c>
      <c r="F162" s="128" t="str">
        <f>VLOOKUP('Програма-кодове'!AB20,Списък!$A$1:$B$209,2,FALSE)</f>
        <v>Кирилова/Тодорова</v>
      </c>
      <c r="G162" s="160" t="str">
        <f>IFERROR(VLOOKUP(F162,Списък!$B$3:$I$77,7,0),"")</f>
        <v>108/101-105</v>
      </c>
      <c r="H162" s="128" t="str">
        <f>VLOOKUP('Програма-кодове'!AC20,Списък!$A$1:$B$209,2,FALSE)</f>
        <v>Батимов</v>
      </c>
      <c r="I162" s="160">
        <f>IFERROR(VLOOKUP(H162,Списък!$B$3:$I$77,7,0),"")</f>
        <v>303</v>
      </c>
      <c r="J162" s="128" t="str">
        <f>VLOOKUP('Програма-кодове'!AD20,Списък!$A$1:$B$209,2,FALSE)</f>
        <v>Д. Николова</v>
      </c>
      <c r="K162" s="160">
        <f>IFERROR(VLOOKUP(J162,Списък!$B$3:$I$77,7,0),"")</f>
        <v>106</v>
      </c>
    </row>
    <row r="163" spans="1:12" ht="12" customHeight="1">
      <c r="A163" s="129">
        <v>6</v>
      </c>
      <c r="B163" s="12" t="str">
        <f>VLOOKUP('Програма-кодове'!Z21,Списък!$A$1:$B$209,2,FALSE)</f>
        <v>Славова</v>
      </c>
      <c r="C163" s="160">
        <f>IFERROR(VLOOKUP(B163,Списък!$B$3:$I$77,7,0),"")</f>
        <v>114</v>
      </c>
      <c r="D163" s="128" t="str">
        <f>VLOOKUP('Програма-кодове'!AA21,Списък!$A$1:$B$209,2,FALSE)</f>
        <v>Даскалова/Тодорова</v>
      </c>
      <c r="E163" s="160" t="str">
        <f>IFERROR(VLOOKUP(D163,Списък!$B$3:$I$77,7,0),"")</f>
        <v>107-108/101-105</v>
      </c>
      <c r="F163" s="128" t="str">
        <f>VLOOKUP('Програма-кодове'!AB21,Списък!$A$1:$B$209,2,FALSE)</f>
        <v>Кирилова/Тодорова</v>
      </c>
      <c r="G163" s="160" t="str">
        <f>IFERROR(VLOOKUP(F163,Списък!$B$3:$I$77,7,0),"")</f>
        <v>108/101-105</v>
      </c>
      <c r="H163" s="128" t="str">
        <f>VLOOKUP('Програма-кодове'!AC21,Списък!$A$1:$B$209,2,FALSE)</f>
        <v>Батимов</v>
      </c>
      <c r="I163" s="160">
        <f>IFERROR(VLOOKUP(H163,Списък!$B$3:$I$77,7,0),"")</f>
        <v>303</v>
      </c>
      <c r="J163" s="128" t="str">
        <f>VLOOKUP('Програма-кодове'!AD21,Списък!$A$1:$B$209,2,FALSE)</f>
        <v>Д. Николова</v>
      </c>
      <c r="K163" s="160">
        <f>IFERROR(VLOOKUP(J163,Списък!$B$3:$I$77,7,0),"")</f>
        <v>106</v>
      </c>
    </row>
    <row r="164" spans="1:12" ht="12" customHeight="1">
      <c r="A164" s="143">
        <v>7</v>
      </c>
      <c r="B164" s="147" t="str">
        <f>VLOOKUP('Програма-кодове'!Z22,Списък!$A$1:$B$209,2,FALSE)</f>
        <v>Батимов</v>
      </c>
      <c r="C164" s="162">
        <f>IFERROR(VLOOKUP(B164,Списък!$B$3:$I$77,7,0),"")</f>
        <v>303</v>
      </c>
      <c r="D164" s="135" t="str">
        <f>VLOOKUP('Програма-кодове'!AA22,Списък!$A$1:$B$209,2,FALSE)</f>
        <v>Славова</v>
      </c>
      <c r="E164" s="162">
        <f>IFERROR(VLOOKUP(D164,Списък!$B$3:$I$77,7,0),"")</f>
        <v>114</v>
      </c>
      <c r="F164" s="135" t="str">
        <f>VLOOKUP('Програма-кодове'!AB22,Списък!$A$1:$B$209,2,FALSE)</f>
        <v>Латева</v>
      </c>
      <c r="G164" s="162">
        <f>IFERROR(VLOOKUP(F164,Списък!$B$3:$I$77,7,0),"")</f>
        <v>110</v>
      </c>
      <c r="H164" s="135" t="str">
        <f>VLOOKUP('Програма-кодове'!AC22,Списък!$A$1:$B$209,2,FALSE)</f>
        <v>Д. Николова</v>
      </c>
      <c r="I164" s="162">
        <f>IFERROR(VLOOKUP(H164,Списък!$B$3:$I$77,7,0),"")</f>
        <v>106</v>
      </c>
      <c r="J164" s="135" t="str">
        <f>VLOOKUP('Програма-кодове'!AD22,Списък!$A$1:$B$209,2,FALSE)</f>
        <v>Минчева</v>
      </c>
      <c r="K164" s="162" t="str">
        <f>IFERROR(VLOOKUP(J164,Списък!$B$3:$I$77,7,0),"")</f>
        <v>212/214/215/217</v>
      </c>
    </row>
    <row r="165" spans="1:12" s="21" customFormat="1" ht="6.75" customHeight="1">
      <c r="A165" s="43"/>
      <c r="C165" s="166"/>
      <c r="E165" s="166"/>
      <c r="G165" s="166"/>
      <c r="I165" s="166"/>
      <c r="K165" s="166"/>
    </row>
    <row r="166" spans="1:12" ht="30" customHeight="1">
      <c r="A166" s="386" t="s">
        <v>27</v>
      </c>
      <c r="B166" s="386"/>
      <c r="C166" s="386"/>
      <c r="D166" s="386"/>
      <c r="E166" s="386"/>
      <c r="F166" s="386"/>
      <c r="G166" s="386"/>
      <c r="H166" s="386"/>
      <c r="I166" s="386"/>
      <c r="J166" s="386"/>
      <c r="K166" s="386"/>
    </row>
    <row r="167" spans="1:12" s="13" customFormat="1" ht="12" customHeight="1">
      <c r="A167" s="145"/>
      <c r="B167" s="145">
        <v>5</v>
      </c>
      <c r="C167" s="164" t="str">
        <f>IFERROR(VLOOKUP(B167,Списък!$B$3:$I$77,7,0),"")</f>
        <v/>
      </c>
      <c r="D167" s="145">
        <v>6</v>
      </c>
      <c r="E167" s="164" t="str">
        <f>IFERROR(VLOOKUP(D167,Списък!$B$3:$I$77,7,0),"")</f>
        <v/>
      </c>
      <c r="F167" s="145">
        <v>7</v>
      </c>
      <c r="G167" s="164" t="str">
        <f>IFERROR(VLOOKUP(F167,Списък!$B$3:$I$77,7,0),"")</f>
        <v/>
      </c>
      <c r="H167" s="144"/>
      <c r="I167" s="164" t="str">
        <f>IFERROR(VLOOKUP(H167,Списък!$B$3:$I$77,7,0),"")</f>
        <v/>
      </c>
      <c r="J167" s="144"/>
      <c r="K167" s="161" t="str">
        <f>IFERROR(VLOOKUP(J167,Списък!$B$3:$I$77,7,0),"")</f>
        <v/>
      </c>
      <c r="L167" s="12"/>
    </row>
    <row r="168" spans="1:12" ht="12" customHeight="1">
      <c r="A168" s="129">
        <v>1</v>
      </c>
      <c r="B168" s="128" t="str">
        <f>VLOOKUP('Програма-кодове'!C23,Списък!$A$1:$B$209,2,FALSE)</f>
        <v>Паронова</v>
      </c>
      <c r="C168" s="165" t="str">
        <f>IFERROR(VLOOKUP(B168,Списък!$B$3:$I$77,7,0),"")</f>
        <v>212/214/215/217</v>
      </c>
      <c r="D168" s="128" t="str">
        <f>VLOOKUP('Програма-кодове'!D23,Списък!$A$1:$B$209,2,FALSE)</f>
        <v>Кръстева</v>
      </c>
      <c r="E168" s="165">
        <f>IFERROR(VLOOKUP(D168,Списък!$B$3:$I$77,7,0),"")</f>
        <v>302</v>
      </c>
      <c r="F168" s="128" t="str">
        <f>VLOOKUP('Програма-кодове'!E23,Списък!$A$1:$B$209,2,FALSE)</f>
        <v>Пецова</v>
      </c>
      <c r="G168" s="160" t="str">
        <f>IFERROR(VLOOKUP(F168,Списък!$B$3:$I$77,7,0),"")</f>
        <v>102/105/111/112</v>
      </c>
      <c r="I168" s="165" t="str">
        <f>IFERROR(VLOOKUP(H168,Списък!$B$3:$I$77,7,0),"")</f>
        <v/>
      </c>
      <c r="K168" s="160" t="str">
        <f>IFERROR(VLOOKUP(J168,Списък!$B$3:$I$77,7,0),"")</f>
        <v/>
      </c>
    </row>
    <row r="169" spans="1:12" ht="12" customHeight="1">
      <c r="A169" s="129">
        <v>2</v>
      </c>
      <c r="B169" s="128" t="str">
        <f>VLOOKUP('Програма-кодове'!C24,Списък!$A$1:$B$209,2,FALSE)</f>
        <v>Гюлева</v>
      </c>
      <c r="C169" s="165">
        <f>IFERROR(VLOOKUP(B169,Списък!$B$3:$I$77,7,0),"")</f>
        <v>204</v>
      </c>
      <c r="D169" s="128" t="str">
        <f>VLOOKUP('Програма-кодове'!D24,Списък!$A$1:$B$209,2,FALSE)</f>
        <v>Пецова</v>
      </c>
      <c r="E169" s="165" t="str">
        <f>IFERROR(VLOOKUP(D169,Списък!$B$3:$I$77,7,0),"")</f>
        <v>102/105/111/112</v>
      </c>
      <c r="F169" s="128" t="str">
        <f>VLOOKUP('Програма-кодове'!E24,Списък!$A$1:$B$209,2,FALSE)</f>
        <v>Коларова</v>
      </c>
      <c r="G169" s="160" t="str">
        <f>IFERROR(VLOOKUP(F169,Списък!$B$3:$I$77,7,0),"")</f>
        <v>212/214/215/217</v>
      </c>
      <c r="I169" s="165" t="str">
        <f>IFERROR(VLOOKUP(H169,Списък!$B$3:$I$77,7,0),"")</f>
        <v/>
      </c>
      <c r="K169" s="160" t="str">
        <f>IFERROR(VLOOKUP(J169,Списък!$B$3:$I$77,7,0),"")</f>
        <v/>
      </c>
    </row>
    <row r="170" spans="1:12" ht="12" customHeight="1">
      <c r="A170" s="129">
        <v>3</v>
      </c>
      <c r="B170" s="128" t="str">
        <f>VLOOKUP('Програма-кодове'!C25,Списък!$A$1:$B$209,2,FALSE)</f>
        <v>Тонева</v>
      </c>
      <c r="C170" s="165" t="str">
        <f>IFERROR(VLOOKUP(B170,Списък!$B$3:$I$77,7,0),"")</f>
        <v>ФС</v>
      </c>
      <c r="D170" s="128" t="str">
        <f>VLOOKUP('Програма-кодове'!D25,Списък!$A$1:$B$209,2,FALSE)</f>
        <v>Гинева</v>
      </c>
      <c r="E170" s="165">
        <f>IFERROR(VLOOKUP(D170,Списък!$B$3:$I$77,7,0),"")</f>
        <v>102</v>
      </c>
      <c r="F170" s="128" t="str">
        <f>VLOOKUP('Програма-кодове'!E25,Списък!$A$1:$B$209,2,FALSE)</f>
        <v>Трифонова</v>
      </c>
      <c r="G170" s="160">
        <f>IFERROR(VLOOKUP(F170,Списък!$B$3:$I$77,7,0),"")</f>
        <v>203</v>
      </c>
      <c r="I170" s="165" t="str">
        <f>IFERROR(VLOOKUP(H170,Списък!$B$3:$I$77,7,0),"")</f>
        <v/>
      </c>
      <c r="K170" s="160" t="str">
        <f>IFERROR(VLOOKUP(J170,Списък!$B$3:$I$77,7,0),"")</f>
        <v/>
      </c>
    </row>
    <row r="171" spans="1:12" ht="12" customHeight="1">
      <c r="A171" s="129">
        <v>4</v>
      </c>
      <c r="B171" s="128" t="str">
        <f>VLOOKUP('Програма-кодове'!C26,Списък!$A$1:$B$209,2,FALSE)</f>
        <v>Краева</v>
      </c>
      <c r="C171" s="165">
        <f>IFERROR(VLOOKUP(B171,Списък!$B$3:$I$77,7,0),"")</f>
        <v>306</v>
      </c>
      <c r="D171" s="128" t="str">
        <f>VLOOKUP('Програма-кодове'!D26,Списък!$A$1:$B$209,2,FALSE)</f>
        <v>Киров</v>
      </c>
      <c r="E171" s="165" t="str">
        <f>IFERROR(VLOOKUP(D171,Списък!$B$3:$I$77,7,0),"")</f>
        <v>109/110/111/114/102/302</v>
      </c>
      <c r="F171" s="128" t="str">
        <f>VLOOKUP('Програма-кодове'!E26,Списък!$A$1:$B$209,2,FALSE)</f>
        <v>Г. Тодорова</v>
      </c>
      <c r="G171" s="160">
        <f>IFERROR(VLOOKUP(F171,Списък!$B$3:$I$77,7,0),"")</f>
        <v>103</v>
      </c>
      <c r="I171" s="165" t="str">
        <f>IFERROR(VLOOKUP(H171,Списък!$B$3:$I$77,7,0),"")</f>
        <v/>
      </c>
      <c r="K171" s="160" t="str">
        <f>IFERROR(VLOOKUP(J171,Списък!$B$3:$I$77,7,0),"")</f>
        <v/>
      </c>
    </row>
    <row r="172" spans="1:12" ht="12" customHeight="1">
      <c r="A172" s="129">
        <v>5</v>
      </c>
      <c r="B172" s="128" t="str">
        <f>VLOOKUP('Програма-кодове'!C27,Списък!$A$1:$B$209,2,FALSE)</f>
        <v>Никова</v>
      </c>
      <c r="C172" s="165">
        <f>IFERROR(VLOOKUP(B172,Списък!$B$3:$I$77,7,0),"")</f>
        <v>111</v>
      </c>
      <c r="D172" s="128" t="str">
        <f>VLOOKUP('Програма-кодове'!D27,Списък!$A$1:$B$209,2,FALSE)</f>
        <v>Трифонова</v>
      </c>
      <c r="E172" s="165">
        <f>IFERROR(VLOOKUP(D172,Списък!$B$3:$I$77,7,0),"")</f>
        <v>203</v>
      </c>
      <c r="F172" s="128" t="str">
        <f>VLOOKUP('Програма-кодове'!E27,Списък!$A$1:$B$209,2,FALSE)</f>
        <v>Петров ФВС</v>
      </c>
      <c r="G172" s="160" t="str">
        <f>IFERROR(VLOOKUP(F172,Списък!$B$3:$I$77,7,0),"")</f>
        <v>ФС</v>
      </c>
      <c r="I172" s="165" t="str">
        <f>IFERROR(VLOOKUP(H172,Списък!$B$3:$I$77,7,0),"")</f>
        <v/>
      </c>
      <c r="K172" s="160" t="str">
        <f>IFERROR(VLOOKUP(J172,Списък!$B$3:$I$77,7,0),"")</f>
        <v/>
      </c>
    </row>
    <row r="173" spans="1:12" ht="12" customHeight="1">
      <c r="A173" s="129">
        <v>6</v>
      </c>
      <c r="B173" s="128" t="str">
        <f>VLOOKUP('Програма-кодове'!C28,Списък!$A$1:$B$209,2,FALSE)</f>
        <v>К. Петрова/Димитрова</v>
      </c>
      <c r="C173" s="165" t="str">
        <f>IFERROR(VLOOKUP(B173,Списък!$B$3:$I$77,7,0),"")</f>
        <v>КК1/КК8</v>
      </c>
      <c r="D173" s="128" t="str">
        <f>VLOOKUP('Програма-кодове'!D28,Списък!$A$1:$B$209,2,FALSE)</f>
        <v>Трифонова</v>
      </c>
      <c r="E173" s="165">
        <f>IFERROR(VLOOKUP(D173,Списък!$B$3:$I$77,7,0),"")</f>
        <v>203</v>
      </c>
      <c r="F173" s="128" t="str">
        <f>VLOOKUP('Програма-кодове'!E28,Списък!$A$1:$B$209,2,FALSE)</f>
        <v>Никова</v>
      </c>
      <c r="G173" s="160">
        <f>IFERROR(VLOOKUP(F173,Списък!$B$3:$I$77,7,0),"")</f>
        <v>111</v>
      </c>
      <c r="I173" s="165" t="str">
        <f>IFERROR(VLOOKUP(H173,Списък!$B$3:$I$77,7,0),"")</f>
        <v/>
      </c>
      <c r="K173" s="160" t="str">
        <f>IFERROR(VLOOKUP(J173,Списък!$B$3:$I$77,7,0),"")</f>
        <v/>
      </c>
    </row>
    <row r="174" spans="1:12" ht="12" customHeight="1">
      <c r="A174" s="129">
        <v>7</v>
      </c>
      <c r="B174" s="128">
        <f>VLOOKUP('Програма-кодове'!C29,Списък!$A$1:$B$209,2,FALSE)</f>
        <v>0</v>
      </c>
      <c r="C174" s="165" t="str">
        <f>IFERROR(VLOOKUP(B174,Списък!$B$3:$I$77,7,0),"")</f>
        <v/>
      </c>
      <c r="D174" s="128">
        <f>VLOOKUP('Програма-кодове'!D29,Списък!$A$1:$B$209,2,FALSE)</f>
        <v>0</v>
      </c>
      <c r="E174" s="165" t="str">
        <f>IFERROR(VLOOKUP(D174,Списък!$B$3:$I$77,7,0),"")</f>
        <v/>
      </c>
      <c r="F174" s="128">
        <f>VLOOKUP('Програма-кодове'!E29,Списък!$A$1:$B$209,2,FALSE)</f>
        <v>0</v>
      </c>
      <c r="G174" s="160" t="str">
        <f>IFERROR(VLOOKUP(F174,Списък!$B$3:$I$77,7,0),"")</f>
        <v/>
      </c>
      <c r="I174" s="165" t="str">
        <f>IFERROR(VLOOKUP(H174,Списък!$B$3:$I$77,7,0),"")</f>
        <v/>
      </c>
      <c r="K174" s="160" t="str">
        <f>IFERROR(VLOOKUP(J174,Списък!$B$3:$I$77,7,0),"")</f>
        <v/>
      </c>
    </row>
    <row r="175" spans="1:12" ht="3" customHeight="1">
      <c r="A175" s="141"/>
      <c r="B175" s="128"/>
      <c r="C175" s="165" t="str">
        <f>IFERROR(VLOOKUP(B175,Списък!$B$3:$I$77,7,0),"")</f>
        <v/>
      </c>
      <c r="D175" s="128"/>
      <c r="E175" s="165" t="str">
        <f>IFERROR(VLOOKUP(D175,Списък!$B$3:$I$77,7,0),"")</f>
        <v/>
      </c>
      <c r="F175" s="128"/>
      <c r="G175" s="162" t="str">
        <f>IFERROR(VLOOKUP(F175,Списък!$B$3:$I$77,7,0),"")</f>
        <v/>
      </c>
      <c r="I175" s="165" t="str">
        <f>IFERROR(VLOOKUP(H175,Списък!$B$3:$I$77,7,0),"")</f>
        <v/>
      </c>
      <c r="K175" s="160" t="str">
        <f>IFERROR(VLOOKUP(J175,Списък!$B$3:$I$77,7,0),"")</f>
        <v/>
      </c>
    </row>
    <row r="176" spans="1:12" ht="12" customHeight="1">
      <c r="A176" s="146"/>
      <c r="B176" s="145" t="s">
        <v>0</v>
      </c>
      <c r="C176" s="164" t="str">
        <f>IFERROR(VLOOKUP(B176,Списък!$B$3:$I$77,7,0),"")</f>
        <v/>
      </c>
      <c r="D176" s="145" t="s">
        <v>1</v>
      </c>
      <c r="E176" s="164" t="str">
        <f>IFERROR(VLOOKUP(D176,Списък!$B$3:$I$77,7,0),"")</f>
        <v/>
      </c>
      <c r="F176" s="145" t="s">
        <v>2</v>
      </c>
      <c r="G176" s="164" t="str">
        <f>IFERROR(VLOOKUP(F176,Списък!$B$3:$I$77,7,0),"")</f>
        <v/>
      </c>
      <c r="H176" s="145" t="s">
        <v>3</v>
      </c>
      <c r="I176" s="164" t="str">
        <f>IFERROR(VLOOKUP(H176,Списък!$B$3:$I$77,7,0),"")</f>
        <v/>
      </c>
      <c r="J176" s="145" t="s">
        <v>4</v>
      </c>
      <c r="K176" s="161" t="str">
        <f>IFERROR(VLOOKUP(J176,Списък!$B$3:$I$77,7,0),"")</f>
        <v/>
      </c>
    </row>
    <row r="177" spans="1:11" ht="12" customHeight="1">
      <c r="A177" s="129">
        <v>1</v>
      </c>
      <c r="B177" s="128" t="str">
        <f>VLOOKUP('Програма-кодове'!F23,Списък!$A$1:$B$209,2,FALSE)</f>
        <v>Янева/Цветков</v>
      </c>
      <c r="C177" s="165" t="str">
        <f>IFERROR(VLOOKUP(B177,Списък!$B$3:$I$77,7,0),"")</f>
        <v>КК8/КК2</v>
      </c>
      <c r="D177" s="128" t="str">
        <f>VLOOKUP('Програма-кодове'!G23,Списък!$A$1:$B$209,2,FALSE)</f>
        <v>Габарова</v>
      </c>
      <c r="E177" s="165">
        <f>IFERROR(VLOOKUP(D177,Списък!$B$3:$I$77,7,0),"")</f>
        <v>206</v>
      </c>
      <c r="F177" s="128" t="str">
        <f>VLOOKUP('Програма-кодове'!H23,Списък!$A$1:$B$209,2,FALSE)</f>
        <v>Гинева</v>
      </c>
      <c r="G177" s="165">
        <f>IFERROR(VLOOKUP(F177,Списък!$B$3:$I$77,7,0),"")</f>
        <v>102</v>
      </c>
      <c r="H177" s="128" t="str">
        <f>VLOOKUP('Програма-кодове'!I23,Списък!$A$1:$B$209,2,FALSE)</f>
        <v>Г. Тодорова</v>
      </c>
      <c r="I177" s="165">
        <f>IFERROR(VLOOKUP(H177,Списък!$B$3:$I$77,7,0),"")</f>
        <v>103</v>
      </c>
      <c r="J177" s="128" t="str">
        <f>VLOOKUP('Програма-кодове'!J23,Списък!$A$1:$B$209,2,FALSE)</f>
        <v>Колева</v>
      </c>
      <c r="K177" s="160">
        <f>IFERROR(VLOOKUP(J177,Списък!$B$3:$I$77,7,0),"")</f>
        <v>202</v>
      </c>
    </row>
    <row r="178" spans="1:11" ht="12" customHeight="1">
      <c r="A178" s="129">
        <v>2</v>
      </c>
      <c r="B178" s="128" t="str">
        <f>VLOOKUP('Програма-кодове'!F24,Списък!$A$1:$B$209,2,FALSE)</f>
        <v>Клисарова</v>
      </c>
      <c r="C178" s="165">
        <f>IFERROR(VLOOKUP(B178,Списък!$B$3:$I$77,7,0),"")</f>
        <v>305</v>
      </c>
      <c r="D178" s="128" t="str">
        <f>VLOOKUP('Програма-кодове'!G24,Списък!$A$1:$B$209,2,FALSE)</f>
        <v>Габарова</v>
      </c>
      <c r="E178" s="165">
        <f>IFERROR(VLOOKUP(D178,Списък!$B$3:$I$77,7,0),"")</f>
        <v>206</v>
      </c>
      <c r="F178" s="128" t="str">
        <f>VLOOKUP('Програма-кодове'!H24,Списък!$A$1:$B$209,2,FALSE)</f>
        <v>Гинева</v>
      </c>
      <c r="G178" s="165">
        <f>IFERROR(VLOOKUP(F178,Списък!$B$3:$I$77,7,0),"")</f>
        <v>102</v>
      </c>
      <c r="H178" s="128" t="str">
        <f>VLOOKUP('Програма-кодове'!I24,Списък!$A$1:$B$209,2,FALSE)</f>
        <v>Г. Тодорова</v>
      </c>
      <c r="I178" s="165">
        <f>IFERROR(VLOOKUP(H178,Списък!$B$3:$I$77,7,0),"")</f>
        <v>103</v>
      </c>
      <c r="J178" s="128" t="str">
        <f>VLOOKUP('Програма-кодове'!J24,Списък!$A$1:$B$209,2,FALSE)</f>
        <v>Янева/Цветков</v>
      </c>
      <c r="K178" s="160" t="str">
        <f>IFERROR(VLOOKUP(J178,Списък!$B$3:$I$77,7,0),"")</f>
        <v>КК8/КК2</v>
      </c>
    </row>
    <row r="179" spans="1:11" ht="12" customHeight="1">
      <c r="A179" s="129">
        <v>3</v>
      </c>
      <c r="B179" s="128" t="str">
        <f>VLOOKUP('Програма-кодове'!F25,Списък!$A$1:$B$209,2,FALSE)</f>
        <v>Спасова</v>
      </c>
      <c r="C179" s="165">
        <f>IFERROR(VLOOKUP(B179,Списък!$B$3:$I$77,7,0),"")</f>
        <v>205</v>
      </c>
      <c r="D179" s="128" t="str">
        <f>VLOOKUP('Програма-кодове'!G25,Списък!$A$1:$B$209,2,FALSE)</f>
        <v>Габарова</v>
      </c>
      <c r="E179" s="165">
        <f>IFERROR(VLOOKUP(D179,Списък!$B$3:$I$77,7,0),"")</f>
        <v>206</v>
      </c>
      <c r="F179" s="128" t="str">
        <f>VLOOKUP('Програма-кодове'!H25,Списък!$A$1:$B$209,2,FALSE)</f>
        <v>Янева/Цветков</v>
      </c>
      <c r="G179" s="165" t="str">
        <f>IFERROR(VLOOKUP(F179,Списък!$B$3:$I$77,7,0),"")</f>
        <v>КК8/КК2</v>
      </c>
      <c r="H179" s="128" t="str">
        <f>VLOOKUP('Програма-кодове'!I25,Списък!$A$1:$B$209,2,FALSE)</f>
        <v>Г. Тодорова</v>
      </c>
      <c r="I179" s="165">
        <f>IFERROR(VLOOKUP(H179,Списък!$B$3:$I$77,7,0),"")</f>
        <v>103</v>
      </c>
      <c r="J179" s="128" t="str">
        <f>VLOOKUP('Програма-кодове'!J25,Списък!$A$1:$B$209,2,FALSE)</f>
        <v>Мерджанова</v>
      </c>
      <c r="K179" s="160">
        <f>IFERROR(VLOOKUP(J179,Списък!$B$3:$I$77,7,0),"")</f>
        <v>304</v>
      </c>
    </row>
    <row r="180" spans="1:11" ht="12" customHeight="1">
      <c r="A180" s="129">
        <v>4</v>
      </c>
      <c r="B180" s="128" t="str">
        <f>VLOOKUP('Програма-кодове'!F26,Списък!$A$1:$B$209,2,FALSE)</f>
        <v>Трандев</v>
      </c>
      <c r="C180" s="165" t="str">
        <f>IFERROR(VLOOKUP(B180,Списък!$B$3:$I$77,7,0),"")</f>
        <v>ФС</v>
      </c>
      <c r="D180" s="128" t="str">
        <f>VLOOKUP('Програма-кодове'!G26,Списък!$A$1:$B$209,2,FALSE)</f>
        <v>Габарова</v>
      </c>
      <c r="E180" s="165">
        <f>IFERROR(VLOOKUP(D180,Списък!$B$3:$I$77,7,0),"")</f>
        <v>206</v>
      </c>
      <c r="F180" s="128" t="str">
        <f>VLOOKUP('Програма-кодове'!H26,Списък!$A$1:$B$209,2,FALSE)</f>
        <v>Гинева</v>
      </c>
      <c r="G180" s="165">
        <f>IFERROR(VLOOKUP(F180,Списък!$B$3:$I$77,7,0),"")</f>
        <v>102</v>
      </c>
      <c r="H180" s="128" t="str">
        <f>VLOOKUP('Програма-кодове'!I26,Списък!$A$1:$B$209,2,FALSE)</f>
        <v>Янева/Цветков</v>
      </c>
      <c r="I180" s="165" t="str">
        <f>IFERROR(VLOOKUP(H180,Списък!$B$3:$I$77,7,0),"")</f>
        <v>КК8/КК2</v>
      </c>
      <c r="J180" s="128" t="str">
        <f>VLOOKUP('Програма-кодове'!J26,Списък!$A$1:$B$209,2,FALSE)</f>
        <v>Сапунджиева</v>
      </c>
      <c r="K180" s="160">
        <f>IFERROR(VLOOKUP(J180,Списък!$B$3:$I$77,7,0),"")</f>
        <v>104</v>
      </c>
    </row>
    <row r="181" spans="1:11" ht="12" customHeight="1">
      <c r="A181" s="129">
        <v>5</v>
      </c>
      <c r="B181" s="128" t="str">
        <f>VLOOKUP('Програма-кодове'!F27,Списък!$A$1:$B$209,2,FALSE)</f>
        <v>Спасова</v>
      </c>
      <c r="C181" s="165">
        <f>IFERROR(VLOOKUP(B181,Списък!$B$3:$I$77,7,0),"")</f>
        <v>205</v>
      </c>
      <c r="D181" s="128" t="str">
        <f>VLOOKUP('Програма-кодове'!G27,Списък!$A$1:$B$209,2,FALSE)</f>
        <v>Димитрова/Янева</v>
      </c>
      <c r="E181" s="165" t="str">
        <f>IFERROR(VLOOKUP(D181,Списък!$B$3:$I$77,7,0),"")</f>
        <v>КК4/102/109</v>
      </c>
      <c r="F181" s="128" t="str">
        <f>VLOOKUP('Програма-кодове'!H27,Списък!$A$1:$B$209,2,FALSE)</f>
        <v>Краева</v>
      </c>
      <c r="G181" s="165">
        <f>IFERROR(VLOOKUP(F181,Списък!$B$3:$I$77,7,0),"")</f>
        <v>306</v>
      </c>
      <c r="H181" s="128" t="str">
        <f>VLOOKUP('Програма-кодове'!I27,Списък!$A$1:$B$209,2,FALSE)</f>
        <v>Трандев</v>
      </c>
      <c r="I181" s="165" t="str">
        <f>IFERROR(VLOOKUP(H181,Списък!$B$3:$I$77,7,0),"")</f>
        <v>ФС</v>
      </c>
      <c r="J181" s="128" t="str">
        <f>VLOOKUP('Програма-кодове'!J27,Списък!$A$1:$B$209,2,FALSE)</f>
        <v>Сапунджиева</v>
      </c>
      <c r="K181" s="160">
        <f>IFERROR(VLOOKUP(J181,Списък!$B$3:$I$77,7,0),"")</f>
        <v>104</v>
      </c>
    </row>
    <row r="182" spans="1:11" ht="12" customHeight="1">
      <c r="A182" s="129">
        <v>6</v>
      </c>
      <c r="B182" s="128" t="str">
        <f>VLOOKUP('Програма-кодове'!F28,Списък!$A$1:$B$209,2,FALSE)</f>
        <v>Спасова</v>
      </c>
      <c r="C182" s="165">
        <f>IFERROR(VLOOKUP(B182,Списък!$B$3:$I$77,7,0),"")</f>
        <v>205</v>
      </c>
      <c r="D182" s="128" t="str">
        <f>VLOOKUP('Програма-кодове'!G28,Списък!$A$1:$B$209,2,FALSE)</f>
        <v>Трандев</v>
      </c>
      <c r="E182" s="165" t="str">
        <f>IFERROR(VLOOKUP(D182,Списък!$B$3:$I$77,7,0),"")</f>
        <v>ФС</v>
      </c>
      <c r="F182" s="128" t="str">
        <f>VLOOKUP('Програма-кодове'!H28,Списък!$A$1:$B$209,2,FALSE)</f>
        <v>Петров</v>
      </c>
      <c r="G182" s="165">
        <f>IFERROR(VLOOKUP(F182,Списък!$B$3:$I$77,7,0),"")</f>
        <v>112</v>
      </c>
      <c r="H182" s="128" t="str">
        <f>VLOOKUP('Програма-кодове'!I28,Списък!$A$1:$B$209,2,FALSE)</f>
        <v>Г. Тодорова</v>
      </c>
      <c r="I182" s="165">
        <f>IFERROR(VLOOKUP(H182,Списък!$B$3:$I$77,7,0),"")</f>
        <v>103</v>
      </c>
      <c r="J182" s="128" t="str">
        <f>VLOOKUP('Програма-кодове'!J28,Списък!$A$1:$B$209,2,FALSE)</f>
        <v>Сапунджиева</v>
      </c>
      <c r="K182" s="160">
        <f>IFERROR(VLOOKUP(J182,Списък!$B$3:$I$77,7,0),"")</f>
        <v>104</v>
      </c>
    </row>
    <row r="183" spans="1:11" ht="12" customHeight="1">
      <c r="A183" s="129">
        <v>7</v>
      </c>
      <c r="B183" s="128">
        <f>VLOOKUP('Програма-кодове'!F29,Списък!$A$1:$B$209,2,FALSE)</f>
        <v>0</v>
      </c>
      <c r="C183" s="165" t="str">
        <f>IFERROR(VLOOKUP(B183,Списък!$B$3:$I$77,7,0),"")</f>
        <v/>
      </c>
      <c r="D183" s="128">
        <f>VLOOKUP('Програма-кодове'!G29,Списък!$A$1:$B$209,2,FALSE)</f>
        <v>0</v>
      </c>
      <c r="E183" s="165" t="str">
        <f>IFERROR(VLOOKUP(D183,Списък!$B$3:$I$77,7,0),"")</f>
        <v/>
      </c>
      <c r="F183" s="128">
        <f>VLOOKUP('Програма-кодове'!H29,Списък!$A$1:$B$209,2,FALSE)</f>
        <v>0</v>
      </c>
      <c r="G183" s="165" t="str">
        <f>IFERROR(VLOOKUP(F183,Списък!$B$3:$I$77,7,0),"")</f>
        <v/>
      </c>
      <c r="H183" s="128">
        <f>VLOOKUP('Програма-кодове'!I29,Списък!$A$1:$B$209,2,FALSE)</f>
        <v>0</v>
      </c>
      <c r="I183" s="165" t="str">
        <f>IFERROR(VLOOKUP(H183,Списък!$B$3:$I$77,7,0),"")</f>
        <v/>
      </c>
      <c r="J183" s="128">
        <f>VLOOKUP('Програма-кодове'!J29,Списък!$A$1:$B$209,2,FALSE)</f>
        <v>0</v>
      </c>
      <c r="K183" s="160" t="str">
        <f>IFERROR(VLOOKUP(J183,Списък!$B$3:$I$77,7,0),"")</f>
        <v/>
      </c>
    </row>
    <row r="184" spans="1:11" ht="3" customHeight="1">
      <c r="A184" s="141"/>
      <c r="B184" s="128"/>
      <c r="C184" s="165" t="str">
        <f>IFERROR(VLOOKUP(B184,Списък!$B$3:$I$77,7,0),"")</f>
        <v/>
      </c>
      <c r="D184" s="128"/>
      <c r="E184" s="165" t="str">
        <f>IFERROR(VLOOKUP(D184,Списък!$B$3:$I$77,7,0),"")</f>
        <v/>
      </c>
      <c r="F184" s="128"/>
      <c r="G184" s="165" t="str">
        <f>IFERROR(VLOOKUP(F184,Списък!$B$3:$I$77,7,0),"")</f>
        <v/>
      </c>
      <c r="H184" s="128"/>
      <c r="I184" s="165" t="str">
        <f>IFERROR(VLOOKUP(H184,Списък!$B$3:$I$77,7,0),"")</f>
        <v/>
      </c>
      <c r="J184" s="128"/>
      <c r="K184" s="160" t="str">
        <f>IFERROR(VLOOKUP(J184,Списък!$B$3:$I$77,7,0),"")</f>
        <v/>
      </c>
    </row>
    <row r="185" spans="1:11" s="13" customFormat="1" ht="12" customHeight="1">
      <c r="A185" s="145"/>
      <c r="B185" s="145" t="s">
        <v>5</v>
      </c>
      <c r="C185" s="164" t="str">
        <f>IFERROR(VLOOKUP(B185,Списък!$B$3:$I$77,7,0),"")</f>
        <v/>
      </c>
      <c r="D185" s="145" t="s">
        <v>6</v>
      </c>
      <c r="E185" s="164" t="str">
        <f>IFERROR(VLOOKUP(D185,Списък!$B$3:$I$77,7,0),"")</f>
        <v/>
      </c>
      <c r="F185" s="145" t="s">
        <v>7</v>
      </c>
      <c r="G185" s="164" t="str">
        <f>IFERROR(VLOOKUP(F185,Списък!$B$3:$I$77,7,0),"")</f>
        <v/>
      </c>
      <c r="H185" s="145" t="s">
        <v>8</v>
      </c>
      <c r="I185" s="164" t="str">
        <f>IFERROR(VLOOKUP(H185,Списък!$B$3:$I$77,7,0),"")</f>
        <v/>
      </c>
      <c r="J185" s="145" t="s">
        <v>9</v>
      </c>
      <c r="K185" s="161" t="str">
        <f>IFERROR(VLOOKUP(J185,Списък!$B$3:$I$77,7,0),"")</f>
        <v/>
      </c>
    </row>
    <row r="186" spans="1:11" ht="12" customHeight="1">
      <c r="A186" s="129">
        <v>1</v>
      </c>
      <c r="B186" s="128" t="str">
        <f>VLOOKUP('Програма-кодове'!K23,Списък!$A$1:$B$209,2,FALSE)</f>
        <v>Иванова</v>
      </c>
      <c r="C186" s="165" t="str">
        <f>IFERROR(VLOOKUP(B186,Списък!$B$3:$I$77,7,0),"")</f>
        <v>104/107/202/205/206/304</v>
      </c>
      <c r="D186" s="128" t="str">
        <f>VLOOKUP('Програма-кодове'!L23,Списък!$A$1:$B$209,2,FALSE)</f>
        <v>Тонева</v>
      </c>
      <c r="E186" s="165" t="str">
        <f>IFERROR(VLOOKUP(D186,Списък!$B$3:$I$77,7,0),"")</f>
        <v>ФС</v>
      </c>
      <c r="F186" s="128" t="str">
        <f>VLOOKUP('Програма-кодове'!M23,Списък!$A$1:$B$209,2,FALSE)</f>
        <v>Влашинска</v>
      </c>
      <c r="G186" s="165" t="str">
        <f>IFERROR(VLOOKUP(F186,Списък!$B$3:$I$77,7,0),"")</f>
        <v>212/214/215/217</v>
      </c>
      <c r="H186" s="128" t="str">
        <f>VLOOKUP('Програма-кодове'!N23,Списък!$A$1:$B$209,2,FALSE)</f>
        <v>Гюлева</v>
      </c>
      <c r="I186" s="165">
        <f>IFERROR(VLOOKUP(H186,Списък!$B$3:$I$77,7,0),"")</f>
        <v>204</v>
      </c>
      <c r="J186" s="128" t="str">
        <f>VLOOKUP('Програма-кодове'!O23,Списък!$A$1:$B$209,2,FALSE)</f>
        <v>Козалиева</v>
      </c>
      <c r="K186" s="160" t="str">
        <f>IFERROR(VLOOKUP(J186,Списък!$B$3:$I$77,7,0),"")</f>
        <v>212/214/215/217</v>
      </c>
    </row>
    <row r="187" spans="1:11" ht="12" customHeight="1">
      <c r="A187" s="129">
        <v>2</v>
      </c>
      <c r="B187" s="128" t="str">
        <f>VLOOKUP('Програма-кодове'!K24,Списък!$A$1:$B$209,2,FALSE)</f>
        <v>Иванова</v>
      </c>
      <c r="C187" s="165" t="str">
        <f>IFERROR(VLOOKUP(B187,Списък!$B$3:$I$77,7,0),"")</f>
        <v>104/107/202/205/206/304</v>
      </c>
      <c r="D187" s="128" t="str">
        <f>VLOOKUP('Програма-кодове'!L24,Списък!$A$1:$B$209,2,FALSE)</f>
        <v>Влашинска</v>
      </c>
      <c r="E187" s="165" t="str">
        <f>IFERROR(VLOOKUP(D187,Списък!$B$3:$I$77,7,0),"")</f>
        <v>212/214/215/217</v>
      </c>
      <c r="F187" s="128" t="str">
        <f>VLOOKUP('Програма-кодове'!M24,Списък!$A$1:$B$209,2,FALSE)</f>
        <v>Козалиева</v>
      </c>
      <c r="G187" s="165" t="str">
        <f>IFERROR(VLOOKUP(F187,Списък!$B$3:$I$77,7,0),"")</f>
        <v>212/214/215/217</v>
      </c>
      <c r="H187" s="128" t="str">
        <f>VLOOKUP('Програма-кодове'!N24,Списък!$A$1:$B$209,2,FALSE)</f>
        <v>Конгалов</v>
      </c>
      <c r="I187" s="165" t="str">
        <f>IFERROR(VLOOKUP(H187,Списък!$B$3:$I$77,7,0),"")</f>
        <v>ФС</v>
      </c>
      <c r="J187" s="128" t="str">
        <f>VLOOKUP('Програма-кодове'!O24,Списък!$A$1:$B$209,2,FALSE)</f>
        <v>Кръстева</v>
      </c>
      <c r="K187" s="160">
        <f>IFERROR(VLOOKUP(J187,Списък!$B$3:$I$77,7,0),"")</f>
        <v>302</v>
      </c>
    </row>
    <row r="188" spans="1:11" ht="12" customHeight="1">
      <c r="A188" s="129">
        <v>3</v>
      </c>
      <c r="B188" s="128" t="str">
        <f>VLOOKUP('Програма-кодове'!K25,Списък!$A$1:$B$209,2,FALSE)</f>
        <v>Кирилова/Тодорова</v>
      </c>
      <c r="C188" s="165" t="str">
        <f>IFERROR(VLOOKUP(B188,Списък!$B$3:$I$77,7,0),"")</f>
        <v>108/101-105</v>
      </c>
      <c r="D188" s="128" t="str">
        <f>VLOOKUP('Програма-кодове'!L25,Списък!$A$1:$B$209,2,FALSE)</f>
        <v>Козалиева</v>
      </c>
      <c r="E188" s="165" t="str">
        <f>IFERROR(VLOOKUP(D188,Списък!$B$3:$I$77,7,0),"")</f>
        <v>212/214/215/217</v>
      </c>
      <c r="F188" s="128" t="str">
        <f>VLOOKUP('Програма-кодове'!M25,Списък!$A$1:$B$209,2,FALSE)</f>
        <v>Пецова</v>
      </c>
      <c r="G188" s="165" t="str">
        <f>IFERROR(VLOOKUP(F188,Списък!$B$3:$I$77,7,0),"")</f>
        <v>102/105/111/112</v>
      </c>
      <c r="H188" s="128" t="str">
        <f>VLOOKUP('Програма-кодове'!N25,Списък!$A$1:$B$209,2,FALSE)</f>
        <v>Латева</v>
      </c>
      <c r="I188" s="165">
        <f>IFERROR(VLOOKUP(H188,Списък!$B$3:$I$77,7,0),"")</f>
        <v>110</v>
      </c>
      <c r="J188" s="128" t="str">
        <f>VLOOKUP('Програма-кодове'!O25,Списък!$A$1:$B$209,2,FALSE)</f>
        <v>Кирилова/Тодорова</v>
      </c>
      <c r="K188" s="160" t="str">
        <f>IFERROR(VLOOKUP(J188,Списък!$B$3:$I$77,7,0),"")</f>
        <v>108/101-105</v>
      </c>
    </row>
    <row r="189" spans="1:11" ht="12" customHeight="1">
      <c r="A189" s="129">
        <v>4</v>
      </c>
      <c r="B189" s="128" t="str">
        <f>VLOOKUP('Програма-кодове'!K26,Списък!$A$1:$B$209,2,FALSE)</f>
        <v>Кирилова/Тодорова</v>
      </c>
      <c r="C189" s="165" t="str">
        <f>IFERROR(VLOOKUP(B189,Списък!$B$3:$I$77,7,0),"")</f>
        <v>108/101-105</v>
      </c>
      <c r="D189" s="128" t="str">
        <f>VLOOKUP('Програма-кодове'!L26,Списък!$A$1:$B$209,2,FALSE)</f>
        <v>Латева</v>
      </c>
      <c r="E189" s="165">
        <f>IFERROR(VLOOKUP(D189,Списък!$B$3:$I$77,7,0),"")</f>
        <v>110</v>
      </c>
      <c r="F189" s="128" t="str">
        <f>VLOOKUP('Програма-кодове'!M26,Списък!$A$1:$B$209,2,FALSE)</f>
        <v>Иванова</v>
      </c>
      <c r="G189" s="165" t="str">
        <f>IFERROR(VLOOKUP(F189,Списък!$B$3:$I$77,7,0),"")</f>
        <v>104/107/202/205/206/304</v>
      </c>
      <c r="H189" s="128" t="str">
        <f>VLOOKUP('Програма-кодове'!N26,Списък!$A$1:$B$209,2,FALSE)</f>
        <v>Минчева</v>
      </c>
      <c r="I189" s="165" t="str">
        <f>IFERROR(VLOOKUP(H189,Списък!$B$3:$I$77,7,0),"")</f>
        <v>212/214/215/217</v>
      </c>
      <c r="J189" s="128" t="str">
        <f>VLOOKUP('Програма-кодове'!O26,Списък!$A$1:$B$209,2,FALSE)</f>
        <v>Кирилова/Тодорова</v>
      </c>
      <c r="K189" s="160" t="str">
        <f>IFERROR(VLOOKUP(J189,Списък!$B$3:$I$77,7,0),"")</f>
        <v>108/101-105</v>
      </c>
    </row>
    <row r="190" spans="1:11" ht="12" customHeight="1">
      <c r="A190" s="129">
        <v>5</v>
      </c>
      <c r="B190" s="128" t="str">
        <f>VLOOKUP('Програма-кодове'!K27,Списък!$A$1:$B$209,2,FALSE)</f>
        <v>Латева</v>
      </c>
      <c r="C190" s="165">
        <f>IFERROR(VLOOKUP(B190,Списък!$B$3:$I$77,7,0),"")</f>
        <v>110</v>
      </c>
      <c r="D190" s="128" t="str">
        <f>VLOOKUP('Програма-кодове'!L27,Списък!$A$1:$B$209,2,FALSE)</f>
        <v>Минчева</v>
      </c>
      <c r="E190" s="165" t="str">
        <f>IFERROR(VLOOKUP(D190,Списък!$B$3:$I$77,7,0),"")</f>
        <v>212/214/215/217</v>
      </c>
      <c r="F190" s="128" t="str">
        <f>VLOOKUP('Програма-кодове'!M27,Списък!$A$1:$B$209,2,FALSE)</f>
        <v>Иванова</v>
      </c>
      <c r="G190" s="165" t="str">
        <f>IFERROR(VLOOKUP(F190,Списък!$B$3:$I$77,7,0),"")</f>
        <v>104/107/202/205/206/304</v>
      </c>
      <c r="H190" s="128" t="str">
        <f>VLOOKUP('Програма-кодове'!N27,Списък!$A$1:$B$209,2,FALSE)</f>
        <v>Козалиева</v>
      </c>
      <c r="I190" s="165" t="str">
        <f>IFERROR(VLOOKUP(H190,Списък!$B$3:$I$77,7,0),"")</f>
        <v>212/214/215/217</v>
      </c>
      <c r="J190" s="128" t="str">
        <f>VLOOKUP('Програма-кодове'!O27,Списък!$A$1:$B$209,2,FALSE)</f>
        <v>Коларова</v>
      </c>
      <c r="K190" s="160" t="str">
        <f>IFERROR(VLOOKUP(J190,Списък!$B$3:$I$77,7,0),"")</f>
        <v>212/214/215/217</v>
      </c>
    </row>
    <row r="191" spans="1:11" ht="12" customHeight="1">
      <c r="A191" s="129">
        <v>6</v>
      </c>
      <c r="B191" s="128" t="str">
        <f>VLOOKUP('Програма-кодове'!K28,Списък!$A$1:$B$209,2,FALSE)</f>
        <v>Козалиева</v>
      </c>
      <c r="C191" s="165" t="str">
        <f>IFERROR(VLOOKUP(B191,Списък!$B$3:$I$77,7,0),"")</f>
        <v>212/214/215/217</v>
      </c>
      <c r="D191" s="128" t="str">
        <f>VLOOKUP('Програма-кодове'!L28,Списък!$A$1:$B$209,2,FALSE)</f>
        <v>Мерджанова</v>
      </c>
      <c r="E191" s="165">
        <f>IFERROR(VLOOKUP(D191,Списък!$B$3:$I$77,7,0),"")</f>
        <v>304</v>
      </c>
      <c r="F191" s="128" t="str">
        <f>VLOOKUP('Програма-кодове'!M28,Списък!$A$1:$B$209,2,FALSE)</f>
        <v>Минчева</v>
      </c>
      <c r="G191" s="165" t="str">
        <f>IFERROR(VLOOKUP(F191,Списък!$B$3:$I$77,7,0),"")</f>
        <v>212/214/215/217</v>
      </c>
      <c r="H191" s="128" t="str">
        <f>VLOOKUP('Програма-кодове'!N28,Списък!$A$1:$B$209,2,FALSE)</f>
        <v>Краева</v>
      </c>
      <c r="I191" s="165">
        <f>IFERROR(VLOOKUP(H191,Списък!$B$3:$I$77,7,0),"")</f>
        <v>306</v>
      </c>
      <c r="J191" s="128" t="str">
        <f>VLOOKUP('Програма-кодове'!O28,Списък!$A$1:$B$209,2,FALSE)</f>
        <v>Латева</v>
      </c>
      <c r="K191" s="160">
        <f>IFERROR(VLOOKUP(J191,Списък!$B$3:$I$77,7,0),"")</f>
        <v>110</v>
      </c>
    </row>
    <row r="192" spans="1:11" ht="12" customHeight="1">
      <c r="A192" s="129">
        <v>7</v>
      </c>
      <c r="B192" s="128">
        <f>VLOOKUP('Програма-кодове'!K29,Списък!$A$1:$B$209,2,FALSE)</f>
        <v>0</v>
      </c>
      <c r="C192" s="165" t="str">
        <f>IFERROR(VLOOKUP(B192,Списък!$B$3:$I$77,7,0),"")</f>
        <v/>
      </c>
      <c r="D192" s="128">
        <f>VLOOKUP('Програма-кодове'!L29,Списък!$A$1:$B$209,2,FALSE)</f>
        <v>0</v>
      </c>
      <c r="E192" s="165" t="str">
        <f>IFERROR(VLOOKUP(D192,Списък!$B$3:$I$77,7,0),"")</f>
        <v/>
      </c>
      <c r="F192" s="128">
        <f>VLOOKUP('Програма-кодове'!M29,Списък!$A$1:$B$209,2,FALSE)</f>
        <v>0</v>
      </c>
      <c r="G192" s="165" t="str">
        <f>IFERROR(VLOOKUP(F192,Списък!$B$3:$I$77,7,0),"")</f>
        <v/>
      </c>
      <c r="H192" s="128">
        <f>VLOOKUP('Програма-кодове'!N29,Списък!$A$1:$B$209,2,FALSE)</f>
        <v>0</v>
      </c>
      <c r="I192" s="165" t="str">
        <f>IFERROR(VLOOKUP(H192,Списък!$B$3:$I$77,7,0),"")</f>
        <v/>
      </c>
      <c r="J192" s="128">
        <f>VLOOKUP('Програма-кодове'!O29,Списък!$A$1:$B$209,2,FALSE)</f>
        <v>0</v>
      </c>
      <c r="K192" s="160" t="str">
        <f>IFERROR(VLOOKUP(J192,Списък!$B$3:$I$77,7,0),"")</f>
        <v/>
      </c>
    </row>
    <row r="193" spans="1:11" ht="3" customHeight="1">
      <c r="A193" s="141"/>
      <c r="B193" s="128"/>
      <c r="C193" s="165" t="str">
        <f>IFERROR(VLOOKUP(B193,Списък!$B$3:$I$77,7,0),"")</f>
        <v/>
      </c>
      <c r="D193" s="128"/>
      <c r="E193" s="165" t="str">
        <f>IFERROR(VLOOKUP(D193,Списък!$B$3:$I$77,7,0),"")</f>
        <v/>
      </c>
      <c r="F193" s="128"/>
      <c r="G193" s="165" t="str">
        <f>IFERROR(VLOOKUP(F193,Списък!$B$3:$I$77,7,0),"")</f>
        <v/>
      </c>
      <c r="H193" s="128"/>
      <c r="I193" s="165" t="str">
        <f>IFERROR(VLOOKUP(H193,Списък!$B$3:$I$77,7,0),"")</f>
        <v/>
      </c>
      <c r="J193" s="128"/>
      <c r="K193" s="160" t="str">
        <f>IFERROR(VLOOKUP(J193,Списък!$B$3:$I$77,7,0),"")</f>
        <v/>
      </c>
    </row>
    <row r="194" spans="1:11" s="13" customFormat="1" ht="12" customHeight="1">
      <c r="A194" s="145"/>
      <c r="B194" s="145" t="s">
        <v>10</v>
      </c>
      <c r="C194" s="164" t="str">
        <f>IFERROR(VLOOKUP(B194,Списък!$B$3:$I$77,7,0),"")</f>
        <v/>
      </c>
      <c r="D194" s="145" t="s">
        <v>11</v>
      </c>
      <c r="E194" s="164" t="str">
        <f>IFERROR(VLOOKUP(D194,Списък!$B$3:$I$77,7,0),"")</f>
        <v/>
      </c>
      <c r="F194" s="145" t="s">
        <v>12</v>
      </c>
      <c r="G194" s="164" t="str">
        <f>IFERROR(VLOOKUP(F194,Списък!$B$3:$I$77,7,0),"")</f>
        <v/>
      </c>
      <c r="H194" s="145" t="s">
        <v>13</v>
      </c>
      <c r="I194" s="164" t="str">
        <f>IFERROR(VLOOKUP(H194,Списък!$B$3:$I$77,7,0),"")</f>
        <v/>
      </c>
      <c r="J194" s="145" t="s">
        <v>14</v>
      </c>
      <c r="K194" s="161" t="str">
        <f>IFERROR(VLOOKUP(J194,Списък!$B$3:$I$77,7,0),"")</f>
        <v/>
      </c>
    </row>
    <row r="195" spans="1:11" ht="12" customHeight="1">
      <c r="A195" s="129">
        <v>1</v>
      </c>
      <c r="B195" s="128" t="str">
        <f>VLOOKUP('Програма-кодове'!P23,Списък!$A$1:$B$209,2,FALSE)</f>
        <v>Клисарова</v>
      </c>
      <c r="C195" s="165">
        <f>IFERROR(VLOOKUP(B195,Списък!$B$3:$I$77,7,0),"")</f>
        <v>305</v>
      </c>
      <c r="D195" s="128" t="str">
        <f>VLOOKUP('Програма-кодове'!Q23,Списък!$A$1:$B$209,2,FALSE)</f>
        <v>Даскалова/Тодорова</v>
      </c>
      <c r="E195" s="165" t="str">
        <f>IFERROR(VLOOKUP(D195,Списък!$B$3:$I$77,7,0),"")</f>
        <v>107-108/101-105</v>
      </c>
      <c r="F195" s="128" t="str">
        <f>VLOOKUP('Програма-кодове'!R23,Списък!$A$1:$B$209,2,FALSE)</f>
        <v>Кирилова/Тодорова</v>
      </c>
      <c r="G195" s="165" t="str">
        <f>IFERROR(VLOOKUP(F195,Списък!$B$3:$I$77,7,0),"")</f>
        <v>108/101-105</v>
      </c>
      <c r="H195" s="128" t="str">
        <f>VLOOKUP('Програма-кодове'!S23,Списък!$A$1:$B$209,2,FALSE)</f>
        <v>Данева</v>
      </c>
      <c r="I195" s="165">
        <f>IFERROR(VLOOKUP(H195,Списък!$B$3:$I$77,7,0),"")</f>
        <v>101</v>
      </c>
      <c r="J195" s="128" t="str">
        <f>VLOOKUP('Програма-кодове'!T23,Списък!$A$1:$B$209,2,FALSE)</f>
        <v>Коларова</v>
      </c>
      <c r="K195" s="160" t="str">
        <f>IFERROR(VLOOKUP(J195,Списък!$B$3:$I$77,7,0),"")</f>
        <v>212/214/215/217</v>
      </c>
    </row>
    <row r="196" spans="1:11" ht="12" customHeight="1">
      <c r="A196" s="129">
        <v>2</v>
      </c>
      <c r="B196" s="128" t="str">
        <f>VLOOKUP('Програма-кодове'!P24,Списък!$A$1:$B$209,2,FALSE)</f>
        <v>Киркова/К. Петрова</v>
      </c>
      <c r="C196" s="165" t="str">
        <f>IFERROR(VLOOKUP(B196,Списък!$B$3:$I$77,7,0),"")</f>
        <v>КК7/КК1</v>
      </c>
      <c r="D196" s="128" t="str">
        <f>VLOOKUP('Програма-кодове'!Q24,Списък!$A$1:$B$209,2,FALSE)</f>
        <v>Даскалова/Тодорова</v>
      </c>
      <c r="E196" s="165" t="str">
        <f>IFERROR(VLOOKUP(D196,Списък!$B$3:$I$77,7,0),"")</f>
        <v>107-108/101-105</v>
      </c>
      <c r="F196" s="128" t="str">
        <f>VLOOKUP('Програма-кодове'!R24,Списък!$A$1:$B$209,2,FALSE)</f>
        <v>Кирилова/Тодорова</v>
      </c>
      <c r="G196" s="165" t="str">
        <f>IFERROR(VLOOKUP(F196,Списък!$B$3:$I$77,7,0),"")</f>
        <v>108/101-105</v>
      </c>
      <c r="H196" s="128" t="str">
        <f>VLOOKUP('Програма-кодове'!S24,Списък!$A$1:$B$209,2,FALSE)</f>
        <v>В. Иванова</v>
      </c>
      <c r="I196" s="165">
        <f>IFERROR(VLOOKUP(H196,Списък!$B$3:$I$77,7,0),"")</f>
        <v>109</v>
      </c>
      <c r="J196" s="128" t="str">
        <f>VLOOKUP('Програма-кодове'!T24,Списък!$A$1:$B$209,2,FALSE)</f>
        <v>Данева</v>
      </c>
      <c r="K196" s="160">
        <f>IFERROR(VLOOKUP(J196,Списък!$B$3:$I$77,7,0),"")</f>
        <v>101</v>
      </c>
    </row>
    <row r="197" spans="1:11" ht="12" customHeight="1">
      <c r="A197" s="129">
        <v>3</v>
      </c>
      <c r="B197" s="128" t="str">
        <f>VLOOKUP('Програма-кодове'!P25,Списък!$A$1:$B$209,2,FALSE)</f>
        <v>Киров</v>
      </c>
      <c r="C197" s="165" t="str">
        <f>IFERROR(VLOOKUP(B197,Списък!$B$3:$I$77,7,0),"")</f>
        <v>109/110/111/114/102/302</v>
      </c>
      <c r="D197" s="128" t="str">
        <f>VLOOKUP('Програма-кодове'!Q25,Списък!$A$1:$B$209,2,FALSE)</f>
        <v>Киркова/К. Петрова</v>
      </c>
      <c r="E197" s="165" t="str">
        <f>IFERROR(VLOOKUP(D197,Списък!$B$3:$I$77,7,0),"")</f>
        <v>КК7/КК1</v>
      </c>
      <c r="F197" s="128" t="str">
        <f>VLOOKUP('Програма-кодове'!R25,Списък!$A$1:$B$209,2,FALSE)</f>
        <v>Данева</v>
      </c>
      <c r="G197" s="165">
        <f>IFERROR(VLOOKUP(F197,Списък!$B$3:$I$77,7,0),"")</f>
        <v>101</v>
      </c>
      <c r="H197" s="128" t="str">
        <f>VLOOKUP('Програма-кодове'!S25,Списък!$A$1:$B$209,2,FALSE)</f>
        <v>Кръстева</v>
      </c>
      <c r="I197" s="165">
        <f>IFERROR(VLOOKUP(H197,Списък!$B$3:$I$77,7,0),"")</f>
        <v>302</v>
      </c>
      <c r="J197" s="128" t="str">
        <f>VLOOKUP('Програма-кодове'!T25,Списък!$A$1:$B$209,2,FALSE)</f>
        <v>Клисарова</v>
      </c>
      <c r="K197" s="160">
        <f>IFERROR(VLOOKUP(J197,Списък!$B$3:$I$77,7,0),"")</f>
        <v>305</v>
      </c>
    </row>
    <row r="198" spans="1:11" ht="12" customHeight="1">
      <c r="A198" s="129">
        <v>4</v>
      </c>
      <c r="B198" s="128" t="str">
        <f>VLOOKUP('Програма-кодове'!P26,Списък!$A$1:$B$209,2,FALSE)</f>
        <v>Коларова</v>
      </c>
      <c r="C198" s="165" t="str">
        <f>IFERROR(VLOOKUP(B198,Списък!$B$3:$I$77,7,0),"")</f>
        <v>212/214/215/217</v>
      </c>
      <c r="D198" s="128" t="str">
        <f>VLOOKUP('Програма-кодове'!Q26,Списък!$A$1:$B$209,2,FALSE)</f>
        <v>В. Иванова</v>
      </c>
      <c r="E198" s="165">
        <f>IFERROR(VLOOKUP(D198,Списък!$B$3:$I$77,7,0),"")</f>
        <v>109</v>
      </c>
      <c r="F198" s="128" t="str">
        <f>VLOOKUP('Програма-кодове'!R26,Списък!$A$1:$B$209,2,FALSE)</f>
        <v>Киркова/К. Петрова</v>
      </c>
      <c r="G198" s="165" t="str">
        <f>IFERROR(VLOOKUP(F198,Списък!$B$3:$I$77,7,0),"")</f>
        <v>КК7/КК1</v>
      </c>
      <c r="H198" s="128" t="str">
        <f>VLOOKUP('Програма-кодове'!S26,Списък!$A$1:$B$209,2,FALSE)</f>
        <v>Кръстева</v>
      </c>
      <c r="I198" s="165">
        <f>IFERROR(VLOOKUP(H198,Списък!$B$3:$I$77,7,0),"")</f>
        <v>302</v>
      </c>
      <c r="J198" s="128" t="str">
        <f>VLOOKUP('Програма-кодове'!T26,Списък!$A$1:$B$209,2,FALSE)</f>
        <v>Петров ФВС</v>
      </c>
      <c r="K198" s="160" t="str">
        <f>IFERROR(VLOOKUP(J198,Списък!$B$3:$I$77,7,0),"")</f>
        <v>ФС</v>
      </c>
    </row>
    <row r="199" spans="1:11" ht="12" customHeight="1">
      <c r="A199" s="129">
        <v>5</v>
      </c>
      <c r="B199" s="128" t="str">
        <f>VLOOKUP('Програма-кодове'!P27,Списък!$A$1:$B$209,2,FALSE)</f>
        <v>Кирилова/Тодорова</v>
      </c>
      <c r="C199" s="165" t="str">
        <f>IFERROR(VLOOKUP(B199,Списък!$B$3:$I$77,7,0),"")</f>
        <v>108/101-105</v>
      </c>
      <c r="D199" s="128" t="str">
        <f>VLOOKUP('Програма-кодове'!Q27,Списък!$A$1:$B$209,2,FALSE)</f>
        <v>Вълчева</v>
      </c>
      <c r="E199" s="165">
        <f>IFERROR(VLOOKUP(D199,Списък!$B$3:$I$77,7,0),"")</f>
        <v>201</v>
      </c>
      <c r="F199" s="128" t="str">
        <f>VLOOKUP('Програма-кодове'!R27,Списък!$A$1:$B$209,2,FALSE)</f>
        <v>В. Иванова</v>
      </c>
      <c r="G199" s="165">
        <f>IFERROR(VLOOKUP(F199,Списък!$B$3:$I$77,7,0),"")</f>
        <v>109</v>
      </c>
      <c r="H199" s="128" t="str">
        <f>VLOOKUP('Програма-кодове'!S27,Списък!$A$1:$B$209,2,FALSE)</f>
        <v>Киркова/К. Петрова</v>
      </c>
      <c r="I199" s="165" t="str">
        <f>IFERROR(VLOOKUP(H199,Списък!$B$3:$I$77,7,0),"")</f>
        <v>КК7/КК1</v>
      </c>
      <c r="J199" s="128" t="str">
        <f>VLOOKUP('Програма-кодове'!T27,Списък!$A$1:$B$209,2,FALSE)</f>
        <v>Костова</v>
      </c>
      <c r="K199" s="160" t="str">
        <f>IFERROR(VLOOKUP(J199,Списък!$B$3:$I$77,7,0),"")</f>
        <v>212/214/215/217</v>
      </c>
    </row>
    <row r="200" spans="1:11" ht="12" customHeight="1">
      <c r="A200" s="129">
        <v>6</v>
      </c>
      <c r="B200" s="128" t="str">
        <f>VLOOKUP('Програма-кодове'!P28,Списък!$A$1:$B$209,2,FALSE)</f>
        <v>Кирилова/Тодорова</v>
      </c>
      <c r="C200" s="165" t="str">
        <f>IFERROR(VLOOKUP(B200,Списък!$B$3:$I$77,7,0),"")</f>
        <v>108/101-105</v>
      </c>
      <c r="D200" s="128" t="str">
        <f>VLOOKUP('Програма-кодове'!Q28,Списък!$A$1:$B$209,2,FALSE)</f>
        <v>Костова</v>
      </c>
      <c r="E200" s="165" t="str">
        <f>IFERROR(VLOOKUP(D200,Списък!$B$3:$I$77,7,0),"")</f>
        <v>212/214/215/217</v>
      </c>
      <c r="F200" s="128" t="str">
        <f>VLOOKUP('Програма-кодове'!R28,Списък!$A$1:$B$209,2,FALSE)</f>
        <v>Киров</v>
      </c>
      <c r="G200" s="165" t="str">
        <f>IFERROR(VLOOKUP(F200,Списък!$B$3:$I$77,7,0),"")</f>
        <v>109/110/111/114/102/302</v>
      </c>
      <c r="H200" s="128" t="str">
        <f>VLOOKUP('Програма-кодове'!S28,Списък!$A$1:$B$209,2,FALSE)</f>
        <v>Вълчева</v>
      </c>
      <c r="I200" s="165">
        <f>IFERROR(VLOOKUP(H200,Списък!$B$3:$I$77,7,0),"")</f>
        <v>201</v>
      </c>
      <c r="J200" s="128" t="str">
        <f>VLOOKUP('Програма-кодове'!T28,Списък!$A$1:$B$209,2,FALSE)</f>
        <v>В. Иванова</v>
      </c>
      <c r="K200" s="160">
        <f>IFERROR(VLOOKUP(J200,Списък!$B$3:$I$77,7,0),"")</f>
        <v>109</v>
      </c>
    </row>
    <row r="201" spans="1:11" ht="12" customHeight="1">
      <c r="A201" s="129">
        <v>7</v>
      </c>
      <c r="B201" s="128">
        <f>VLOOKUP('Програма-кодове'!P29,Списък!$A$1:$B$209,2,FALSE)</f>
        <v>0</v>
      </c>
      <c r="C201" s="165" t="str">
        <f>IFERROR(VLOOKUP(B201,Списък!$B$3:$I$77,7,0),"")</f>
        <v/>
      </c>
      <c r="D201" s="128">
        <f>VLOOKUP('Програма-кодове'!Q29,Списък!$A$1:$B$209,2,FALSE)</f>
        <v>0</v>
      </c>
      <c r="E201" s="165" t="str">
        <f>IFERROR(VLOOKUP(D201,Списък!$B$3:$I$77,7,0),"")</f>
        <v/>
      </c>
      <c r="F201" s="128">
        <f>VLOOKUP('Програма-кодове'!R29,Списък!$A$1:$B$209,2,FALSE)</f>
        <v>0</v>
      </c>
      <c r="G201" s="165" t="str">
        <f>IFERROR(VLOOKUP(F201,Списък!$B$3:$I$77,7,0),"")</f>
        <v/>
      </c>
      <c r="H201" s="128">
        <f>VLOOKUP('Програма-кодове'!S29,Списък!$A$1:$B$209,2,FALSE)</f>
        <v>0</v>
      </c>
      <c r="I201" s="165" t="str">
        <f>IFERROR(VLOOKUP(H201,Списък!$B$3:$I$77,7,0),"")</f>
        <v/>
      </c>
      <c r="J201" s="128">
        <f>VLOOKUP('Програма-кодове'!T29,Списък!$A$1:$B$209,2,FALSE)</f>
        <v>0</v>
      </c>
      <c r="K201" s="160" t="str">
        <f>IFERROR(VLOOKUP(J201,Списък!$B$3:$I$77,7,0),"")</f>
        <v/>
      </c>
    </row>
    <row r="202" spans="1:11" ht="3" customHeight="1">
      <c r="A202" s="141"/>
      <c r="B202" s="128"/>
      <c r="C202" s="165" t="str">
        <f>IFERROR(VLOOKUP(B202,Списък!$B$3:$I$77,7,0),"")</f>
        <v/>
      </c>
      <c r="D202" s="128"/>
      <c r="E202" s="165" t="str">
        <f>IFERROR(VLOOKUP(D202,Списък!$B$3:$I$77,7,0),"")</f>
        <v/>
      </c>
      <c r="F202" s="128"/>
      <c r="G202" s="165" t="str">
        <f>IFERROR(VLOOKUP(F202,Списък!$B$3:$I$77,7,0),"")</f>
        <v/>
      </c>
      <c r="H202" s="128"/>
      <c r="I202" s="165" t="str">
        <f>IFERROR(VLOOKUP(H202,Списък!$B$3:$I$77,7,0),"")</f>
        <v/>
      </c>
      <c r="J202" s="128"/>
      <c r="K202" s="160" t="str">
        <f>IFERROR(VLOOKUP(J202,Списък!$B$3:$I$77,7,0),"")</f>
        <v/>
      </c>
    </row>
    <row r="203" spans="1:11" s="13" customFormat="1" ht="12" customHeight="1">
      <c r="A203" s="145"/>
      <c r="B203" s="145" t="s">
        <v>15</v>
      </c>
      <c r="C203" s="164" t="str">
        <f>IFERROR(VLOOKUP(B203,Списък!$B$3:$I$77,7,0),"")</f>
        <v/>
      </c>
      <c r="D203" s="145" t="s">
        <v>16</v>
      </c>
      <c r="E203" s="164" t="str">
        <f>IFERROR(VLOOKUP(D203,Списък!$B$3:$I$77,7,0),"")</f>
        <v/>
      </c>
      <c r="F203" s="145" t="s">
        <v>17</v>
      </c>
      <c r="G203" s="164" t="str">
        <f>IFERROR(VLOOKUP(F203,Списък!$B$3:$I$77,7,0),"")</f>
        <v/>
      </c>
      <c r="H203" s="145" t="s">
        <v>46</v>
      </c>
      <c r="I203" s="164" t="str">
        <f>IFERROR(VLOOKUP(H203,Списък!$B$3:$I$77,7,0),"")</f>
        <v/>
      </c>
      <c r="J203" s="145" t="s">
        <v>18</v>
      </c>
      <c r="K203" s="161" t="str">
        <f>IFERROR(VLOOKUP(J203,Списък!$B$3:$I$77,7,0),"")</f>
        <v/>
      </c>
    </row>
    <row r="204" spans="1:11" ht="12" customHeight="1">
      <c r="A204" s="129">
        <v>1</v>
      </c>
      <c r="B204" s="128" t="str">
        <f>VLOOKUP('Програма-кодове'!U23,Списък!$A$1:$B$209,2,FALSE)</f>
        <v>Конгалов</v>
      </c>
      <c r="C204" s="165" t="str">
        <f>IFERROR(VLOOKUP(B204,Списък!$B$3:$I$77,7,0),"")</f>
        <v>ФС</v>
      </c>
      <c r="D204" s="128" t="str">
        <f>VLOOKUP('Програма-кодове'!V23,Списък!$A$1:$B$209,2,FALSE)</f>
        <v>Гочева</v>
      </c>
      <c r="E204" s="165">
        <f>IFERROR(VLOOKUP(D204,Списък!$B$3:$I$77,7,0),"")</f>
        <v>301</v>
      </c>
      <c r="F204" s="128" t="str">
        <f>VLOOKUP('Програма-кодове'!W23,Списък!$A$1:$B$209,2,FALSE)</f>
        <v>Чанкова</v>
      </c>
      <c r="G204" s="165">
        <f>IFERROR(VLOOKUP(F204,Списък!$B$3:$I$77,7,0),"")</f>
        <v>105</v>
      </c>
      <c r="H204" s="128" t="str">
        <f>VLOOKUP('Програма-кодове'!X23,Списък!$A$1:$B$209,2,FALSE)</f>
        <v>Н. Николова</v>
      </c>
      <c r="I204" s="165" t="str">
        <f>IFERROR(VLOOKUP(H204,Списък!$B$3:$I$77,7,0),"")</f>
        <v>201/202/203/205/206</v>
      </c>
      <c r="J204" s="128" t="str">
        <f>VLOOKUP('Програма-кодове'!Y23,Списък!$A$1:$B$209,2,FALSE)</f>
        <v>В. Иванова</v>
      </c>
      <c r="K204" s="160">
        <f>IFERROR(VLOOKUP(J204,Списък!$B$3:$I$77,7,0),"")</f>
        <v>109</v>
      </c>
    </row>
    <row r="205" spans="1:11" ht="12" customHeight="1">
      <c r="A205" s="129">
        <v>2</v>
      </c>
      <c r="B205" s="128" t="str">
        <f>VLOOKUP('Програма-кодове'!U24,Списък!$A$1:$B$209,2,FALSE)</f>
        <v>Паронова</v>
      </c>
      <c r="C205" s="165" t="str">
        <f>IFERROR(VLOOKUP(B205,Списък!$B$3:$I$77,7,0),"")</f>
        <v>212/214/215/217</v>
      </c>
      <c r="D205" s="128" t="str">
        <f>VLOOKUP('Програма-кодове'!V24,Списък!$A$1:$B$209,2,FALSE)</f>
        <v>Чанкова</v>
      </c>
      <c r="E205" s="165">
        <f>IFERROR(VLOOKUP(D205,Списък!$B$3:$I$77,7,0),"")</f>
        <v>105</v>
      </c>
      <c r="F205" s="128" t="str">
        <f>VLOOKUP('Програма-кодове'!W24,Списък!$A$1:$B$209,2,FALSE)</f>
        <v>Славова</v>
      </c>
      <c r="G205" s="165">
        <f>IFERROR(VLOOKUP(F205,Списък!$B$3:$I$77,7,0),"")</f>
        <v>114</v>
      </c>
      <c r="H205" s="128" t="str">
        <f>VLOOKUP('Програма-кодове'!X24,Списък!$A$1:$B$209,2,FALSE)</f>
        <v>Н. Николова</v>
      </c>
      <c r="I205" s="165" t="str">
        <f>IFERROR(VLOOKUP(H205,Списък!$B$3:$I$77,7,0),"")</f>
        <v>201/202/203/205/206</v>
      </c>
      <c r="J205" s="128" t="str">
        <f>VLOOKUP('Програма-кодове'!Y24,Списък!$A$1:$B$209,2,FALSE)</f>
        <v>Гочева</v>
      </c>
      <c r="K205" s="160">
        <f>IFERROR(VLOOKUP(J205,Списък!$B$3:$I$77,7,0),"")</f>
        <v>301</v>
      </c>
    </row>
    <row r="206" spans="1:11" ht="12" customHeight="1">
      <c r="A206" s="129">
        <v>3</v>
      </c>
      <c r="B206" s="128" t="str">
        <f>VLOOKUP('Програма-кодове'!U25,Списък!$A$1:$B$209,2,FALSE)</f>
        <v>Славова</v>
      </c>
      <c r="C206" s="165">
        <f>IFERROR(VLOOKUP(B206,Списък!$B$3:$I$77,7,0),"")</f>
        <v>114</v>
      </c>
      <c r="D206" s="128" t="str">
        <f>VLOOKUP('Програма-кодове'!V25,Списък!$A$1:$B$209,2,FALSE)</f>
        <v>Паронова</v>
      </c>
      <c r="E206" s="165" t="str">
        <f>IFERROR(VLOOKUP(D206,Списък!$B$3:$I$77,7,0),"")</f>
        <v>212/214/215/217</v>
      </c>
      <c r="F206" s="128" t="str">
        <f>VLOOKUP('Програма-кодове'!W25,Списък!$A$1:$B$209,2,FALSE)</f>
        <v>Н. Николова</v>
      </c>
      <c r="G206" s="165" t="str">
        <f>IFERROR(VLOOKUP(F206,Списък!$B$3:$I$77,7,0),"")</f>
        <v>201/202/203/205/206</v>
      </c>
      <c r="H206" s="128" t="str">
        <f>VLOOKUP('Програма-кодове'!X25,Списък!$A$1:$B$209,2,FALSE)</f>
        <v>Чанкова</v>
      </c>
      <c r="I206" s="165">
        <f>IFERROR(VLOOKUP(H206,Списък!$B$3:$I$77,7,0),"")</f>
        <v>105</v>
      </c>
      <c r="J206" s="128" t="str">
        <f>VLOOKUP('Програма-кодове'!Y25,Списък!$A$1:$B$209,2,FALSE)</f>
        <v>Минчева</v>
      </c>
      <c r="K206" s="160" t="str">
        <f>IFERROR(VLOOKUP(J206,Списък!$B$3:$I$77,7,0),"")</f>
        <v>212/214/215/217</v>
      </c>
    </row>
    <row r="207" spans="1:11" ht="12" customHeight="1">
      <c r="A207" s="129">
        <v>4</v>
      </c>
      <c r="B207" s="128" t="str">
        <f>VLOOKUP('Програма-кодове'!U26,Списък!$A$1:$B$209,2,FALSE)</f>
        <v>Данева</v>
      </c>
      <c r="C207" s="165">
        <f>IFERROR(VLOOKUP(B207,Списък!$B$3:$I$77,7,0),"")</f>
        <v>101</v>
      </c>
      <c r="D207" s="128" t="str">
        <f>VLOOKUP('Програма-кодове'!V26,Списък!$A$1:$B$209,2,FALSE)</f>
        <v>Костова</v>
      </c>
      <c r="E207" s="165" t="str">
        <f>IFERROR(VLOOKUP(D207,Списък!$B$3:$I$77,7,0),"")</f>
        <v>212/214/215/217</v>
      </c>
      <c r="F207" s="128" t="str">
        <f>VLOOKUP('Програма-кодове'!W26,Списък!$A$1:$B$209,2,FALSE)</f>
        <v>Н. Николова</v>
      </c>
      <c r="G207" s="165" t="str">
        <f>IFERROR(VLOOKUP(F207,Списък!$B$3:$I$77,7,0),"")</f>
        <v>201/202/203/205/206</v>
      </c>
      <c r="H207" s="128" t="str">
        <f>VLOOKUP('Програма-кодове'!X26,Списък!$A$1:$B$209,2,FALSE)</f>
        <v>Славова</v>
      </c>
      <c r="I207" s="165">
        <f>IFERROR(VLOOKUP(H207,Списък!$B$3:$I$77,7,0),"")</f>
        <v>114</v>
      </c>
      <c r="J207" s="128" t="str">
        <f>VLOOKUP('Програма-кодове'!Y26,Списък!$A$1:$B$209,2,FALSE)</f>
        <v>Чанкова</v>
      </c>
      <c r="K207" s="160">
        <f>IFERROR(VLOOKUP(J207,Списък!$B$3:$I$77,7,0),"")</f>
        <v>105</v>
      </c>
    </row>
    <row r="208" spans="1:11" ht="12" customHeight="1">
      <c r="A208" s="129">
        <v>5</v>
      </c>
      <c r="B208" s="128" t="str">
        <f>VLOOKUP('Програма-кодове'!U27,Списък!$A$1:$B$209,2,FALSE)</f>
        <v>Христонова/Цветков</v>
      </c>
      <c r="C208" s="165" t="str">
        <f>IFERROR(VLOOKUP(B208,Списък!$B$3:$I$77,7,0),"")</f>
        <v>КК4/КК6</v>
      </c>
      <c r="D208" s="128" t="str">
        <f>VLOOKUP('Програма-кодове'!V27,Списък!$A$1:$B$209,2,FALSE)</f>
        <v>Ю. Делчева</v>
      </c>
      <c r="E208" s="165" t="str">
        <f>IFERROR(VLOOKUP(D208,Списък!$B$3:$I$77,7,0),"")</f>
        <v>212/214/215/217</v>
      </c>
      <c r="F208" s="128" t="str">
        <f>VLOOKUP('Програма-кодове'!W27,Списък!$A$1:$B$209,2,FALSE)</f>
        <v>Паронова</v>
      </c>
      <c r="G208" s="165" t="str">
        <f>IFERROR(VLOOKUP(F208,Списък!$B$3:$I$77,7,0),"")</f>
        <v>212/214/215/217</v>
      </c>
      <c r="H208" s="128" t="str">
        <f>VLOOKUP('Програма-кодове'!X27,Списък!$A$1:$B$209,2,FALSE)</f>
        <v>Киров</v>
      </c>
      <c r="I208" s="165" t="str">
        <f>IFERROR(VLOOKUP(H208,Списък!$B$3:$I$77,7,0),"")</f>
        <v>109/110/111/114/102/302</v>
      </c>
      <c r="J208" s="128" t="str">
        <f>VLOOKUP('Програма-кодове'!Y27,Списък!$A$1:$B$209,2,FALSE)</f>
        <v>Н. Николова</v>
      </c>
      <c r="K208" s="160" t="str">
        <f>IFERROR(VLOOKUP(J208,Списък!$B$3:$I$77,7,0),"")</f>
        <v>201/202/203/205/206</v>
      </c>
    </row>
    <row r="209" spans="1:11" ht="12" customHeight="1">
      <c r="A209" s="129">
        <v>6</v>
      </c>
      <c r="B209" s="128" t="str">
        <f>VLOOKUP('Програма-кодове'!U28,Списък!$A$1:$B$209,2,FALSE)</f>
        <v>Батимов</v>
      </c>
      <c r="C209" s="165">
        <f>IFERROR(VLOOKUP(B209,Списък!$B$3:$I$77,7,0),"")</f>
        <v>303</v>
      </c>
      <c r="D209" s="128" t="str">
        <f>VLOOKUP('Програма-кодове'!V28,Списък!$A$1:$B$209,2,FALSE)</f>
        <v>Христонова/Цветков</v>
      </c>
      <c r="E209" s="165" t="str">
        <f>IFERROR(VLOOKUP(D209,Списък!$B$3:$I$77,7,0),"")</f>
        <v>КК4/КК6</v>
      </c>
      <c r="F209" s="128" t="str">
        <f>VLOOKUP('Програма-кодове'!W28,Списък!$A$1:$B$209,2,FALSE)</f>
        <v>Ю. Делчева</v>
      </c>
      <c r="G209" s="165" t="str">
        <f>IFERROR(VLOOKUP(F209,Списък!$B$3:$I$77,7,0),"")</f>
        <v>212/214/215/217</v>
      </c>
      <c r="H209" s="128" t="str">
        <f>VLOOKUP('Програма-кодове'!X28,Списък!$A$1:$B$209,2,FALSE)</f>
        <v>Паронова</v>
      </c>
      <c r="I209" s="165" t="str">
        <f>IFERROR(VLOOKUP(H209,Списък!$B$3:$I$77,7,0),"")</f>
        <v>212/214/215/217</v>
      </c>
      <c r="J209" s="128" t="str">
        <f>VLOOKUP('Програма-кодове'!Y28,Списък!$A$1:$B$209,2,FALSE)</f>
        <v>Н. Николова</v>
      </c>
      <c r="K209" s="160" t="str">
        <f>IFERROR(VLOOKUP(J209,Списък!$B$3:$I$77,7,0),"")</f>
        <v>201/202/203/205/206</v>
      </c>
    </row>
    <row r="210" spans="1:11" ht="12" customHeight="1">
      <c r="A210" s="129">
        <v>7</v>
      </c>
      <c r="B210" s="128">
        <f>VLOOKUP('Програма-кодове'!U29,Списък!$A$1:$B$209,2,FALSE)</f>
        <v>0</v>
      </c>
      <c r="C210" s="165" t="str">
        <f>IFERROR(VLOOKUP(B210,Списък!$B$3:$I$77,7,0),"")</f>
        <v/>
      </c>
      <c r="D210" s="128">
        <f>VLOOKUP('Програма-кодове'!V29,Списък!$A$1:$B$209,2,FALSE)</f>
        <v>0</v>
      </c>
      <c r="E210" s="165" t="str">
        <f>IFERROR(VLOOKUP(D210,Списък!$B$3:$I$77,7,0),"")</f>
        <v/>
      </c>
      <c r="F210" s="128">
        <f>VLOOKUP('Програма-кодове'!W29,Списък!$A$1:$B$209,2,FALSE)</f>
        <v>0</v>
      </c>
      <c r="G210" s="165" t="str">
        <f>IFERROR(VLOOKUP(F210,Списък!$B$3:$I$77,7,0),"")</f>
        <v/>
      </c>
      <c r="H210" s="128">
        <f>VLOOKUP('Програма-кодове'!X29,Списък!$A$1:$B$209,2,FALSE)</f>
        <v>0</v>
      </c>
      <c r="I210" s="165" t="str">
        <f>IFERROR(VLOOKUP(H210,Списък!$B$3:$I$77,7,0),"")</f>
        <v/>
      </c>
      <c r="J210" s="128">
        <f>VLOOKUP('Програма-кодове'!Y29,Списък!$A$1:$B$209,2,FALSE)</f>
        <v>0</v>
      </c>
      <c r="K210" s="160" t="str">
        <f>IFERROR(VLOOKUP(J210,Списък!$B$3:$I$77,7,0),"")</f>
        <v/>
      </c>
    </row>
    <row r="211" spans="1:11" ht="3" customHeight="1">
      <c r="A211" s="141"/>
      <c r="B211" s="128"/>
      <c r="C211" s="165" t="str">
        <f>IFERROR(VLOOKUP(B211,Списък!$B$3:$I$77,7,0),"")</f>
        <v/>
      </c>
      <c r="D211" s="128"/>
      <c r="E211" s="165" t="str">
        <f>IFERROR(VLOOKUP(D211,Списък!$B$3:$I$77,7,0),"")</f>
        <v/>
      </c>
      <c r="F211" s="128"/>
      <c r="G211" s="165" t="str">
        <f>IFERROR(VLOOKUP(F211,Списък!$B$3:$I$77,7,0),"")</f>
        <v/>
      </c>
      <c r="H211" s="128"/>
      <c r="I211" s="165" t="str">
        <f>IFERROR(VLOOKUP(H211,Списък!$B$3:$I$77,7,0),"")</f>
        <v/>
      </c>
      <c r="J211" s="128"/>
      <c r="K211" s="160" t="str">
        <f>IFERROR(VLOOKUP(J211,Списък!$B$3:$I$77,7,0),"")</f>
        <v/>
      </c>
    </row>
    <row r="212" spans="1:11" s="13" customFormat="1" ht="12" customHeight="1">
      <c r="A212" s="145"/>
      <c r="B212" s="145" t="s">
        <v>48</v>
      </c>
      <c r="C212" s="164" t="str">
        <f>IFERROR(VLOOKUP(B212,Списък!$B$3:$I$77,7,0),"")</f>
        <v/>
      </c>
      <c r="D212" s="145" t="s">
        <v>49</v>
      </c>
      <c r="E212" s="164" t="str">
        <f>IFERROR(VLOOKUP(D212,Списък!$B$3:$I$77,7,0),"")</f>
        <v/>
      </c>
      <c r="F212" s="145" t="s">
        <v>50</v>
      </c>
      <c r="G212" s="164" t="str">
        <f>IFERROR(VLOOKUP(F212,Списък!$B$3:$I$77,7,0),"")</f>
        <v/>
      </c>
      <c r="H212" s="145" t="s">
        <v>51</v>
      </c>
      <c r="I212" s="164" t="str">
        <f>IFERROR(VLOOKUP(H212,Списък!$B$3:$I$77,7,0),"")</f>
        <v/>
      </c>
      <c r="J212" s="145" t="s">
        <v>52</v>
      </c>
      <c r="K212" s="161" t="str">
        <f>IFERROR(VLOOKUP(J212,Списък!$B$3:$I$77,7,0),"")</f>
        <v/>
      </c>
    </row>
    <row r="213" spans="1:11" ht="12" customHeight="1">
      <c r="A213" s="129">
        <v>1</v>
      </c>
      <c r="B213" s="128" t="str">
        <f>VLOOKUP('Програма-кодове'!Z23,Списък!$A$1:$B$209,2,FALSE)</f>
        <v>Петкова/Димитрова</v>
      </c>
      <c r="C213" s="165" t="str">
        <f>IFERROR(VLOOKUP(B213,Списък!$B$3:$I$77,7,0),"")</f>
        <v>КК3/КК8</v>
      </c>
      <c r="D213" s="128" t="str">
        <f>VLOOKUP('Програма-кодове'!AA23,Списък!$A$1:$B$209,2,FALSE)</f>
        <v>Славова</v>
      </c>
      <c r="E213" s="165">
        <f>IFERROR(VLOOKUP(D213,Списък!$B$3:$I$77,7,0),"")</f>
        <v>114</v>
      </c>
      <c r="F213" s="128" t="str">
        <f>VLOOKUP('Програма-кодове'!AB23,Списък!$A$1:$B$209,2,FALSE)</f>
        <v>Латева</v>
      </c>
      <c r="G213" s="165">
        <f>IFERROR(VLOOKUP(F213,Списък!$B$3:$I$77,7,0),"")</f>
        <v>110</v>
      </c>
      <c r="H213" s="128" t="str">
        <f>VLOOKUP('Програма-кодове'!AC23,Списък!$A$1:$B$209,2,FALSE)</f>
        <v>Батимов</v>
      </c>
      <c r="I213" s="165">
        <f>IFERROR(VLOOKUP(H213,Списък!$B$3:$I$77,7,0),"")</f>
        <v>303</v>
      </c>
      <c r="J213" s="128" t="str">
        <f>VLOOKUP('Програма-кодове'!AD23,Списък!$A$1:$B$209,2,FALSE)</f>
        <v>Минчева</v>
      </c>
      <c r="K213" s="160" t="str">
        <f>IFERROR(VLOOKUP(J213,Списък!$B$3:$I$77,7,0),"")</f>
        <v>212/214/215/217</v>
      </c>
    </row>
    <row r="214" spans="1:11" ht="12" customHeight="1">
      <c r="A214" s="129">
        <v>2</v>
      </c>
      <c r="B214" s="128" t="str">
        <f>VLOOKUP('Програма-кодове'!Z24,Списък!$A$1:$B$209,2,FALSE)</f>
        <v>Петкова/Димитрова</v>
      </c>
      <c r="C214" s="165" t="str">
        <f>IFERROR(VLOOKUP(B214,Списък!$B$3:$I$77,7,0),"")</f>
        <v>КК3/КК8</v>
      </c>
      <c r="D214" s="128" t="str">
        <f>VLOOKUP('Програма-кодове'!AA24,Списък!$A$1:$B$209,2,FALSE)</f>
        <v>Колева</v>
      </c>
      <c r="E214" s="165">
        <f>IFERROR(VLOOKUP(D214,Списък!$B$3:$I$77,7,0),"")</f>
        <v>202</v>
      </c>
      <c r="F214" s="128" t="str">
        <f>VLOOKUP('Програма-кодове'!AB24,Списък!$A$1:$B$209,2,FALSE)</f>
        <v>Тонева</v>
      </c>
      <c r="G214" s="165" t="str">
        <f>IFERROR(VLOOKUP(F214,Списък!$B$3:$I$77,7,0),"")</f>
        <v>ФС</v>
      </c>
      <c r="H214" s="128" t="str">
        <f>VLOOKUP('Програма-кодове'!AC24,Списък!$A$1:$B$209,2,FALSE)</f>
        <v>Батимов</v>
      </c>
      <c r="I214" s="165">
        <f>IFERROR(VLOOKUP(H214,Списък!$B$3:$I$77,7,0),"")</f>
        <v>303</v>
      </c>
      <c r="J214" s="128" t="str">
        <f>VLOOKUP('Програма-кодове'!AD24,Списък!$A$1:$B$209,2,FALSE)</f>
        <v>Минчева</v>
      </c>
      <c r="K214" s="160" t="str">
        <f>IFERROR(VLOOKUP(J214,Списък!$B$3:$I$77,7,0),"")</f>
        <v>212/214/215/217</v>
      </c>
    </row>
    <row r="215" spans="1:11" ht="12" customHeight="1">
      <c r="A215" s="129">
        <v>3</v>
      </c>
      <c r="B215" s="128" t="str">
        <f>VLOOKUP('Програма-кодове'!Z25,Списък!$A$1:$B$209,2,FALSE)</f>
        <v>Батимов</v>
      </c>
      <c r="C215" s="165">
        <f>IFERROR(VLOOKUP(B215,Списък!$B$3:$I$77,7,0),"")</f>
        <v>303</v>
      </c>
      <c r="D215" s="128" t="str">
        <f>VLOOKUP('Програма-кодове'!AA25,Списък!$A$1:$B$209,2,FALSE)</f>
        <v>Петкова/Димитрова</v>
      </c>
      <c r="E215" s="165" t="str">
        <f>IFERROR(VLOOKUP(D215,Списък!$B$3:$I$77,7,0),"")</f>
        <v>КК3/КК8</v>
      </c>
      <c r="F215" s="128" t="str">
        <f>VLOOKUP('Програма-кодове'!AB25,Списък!$A$1:$B$209,2,FALSE)</f>
        <v>Д. Николова</v>
      </c>
      <c r="G215" s="165">
        <f>IFERROR(VLOOKUP(F215,Списък!$B$3:$I$77,7,0),"")</f>
        <v>106</v>
      </c>
      <c r="H215" s="128" t="str">
        <f>VLOOKUP('Програма-кодове'!AC25,Списък!$A$1:$B$209,2,FALSE)</f>
        <v>Даскалова</v>
      </c>
      <c r="I215" s="165" t="str">
        <f>IFERROR(VLOOKUP(H215,Списък!$B$3:$I$77,7,0),"")</f>
        <v>107/108</v>
      </c>
      <c r="J215" s="128" t="str">
        <f>VLOOKUP('Програма-кодове'!AD25,Списък!$A$1:$B$209,2,FALSE)</f>
        <v>Колева</v>
      </c>
      <c r="K215" s="160">
        <f>IFERROR(VLOOKUP(J215,Списък!$B$3:$I$77,7,0),"")</f>
        <v>202</v>
      </c>
    </row>
    <row r="216" spans="1:11" ht="12" customHeight="1">
      <c r="A216" s="129">
        <v>4</v>
      </c>
      <c r="B216" s="128" t="str">
        <f>VLOOKUP('Програма-кодове'!Z26,Списък!$A$1:$B$209,2,FALSE)</f>
        <v>Батимов</v>
      </c>
      <c r="C216" s="165">
        <f>IFERROR(VLOOKUP(B216,Списък!$B$3:$I$77,7,0),"")</f>
        <v>303</v>
      </c>
      <c r="D216" s="128" t="str">
        <f>VLOOKUP('Програма-кодове'!AA26,Списък!$A$1:$B$209,2,FALSE)</f>
        <v>Петкова/Димитрова</v>
      </c>
      <c r="E216" s="165" t="str">
        <f>IFERROR(VLOOKUP(D216,Списък!$B$3:$I$77,7,0),"")</f>
        <v>КК3/КК8</v>
      </c>
      <c r="F216" s="128" t="str">
        <f>VLOOKUP('Програма-кодове'!AB26,Списък!$A$1:$B$209,2,FALSE)</f>
        <v>Д. Николова</v>
      </c>
      <c r="G216" s="165">
        <f>IFERROR(VLOOKUP(F216,Списък!$B$3:$I$77,7,0),"")</f>
        <v>106</v>
      </c>
      <c r="H216" s="128" t="str">
        <f>VLOOKUP('Програма-кодове'!AC26,Списък!$A$1:$B$209,2,FALSE)</f>
        <v>Филипова</v>
      </c>
      <c r="I216" s="165" t="str">
        <f>IFERROR(VLOOKUP(H216,Списък!$B$3:$I$77,7,0),"")</f>
        <v>109/110/301/302/306</v>
      </c>
      <c r="J216" s="128" t="str">
        <f>VLOOKUP('Програма-кодове'!AD26,Списък!$A$1:$B$209,2,FALSE)</f>
        <v>Мерджанова</v>
      </c>
      <c r="K216" s="160">
        <f>IFERROR(VLOOKUP(J216,Списък!$B$3:$I$77,7,0),"")</f>
        <v>304</v>
      </c>
    </row>
    <row r="217" spans="1:11" ht="12" customHeight="1">
      <c r="A217" s="129">
        <v>5</v>
      </c>
      <c r="B217" s="128" t="str">
        <f>VLOOKUP('Програма-кодове'!Z27,Списък!$A$1:$B$209,2,FALSE)</f>
        <v>Колева</v>
      </c>
      <c r="C217" s="165">
        <f>IFERROR(VLOOKUP(B217,Списък!$B$3:$I$77,7,0),"")</f>
        <v>202</v>
      </c>
      <c r="D217" s="128" t="str">
        <f>VLOOKUP('Програма-кодове'!AA27,Списък!$A$1:$B$209,2,FALSE)</f>
        <v>Мерджанова</v>
      </c>
      <c r="E217" s="165">
        <f>IFERROR(VLOOKUP(D217,Списък!$B$3:$I$77,7,0),"")</f>
        <v>304</v>
      </c>
      <c r="F217" s="128" t="str">
        <f>VLOOKUP('Програма-кодове'!AB27,Списък!$A$1:$B$209,2,FALSE)</f>
        <v>Батимов</v>
      </c>
      <c r="G217" s="165">
        <f>IFERROR(VLOOKUP(F217,Списък!$B$3:$I$77,7,0),"")</f>
        <v>303</v>
      </c>
      <c r="H217" s="128" t="str">
        <f>VLOOKUP('Програма-кодове'!AC27,Списък!$A$1:$B$209,2,FALSE)</f>
        <v>Д. Николова</v>
      </c>
      <c r="I217" s="165">
        <f>IFERROR(VLOOKUP(H217,Списък!$B$3:$I$77,7,0),"")</f>
        <v>106</v>
      </c>
      <c r="J217" s="128" t="str">
        <f>VLOOKUP('Програма-кодове'!AD27,Списък!$A$1:$B$209,2,FALSE)</f>
        <v>Филипова</v>
      </c>
      <c r="K217" s="160" t="str">
        <f>IFERROR(VLOOKUP(J217,Списък!$B$3:$I$77,7,0),"")</f>
        <v>109/110/301/302/306</v>
      </c>
    </row>
    <row r="218" spans="1:11" ht="12" customHeight="1">
      <c r="A218" s="129">
        <v>6</v>
      </c>
      <c r="B218" s="128" t="str">
        <f>VLOOKUP('Програма-кодове'!Z28,Списък!$A$1:$B$209,2,FALSE)</f>
        <v>Филипова</v>
      </c>
      <c r="C218" s="165" t="str">
        <f>IFERROR(VLOOKUP(B218,Списък!$B$3:$I$77,7,0),"")</f>
        <v>109/110/301/302/306</v>
      </c>
      <c r="D218" s="128" t="str">
        <f>VLOOKUP('Програма-кодове'!AA28,Списък!$A$1:$B$209,2,FALSE)</f>
        <v>Д. Николова</v>
      </c>
      <c r="E218" s="165">
        <f>IFERROR(VLOOKUP(D218,Списък!$B$3:$I$77,7,0),"")</f>
        <v>106</v>
      </c>
      <c r="F218" s="128" t="str">
        <f>VLOOKUP('Програма-кодове'!AB28,Списък!$A$1:$B$209,2,FALSE)</f>
        <v>Колева</v>
      </c>
      <c r="G218" s="165">
        <f>IFERROR(VLOOKUP(F218,Списък!$B$3:$I$77,7,0),"")</f>
        <v>202</v>
      </c>
      <c r="H218" s="128" t="str">
        <f>VLOOKUP('Програма-кодове'!AC28,Списък!$A$1:$B$209,2,FALSE)</f>
        <v>Славова</v>
      </c>
      <c r="I218" s="165">
        <f>IFERROR(VLOOKUP(H218,Списък!$B$3:$I$77,7,0),"")</f>
        <v>114</v>
      </c>
      <c r="J218" s="128" t="str">
        <f>VLOOKUP('Програма-кодове'!AD28,Списък!$A$1:$B$209,2,FALSE)</f>
        <v>Коларова</v>
      </c>
      <c r="K218" s="160" t="str">
        <f>IFERROR(VLOOKUP(J218,Списък!$B$3:$I$77,7,0),"")</f>
        <v>212/214/215/217</v>
      </c>
    </row>
    <row r="219" spans="1:11" ht="12" customHeight="1">
      <c r="A219" s="143">
        <v>7</v>
      </c>
      <c r="B219" s="135">
        <f>VLOOKUP('Програма-кодове'!Z29,Списък!$A$1:$B$209,2,FALSE)</f>
        <v>0</v>
      </c>
      <c r="C219" s="167" t="str">
        <f>IFERROR(VLOOKUP(B219,Списък!$B$3:$I$77,7,0),"")</f>
        <v/>
      </c>
      <c r="D219" s="135">
        <f>VLOOKUP('Програма-кодове'!AA29,Списък!$A$1:$B$209,2,FALSE)</f>
        <v>0</v>
      </c>
      <c r="E219" s="167" t="str">
        <f>IFERROR(VLOOKUP(D219,Списък!$B$3:$I$77,7,0),"")</f>
        <v/>
      </c>
      <c r="F219" s="135">
        <f>VLOOKUP('Програма-кодове'!AB29,Списък!$A$1:$B$209,2,FALSE)</f>
        <v>0</v>
      </c>
      <c r="G219" s="167" t="str">
        <f>IFERROR(VLOOKUP(F219,Списък!$B$3:$I$77,7,0),"")</f>
        <v/>
      </c>
      <c r="H219" s="135">
        <f>VLOOKUP('Програма-кодове'!AC29,Списък!$A$1:$B$209,2,FALSE)</f>
        <v>0</v>
      </c>
      <c r="I219" s="167" t="str">
        <f>IFERROR(VLOOKUP(H219,Списък!$B$3:$I$77,7,0),"")</f>
        <v/>
      </c>
      <c r="J219" s="135">
        <f>VLOOKUP('Програма-кодове'!AD29,Списък!$A$1:$B$209,2,FALSE)</f>
        <v>0</v>
      </c>
      <c r="K219" s="162" t="str">
        <f>IFERROR(VLOOKUP(J219,Списък!$B$3:$I$77,7,0),"")</f>
        <v/>
      </c>
    </row>
    <row r="220" spans="1:11" ht="9" customHeight="1">
      <c r="A220" s="43"/>
      <c r="C220" s="165"/>
      <c r="E220" s="165"/>
      <c r="G220" s="165"/>
      <c r="I220" s="165"/>
      <c r="K220" s="165"/>
    </row>
    <row r="221" spans="1:11" s="13" customFormat="1" ht="30" customHeight="1">
      <c r="A221" s="384" t="s">
        <v>28</v>
      </c>
      <c r="B221" s="384"/>
      <c r="C221" s="384"/>
      <c r="D221" s="384"/>
      <c r="E221" s="384"/>
      <c r="F221" s="384"/>
      <c r="G221" s="384"/>
      <c r="H221" s="384"/>
      <c r="I221" s="384"/>
      <c r="J221" s="384"/>
      <c r="K221" s="384"/>
    </row>
    <row r="222" spans="1:11" ht="12" customHeight="1">
      <c r="A222" s="145"/>
      <c r="B222" s="144">
        <v>5</v>
      </c>
      <c r="C222" s="164" t="str">
        <f>IFERROR(VLOOKUP(B222,Списък!$B$3:$I$77,7,0),"")</f>
        <v/>
      </c>
      <c r="D222" s="148">
        <v>6</v>
      </c>
      <c r="E222" s="164" t="str">
        <f>IFERROR(VLOOKUP(D222,Списък!$B$3:$I$77,7,0),"")</f>
        <v/>
      </c>
      <c r="F222" s="145">
        <v>7</v>
      </c>
      <c r="G222" s="164" t="str">
        <f>IFERROR(VLOOKUP(F222,Списък!$B$3:$I$77,7,0),"")</f>
        <v/>
      </c>
      <c r="H222" s="146"/>
      <c r="I222" s="164" t="str">
        <f>IFERROR(VLOOKUP(H222,Списък!$B$3:$I$77,7,0),"")</f>
        <v/>
      </c>
      <c r="J222" s="146"/>
      <c r="K222" s="161" t="str">
        <f>IFERROR(VLOOKUP(J222,Списък!$B$3:$I$77,7,0),"")</f>
        <v/>
      </c>
    </row>
    <row r="223" spans="1:11">
      <c r="A223" s="129">
        <v>1</v>
      </c>
      <c r="B223" s="12" t="str">
        <f>VLOOKUP('Програма-кодове'!C30,Списък!$A$1:$B$209,2,FALSE)</f>
        <v>Сапунджиева</v>
      </c>
      <c r="C223" s="165">
        <f>IFERROR(VLOOKUP(B223,Списък!$B$3:$I$77,7,0),"")</f>
        <v>104</v>
      </c>
      <c r="D223" s="128" t="str">
        <f>VLOOKUP('Програма-кодове'!D30,Списък!$A$1:$B$209,2,FALSE)</f>
        <v>Кръстева</v>
      </c>
      <c r="E223" s="165">
        <f>IFERROR(VLOOKUP(D223,Списък!$B$3:$I$77,7,0),"")</f>
        <v>302</v>
      </c>
      <c r="F223" s="128" t="str">
        <f>VLOOKUP('Програма-кодове'!E30,Списък!$A$1:$B$209,2,FALSE)</f>
        <v>Минчева</v>
      </c>
      <c r="G223" s="165" t="str">
        <f>IFERROR(VLOOKUP(F223,Списък!$B$3:$I$77,7,0),"")</f>
        <v>212/214/215/217</v>
      </c>
      <c r="H223" s="128"/>
      <c r="I223" s="165" t="str">
        <f>IFERROR(VLOOKUP(H223,Списък!$B$3:$I$77,7,0),"")</f>
        <v/>
      </c>
      <c r="J223" s="128"/>
      <c r="K223" s="160" t="str">
        <f>IFERROR(VLOOKUP(J223,Списък!$B$3:$I$77,7,0),"")</f>
        <v/>
      </c>
    </row>
    <row r="224" spans="1:11">
      <c r="A224" s="129">
        <v>2</v>
      </c>
      <c r="B224" s="12" t="str">
        <f>VLOOKUP('Програма-кодове'!C31,Списък!$A$1:$B$209,2,FALSE)</f>
        <v>Никова</v>
      </c>
      <c r="C224" s="165">
        <f>IFERROR(VLOOKUP(B224,Списък!$B$3:$I$77,7,0),"")</f>
        <v>111</v>
      </c>
      <c r="D224" s="128" t="str">
        <f>VLOOKUP('Програма-кодове'!D31,Списък!$A$1:$B$209,2,FALSE)</f>
        <v>Петров</v>
      </c>
      <c r="E224" s="165">
        <f>IFERROR(VLOOKUP(D224,Списък!$B$3:$I$77,7,0),"")</f>
        <v>112</v>
      </c>
      <c r="F224" s="128" t="str">
        <f>VLOOKUP('Програма-кодове'!E31,Списък!$A$1:$B$209,2,FALSE)</f>
        <v>Пецова</v>
      </c>
      <c r="G224" s="165" t="str">
        <f>IFERROR(VLOOKUP(F224,Списък!$B$3:$I$77,7,0),"")</f>
        <v>102/105/111/112</v>
      </c>
      <c r="H224" s="128"/>
      <c r="I224" s="165" t="str">
        <f>IFERROR(VLOOKUP(H224,Списък!$B$3:$I$77,7,0),"")</f>
        <v/>
      </c>
      <c r="J224" s="128"/>
      <c r="K224" s="160" t="str">
        <f>IFERROR(VLOOKUP(J224,Списък!$B$3:$I$77,7,0),"")</f>
        <v/>
      </c>
    </row>
    <row r="225" spans="1:11">
      <c r="A225" s="129">
        <v>3</v>
      </c>
      <c r="B225" s="12" t="str">
        <f>VLOOKUP('Програма-кодове'!C32,Списък!$A$1:$B$209,2,FALSE)</f>
        <v>Тонева</v>
      </c>
      <c r="C225" s="165" t="str">
        <f>IFERROR(VLOOKUP(B225,Списък!$B$3:$I$77,7,0),"")</f>
        <v>ФС</v>
      </c>
      <c r="D225" s="128" t="str">
        <f>VLOOKUP('Програма-кодове'!D32,Списък!$A$1:$B$209,2,FALSE)</f>
        <v>Пецова</v>
      </c>
      <c r="E225" s="165" t="str">
        <f>IFERROR(VLOOKUP(D225,Списък!$B$3:$I$77,7,0),"")</f>
        <v>102/105/111/112</v>
      </c>
      <c r="F225" s="128" t="str">
        <f>VLOOKUP('Програма-кодове'!E32,Списък!$A$1:$B$209,2,FALSE)</f>
        <v>Трифонова</v>
      </c>
      <c r="G225" s="165">
        <f>IFERROR(VLOOKUP(F225,Списък!$B$3:$I$77,7,0),"")</f>
        <v>203</v>
      </c>
      <c r="H225" s="128"/>
      <c r="I225" s="165" t="str">
        <f>IFERROR(VLOOKUP(H225,Списък!$B$3:$I$77,7,0),"")</f>
        <v/>
      </c>
      <c r="J225" s="128"/>
      <c r="K225" s="160" t="str">
        <f>IFERROR(VLOOKUP(J225,Списък!$B$3:$I$77,7,0),"")</f>
        <v/>
      </c>
    </row>
    <row r="226" spans="1:11">
      <c r="A226" s="129">
        <v>4</v>
      </c>
      <c r="B226" s="12" t="str">
        <f>VLOOKUP('Програма-кодове'!C33,Списък!$A$1:$B$209,2,FALSE)</f>
        <v>Гюлева</v>
      </c>
      <c r="C226" s="165">
        <f>IFERROR(VLOOKUP(B226,Списък!$B$3:$I$77,7,0),"")</f>
        <v>204</v>
      </c>
      <c r="D226" s="128" t="str">
        <f>VLOOKUP('Програма-кодове'!D33,Списък!$A$1:$B$209,2,FALSE)</f>
        <v>Никова</v>
      </c>
      <c r="E226" s="165">
        <f>IFERROR(VLOOKUP(D226,Списък!$B$3:$I$77,7,0),"")</f>
        <v>111</v>
      </c>
      <c r="F226" s="128" t="str">
        <f>VLOOKUP('Програма-кодове'!E33,Списък!$A$1:$B$209,2,FALSE)</f>
        <v>Трифонова</v>
      </c>
      <c r="G226" s="165">
        <f>IFERROR(VLOOKUP(F226,Списък!$B$3:$I$77,7,0),"")</f>
        <v>203</v>
      </c>
      <c r="H226" s="128"/>
      <c r="I226" s="165" t="str">
        <f>IFERROR(VLOOKUP(H226,Списък!$B$3:$I$77,7,0),"")</f>
        <v/>
      </c>
      <c r="J226" s="128"/>
      <c r="K226" s="160" t="str">
        <f>IFERROR(VLOOKUP(J226,Списък!$B$3:$I$77,7,0),"")</f>
        <v/>
      </c>
    </row>
    <row r="227" spans="1:11">
      <c r="A227" s="129">
        <v>5</v>
      </c>
      <c r="B227" s="12" t="str">
        <f>VLOOKUP('Програма-кодове'!C34,Списък!$A$1:$B$209,2,FALSE)</f>
        <v>Гюлева</v>
      </c>
      <c r="C227" s="165">
        <f>IFERROR(VLOOKUP(B227,Списък!$B$3:$I$77,7,0),"")</f>
        <v>204</v>
      </c>
      <c r="D227" s="128" t="str">
        <f>VLOOKUP('Програма-кодове'!D34,Списък!$A$1:$B$209,2,FALSE)</f>
        <v>Гинева</v>
      </c>
      <c r="E227" s="165">
        <f>IFERROR(VLOOKUP(D227,Списък!$B$3:$I$77,7,0),"")</f>
        <v>102</v>
      </c>
      <c r="F227" s="128" t="str">
        <f>VLOOKUP('Програма-кодове'!E34,Списък!$A$1:$B$209,2,FALSE)</f>
        <v>Клисарова</v>
      </c>
      <c r="G227" s="165">
        <f>IFERROR(VLOOKUP(F227,Списък!$B$3:$I$77,7,0),"")</f>
        <v>305</v>
      </c>
      <c r="H227" s="128"/>
      <c r="I227" s="165" t="str">
        <f>IFERROR(VLOOKUP(H227,Списък!$B$3:$I$77,7,0),"")</f>
        <v/>
      </c>
      <c r="J227" s="128"/>
      <c r="K227" s="160" t="str">
        <f>IFERROR(VLOOKUP(J227,Списък!$B$3:$I$77,7,0),"")</f>
        <v/>
      </c>
    </row>
    <row r="228" spans="1:11">
      <c r="A228" s="129">
        <v>6</v>
      </c>
      <c r="B228" s="12" t="str">
        <f>VLOOKUP('Програма-кодове'!C35,Списък!$A$1:$B$209,2,FALSE)</f>
        <v>Краева</v>
      </c>
      <c r="C228" s="165">
        <f>IFERROR(VLOOKUP(B228,Списък!$B$3:$I$77,7,0),"")</f>
        <v>306</v>
      </c>
      <c r="D228" s="128" t="str">
        <f>VLOOKUP('Програма-кодове'!D35,Списък!$A$1:$B$209,2,FALSE)</f>
        <v>Гинева</v>
      </c>
      <c r="E228" s="165">
        <f>IFERROR(VLOOKUP(D228,Списък!$B$3:$I$77,7,0),"")</f>
        <v>102</v>
      </c>
      <c r="F228" s="128" t="str">
        <f>VLOOKUP('Програма-кодове'!E35,Списък!$A$1:$B$209,2,FALSE)</f>
        <v>Влашинска</v>
      </c>
      <c r="G228" s="165" t="str">
        <f>IFERROR(VLOOKUP(F228,Списък!$B$3:$I$77,7,0),"")</f>
        <v>212/214/215/217</v>
      </c>
      <c r="H228" s="128"/>
      <c r="I228" s="165" t="str">
        <f>IFERROR(VLOOKUP(H228,Списък!$B$3:$I$77,7,0),"")</f>
        <v/>
      </c>
      <c r="J228" s="128"/>
      <c r="K228" s="160" t="str">
        <f>IFERROR(VLOOKUP(J228,Списък!$B$3:$I$77,7,0),"")</f>
        <v/>
      </c>
    </row>
    <row r="229" spans="1:11" ht="3" customHeight="1">
      <c r="A229" s="129">
        <v>7</v>
      </c>
      <c r="B229" s="12">
        <f>VLOOKUP('Програма-кодове'!C36,Списък!$A$1:$B$209,2,FALSE)</f>
        <v>0</v>
      </c>
      <c r="C229" s="165" t="str">
        <f>IFERROR(VLOOKUP(B229,Списък!$B$3:$I$77,7,0),"")</f>
        <v/>
      </c>
      <c r="D229" s="128">
        <f>VLOOKUP('Програма-кодове'!F36,Списък!$A$1:$B$209,2,FALSE)</f>
        <v>0</v>
      </c>
      <c r="E229" s="165" t="str">
        <f>IFERROR(VLOOKUP(D229,Списък!$B$3:$I$77,7,0),"")</f>
        <v/>
      </c>
      <c r="F229" s="128">
        <f>VLOOKUP('Програма-кодове'!G36,Списък!$A$1:$B$209,2,FALSE)</f>
        <v>0</v>
      </c>
      <c r="G229" s="165" t="str">
        <f>IFERROR(VLOOKUP(F229,Списък!$B$3:$I$77,7,0),"")</f>
        <v/>
      </c>
      <c r="H229" s="128">
        <f>VLOOKUP('Програма-кодове'!H36,Списък!$A$1:$B$209,2,FALSE)</f>
        <v>0</v>
      </c>
      <c r="I229" s="165" t="str">
        <f>IFERROR(VLOOKUP(H229,Списък!$B$3:$I$77,7,0),"")</f>
        <v/>
      </c>
      <c r="J229" s="128"/>
      <c r="K229" s="160" t="str">
        <f>IFERROR(VLOOKUP(J229,Списък!$B$3:$I$77,7,0),"")</f>
        <v/>
      </c>
    </row>
    <row r="230" spans="1:11" ht="12" customHeight="1">
      <c r="A230" s="145"/>
      <c r="B230" s="144" t="s">
        <v>0</v>
      </c>
      <c r="C230" s="164" t="str">
        <f>IFERROR(VLOOKUP(B230,Списък!$B$3:$I$77,7,0),"")</f>
        <v/>
      </c>
      <c r="D230" s="145" t="s">
        <v>1</v>
      </c>
      <c r="E230" s="164" t="str">
        <f>IFERROR(VLOOKUP(D230,Списък!$B$3:$I$77,7,0),"")</f>
        <v/>
      </c>
      <c r="F230" s="145" t="s">
        <v>2</v>
      </c>
      <c r="G230" s="164" t="str">
        <f>IFERROR(VLOOKUP(F230,Списък!$B$3:$I$77,7,0),"")</f>
        <v/>
      </c>
      <c r="H230" s="145" t="s">
        <v>3</v>
      </c>
      <c r="I230" s="164" t="str">
        <f>IFERROR(VLOOKUP(H230,Списък!$B$3:$I$77,7,0),"")</f>
        <v/>
      </c>
      <c r="J230" s="145" t="s">
        <v>4</v>
      </c>
      <c r="K230" s="161" t="str">
        <f>IFERROR(VLOOKUP(J230,Списък!$B$3:$I$77,7,0),"")</f>
        <v/>
      </c>
    </row>
    <row r="231" spans="1:11" ht="12" customHeight="1">
      <c r="A231" s="129">
        <v>1</v>
      </c>
      <c r="B231" s="12" t="str">
        <f>VLOOKUP('Програма-кодове'!F30,Списък!$A$1:$B$209,2,FALSE)</f>
        <v>Трифонова</v>
      </c>
      <c r="C231" s="165">
        <f>IFERROR(VLOOKUP(B231,Списък!$B$3:$I$77,7,0),"")</f>
        <v>203</v>
      </c>
      <c r="D231" s="128" t="str">
        <f>VLOOKUP('Програма-кодове'!G30,Списък!$A$1:$B$209,2,FALSE)</f>
        <v>Вълчева</v>
      </c>
      <c r="E231" s="165">
        <f>IFERROR(VLOOKUP(D231,Списък!$B$3:$I$77,7,0),"")</f>
        <v>201</v>
      </c>
      <c r="F231" s="128" t="str">
        <f>VLOOKUP('Програма-кодове'!H30,Списък!$A$1:$B$209,2,FALSE)</f>
        <v>Гинева</v>
      </c>
      <c r="G231" s="165">
        <f>IFERROR(VLOOKUP(F231,Списък!$B$3:$I$77,7,0),"")</f>
        <v>102</v>
      </c>
      <c r="H231" s="128" t="str">
        <f>VLOOKUP('Програма-кодове'!I30,Списък!$A$1:$B$209,2,FALSE)</f>
        <v>Г. Тодорова</v>
      </c>
      <c r="I231" s="165">
        <f>IFERROR(VLOOKUP(H231,Списък!$B$3:$I$77,7,0),"")</f>
        <v>103</v>
      </c>
      <c r="J231" s="128" t="str">
        <f>VLOOKUP('Програма-кодове'!J30,Списък!$A$1:$B$209,2,FALSE)</f>
        <v>Колева</v>
      </c>
      <c r="K231" s="160">
        <f>IFERROR(VLOOKUP(J231,Списък!$B$3:$I$77,7,0),"")</f>
        <v>202</v>
      </c>
    </row>
    <row r="232" spans="1:11" ht="12" customHeight="1">
      <c r="A232" s="129">
        <v>2</v>
      </c>
      <c r="B232" s="12" t="str">
        <f>VLOOKUP('Програма-кодове'!F31,Списък!$A$1:$B$209,2,FALSE)</f>
        <v>Трифонова</v>
      </c>
      <c r="C232" s="165">
        <f>IFERROR(VLOOKUP(B232,Списък!$B$3:$I$77,7,0),"")</f>
        <v>203</v>
      </c>
      <c r="D232" s="128" t="str">
        <f>VLOOKUP('Програма-кодове'!G31,Списък!$A$1:$B$209,2,FALSE)</f>
        <v>Вълчева</v>
      </c>
      <c r="E232" s="165">
        <f>IFERROR(VLOOKUP(D232,Списък!$B$3:$I$77,7,0),"")</f>
        <v>201</v>
      </c>
      <c r="F232" s="128" t="str">
        <f>VLOOKUP('Програма-кодове'!H31,Списък!$A$1:$B$209,2,FALSE)</f>
        <v>Гинева</v>
      </c>
      <c r="G232" s="165">
        <f>IFERROR(VLOOKUP(F232,Списък!$B$3:$I$77,7,0),"")</f>
        <v>102</v>
      </c>
      <c r="H232" s="128" t="str">
        <f>VLOOKUP('Програма-кодове'!I31,Списък!$A$1:$B$209,2,FALSE)</f>
        <v>Г. Тодорова</v>
      </c>
      <c r="I232" s="165">
        <f>IFERROR(VLOOKUP(H232,Списък!$B$3:$I$77,7,0),"")</f>
        <v>103</v>
      </c>
      <c r="J232" s="128" t="str">
        <f>VLOOKUP('Програма-кодове'!J31,Списък!$A$1:$B$209,2,FALSE)</f>
        <v>Трандев</v>
      </c>
      <c r="K232" s="160" t="str">
        <f>IFERROR(VLOOKUP(J232,Списък!$B$3:$I$77,7,0),"")</f>
        <v>ФС</v>
      </c>
    </row>
    <row r="233" spans="1:11" ht="12" customHeight="1">
      <c r="A233" s="129">
        <v>3</v>
      </c>
      <c r="B233" s="12" t="str">
        <f>VLOOKUP('Програма-кодове'!F32,Списък!$A$1:$B$209,2,FALSE)</f>
        <v>Спасова</v>
      </c>
      <c r="C233" s="165">
        <f>IFERROR(VLOOKUP(B233,Списък!$B$3:$I$77,7,0),"")</f>
        <v>205</v>
      </c>
      <c r="D233" s="128" t="str">
        <f>VLOOKUP('Програма-кодове'!G32,Списък!$A$1:$B$209,2,FALSE)</f>
        <v>Гочева</v>
      </c>
      <c r="E233" s="165">
        <f>IFERROR(VLOOKUP(D233,Списък!$B$3:$I$77,7,0),"")</f>
        <v>301</v>
      </c>
      <c r="F233" s="128" t="str">
        <f>VLOOKUP('Програма-кодове'!H32,Списък!$A$1:$B$209,2,FALSE)</f>
        <v>Гинева</v>
      </c>
      <c r="G233" s="165">
        <f>IFERROR(VLOOKUP(F233,Списък!$B$3:$I$77,7,0),"")</f>
        <v>102</v>
      </c>
      <c r="H233" s="128" t="str">
        <f>VLOOKUP('Програма-кодове'!I32,Списък!$A$1:$B$209,2,FALSE)</f>
        <v>Г. Тодорова</v>
      </c>
      <c r="I233" s="165">
        <f>IFERROR(VLOOKUP(H233,Списък!$B$3:$I$77,7,0),"")</f>
        <v>103</v>
      </c>
      <c r="J233" s="128" t="str">
        <f>VLOOKUP('Програма-кодове'!J32,Списък!$A$1:$B$209,2,FALSE)</f>
        <v>Сапунджиева</v>
      </c>
      <c r="K233" s="160">
        <f>IFERROR(VLOOKUP(J233,Списък!$B$3:$I$77,7,0),"")</f>
        <v>104</v>
      </c>
    </row>
    <row r="234" spans="1:11" ht="12" customHeight="1">
      <c r="A234" s="129">
        <v>4</v>
      </c>
      <c r="B234" s="12" t="str">
        <f>VLOOKUP('Програма-кодове'!F33,Списък!$A$1:$B$209,2,FALSE)</f>
        <v>Спасова</v>
      </c>
      <c r="C234" s="165">
        <f>IFERROR(VLOOKUP(B234,Списък!$B$3:$I$77,7,0),"")</f>
        <v>205</v>
      </c>
      <c r="D234" s="128" t="str">
        <f>VLOOKUP('Програма-кодове'!G33,Списък!$A$1:$B$209,2,FALSE)</f>
        <v>Габарова</v>
      </c>
      <c r="E234" s="165">
        <f>IFERROR(VLOOKUP(D234,Списък!$B$3:$I$77,7,0),"")</f>
        <v>206</v>
      </c>
      <c r="F234" s="128" t="str">
        <f>VLOOKUP('Програма-кодове'!H33,Списък!$A$1:$B$209,2,FALSE)</f>
        <v>Гинева</v>
      </c>
      <c r="G234" s="165">
        <f>IFERROR(VLOOKUP(F234,Списък!$B$3:$I$77,7,0),"")</f>
        <v>102</v>
      </c>
      <c r="H234" s="128" t="str">
        <f>VLOOKUP('Програма-кодове'!I33,Списък!$A$1:$B$209,2,FALSE)</f>
        <v>Петров</v>
      </c>
      <c r="I234" s="165">
        <f>IFERROR(VLOOKUP(H234,Списък!$B$3:$I$77,7,0),"")</f>
        <v>112</v>
      </c>
      <c r="J234" s="128" t="str">
        <f>VLOOKUP('Програма-кодове'!J33,Списък!$A$1:$B$209,2,FALSE)</f>
        <v>Сапунджиева</v>
      </c>
      <c r="K234" s="160">
        <f>IFERROR(VLOOKUP(J234,Списък!$B$3:$I$77,7,0),"")</f>
        <v>104</v>
      </c>
    </row>
    <row r="235" spans="1:11" ht="12" customHeight="1">
      <c r="A235" s="129">
        <v>5</v>
      </c>
      <c r="B235" s="12" t="str">
        <f>VLOOKUP('Програма-кодове'!F34,Списък!$A$1:$B$209,2,FALSE)</f>
        <v>Спасова</v>
      </c>
      <c r="C235" s="165">
        <f>IFERROR(VLOOKUP(B235,Списък!$B$3:$I$77,7,0),"")</f>
        <v>205</v>
      </c>
      <c r="D235" s="128" t="str">
        <f>VLOOKUP('Програма-кодове'!G34,Списък!$A$1:$B$209,2,FALSE)</f>
        <v>Габарова</v>
      </c>
      <c r="E235" s="165">
        <f>IFERROR(VLOOKUP(D235,Списък!$B$3:$I$77,7,0),"")</f>
        <v>206</v>
      </c>
      <c r="F235" s="128" t="str">
        <f>VLOOKUP('Програма-кодове'!H34,Списък!$A$1:$B$209,2,FALSE)</f>
        <v>Трандев</v>
      </c>
      <c r="G235" s="165" t="str">
        <f>IFERROR(VLOOKUP(F235,Списък!$B$3:$I$77,7,0),"")</f>
        <v>ФС</v>
      </c>
      <c r="H235" s="128" t="str">
        <f>VLOOKUP('Програма-кодове'!I34,Списък!$A$1:$B$209,2,FALSE)</f>
        <v>Трифонова</v>
      </c>
      <c r="I235" s="165">
        <f>IFERROR(VLOOKUP(H235,Списък!$B$3:$I$77,7,0),"")</f>
        <v>203</v>
      </c>
      <c r="J235" s="128" t="str">
        <f>VLOOKUP('Програма-кодове'!J34,Списък!$A$1:$B$209,2,FALSE)</f>
        <v>Сапунджиева</v>
      </c>
      <c r="K235" s="160">
        <f>IFERROR(VLOOKUP(J235,Списък!$B$3:$I$77,7,0),"")</f>
        <v>104</v>
      </c>
    </row>
    <row r="236" spans="1:11" ht="12" customHeight="1">
      <c r="A236" s="129">
        <v>6</v>
      </c>
      <c r="B236" s="12" t="str">
        <f>VLOOKUP('Програма-кодове'!F35,Списък!$A$1:$B$209,2,FALSE)</f>
        <v>Спасова</v>
      </c>
      <c r="C236" s="165">
        <f>IFERROR(VLOOKUP(B236,Списък!$B$3:$I$77,7,0),"")</f>
        <v>205</v>
      </c>
      <c r="D236" s="128" t="str">
        <f>VLOOKUP('Програма-кодове'!G35,Списък!$A$1:$B$209,2,FALSE)</f>
        <v>Габарова</v>
      </c>
      <c r="E236" s="165">
        <f>IFERROR(VLOOKUP(D236,Списък!$B$3:$I$77,7,0),"")</f>
        <v>206</v>
      </c>
      <c r="F236" s="128" t="str">
        <f>VLOOKUP('Програма-кодове'!H35,Списък!$A$1:$B$209,2,FALSE)</f>
        <v>Н. Николова</v>
      </c>
      <c r="G236" s="165" t="str">
        <f>IFERROR(VLOOKUP(F236,Списък!$B$3:$I$77,7,0),"")</f>
        <v>201/202/203/205/206</v>
      </c>
      <c r="H236" s="128" t="str">
        <f>VLOOKUP('Програма-кодове'!I35,Списък!$A$1:$B$209,2,FALSE)</f>
        <v>Трифонова</v>
      </c>
      <c r="I236" s="165">
        <f>IFERROR(VLOOKUP(H236,Списък!$B$3:$I$77,7,0),"")</f>
        <v>203</v>
      </c>
      <c r="J236" s="128" t="str">
        <f>VLOOKUP('Програма-кодове'!J35,Списък!$A$1:$B$209,2,FALSE)</f>
        <v>Сапунджиева</v>
      </c>
      <c r="K236" s="160">
        <f>IFERROR(VLOOKUP(J236,Списък!$B$3:$I$77,7,0),"")</f>
        <v>104</v>
      </c>
    </row>
    <row r="237" spans="1:11" ht="12" customHeight="1">
      <c r="A237" s="129">
        <v>7</v>
      </c>
      <c r="B237" s="12">
        <f>VLOOKUP('Програма-кодове'!F36,Списък!$A$1:$B$209,2,FALSE)</f>
        <v>0</v>
      </c>
      <c r="C237" s="165" t="str">
        <f>IFERROR(VLOOKUP(B237,Списък!$B$3:$I$77,7,0),"")</f>
        <v/>
      </c>
      <c r="D237" s="128">
        <f>VLOOKUP('Програма-кодове'!G36,Списък!$A$1:$B$209,2,FALSE)</f>
        <v>0</v>
      </c>
      <c r="E237" s="165" t="str">
        <f>IFERROR(VLOOKUP(D237,Списък!$B$3:$I$77,7,0),"")</f>
        <v/>
      </c>
      <c r="F237" s="128">
        <f>VLOOKUP('Програма-кодове'!H36,Списък!$A$1:$B$209,2,FALSE)</f>
        <v>0</v>
      </c>
      <c r="G237" s="165" t="str">
        <f>IFERROR(VLOOKUP(F237,Списък!$B$3:$I$77,7,0),"")</f>
        <v/>
      </c>
      <c r="H237" s="128">
        <f>VLOOKUP('Програма-кодове'!I36,Списък!$A$1:$B$209,2,FALSE)</f>
        <v>0</v>
      </c>
      <c r="I237" s="165" t="str">
        <f>IFERROR(VLOOKUP(H237,Списък!$B$3:$I$77,7,0),"")</f>
        <v/>
      </c>
      <c r="J237" s="128">
        <f>VLOOKUP('Програма-кодове'!J36,Списък!$A$1:$B$209,2,FALSE)</f>
        <v>0</v>
      </c>
      <c r="K237" s="160" t="str">
        <f>IFERROR(VLOOKUP(J237,Списък!$B$3:$I$77,7,0),"")</f>
        <v/>
      </c>
    </row>
    <row r="238" spans="1:11" ht="3" customHeight="1">
      <c r="A238" s="129"/>
      <c r="C238" s="165" t="str">
        <f>IFERROR(VLOOKUP(B238,Списък!$B$3:$I$77,7,0),"")</f>
        <v/>
      </c>
      <c r="D238" s="128"/>
      <c r="E238" s="165" t="str">
        <f>IFERROR(VLOOKUP(D238,Списък!$B$3:$I$77,7,0),"")</f>
        <v/>
      </c>
      <c r="F238" s="128"/>
      <c r="G238" s="165" t="str">
        <f>IFERROR(VLOOKUP(F238,Списък!$B$3:$I$77,7,0),"")</f>
        <v/>
      </c>
      <c r="H238" s="128"/>
      <c r="I238" s="165" t="str">
        <f>IFERROR(VLOOKUP(H238,Списък!$B$3:$I$77,7,0),"")</f>
        <v/>
      </c>
      <c r="J238" s="128"/>
      <c r="K238" s="160" t="str">
        <f>IFERROR(VLOOKUP(J238,Списък!$B$3:$I$77,7,0),"")</f>
        <v/>
      </c>
    </row>
    <row r="239" spans="1:11" ht="12" customHeight="1">
      <c r="A239" s="145"/>
      <c r="B239" s="144" t="s">
        <v>5</v>
      </c>
      <c r="C239" s="164" t="str">
        <f>IFERROR(VLOOKUP(B239,Списък!$B$3:$I$77,7,0),"")</f>
        <v/>
      </c>
      <c r="D239" s="145" t="s">
        <v>6</v>
      </c>
      <c r="E239" s="164" t="str">
        <f>IFERROR(VLOOKUP(D239,Списък!$B$3:$I$77,7,0),"")</f>
        <v/>
      </c>
      <c r="F239" s="145" t="s">
        <v>7</v>
      </c>
      <c r="G239" s="164" t="str">
        <f>IFERROR(VLOOKUP(F239,Списък!$B$3:$I$77,7,0),"")</f>
        <v/>
      </c>
      <c r="H239" s="145" t="s">
        <v>8</v>
      </c>
      <c r="I239" s="164" t="str">
        <f>IFERROR(VLOOKUP(H239,Списък!$B$3:$I$77,7,0),"")</f>
        <v/>
      </c>
      <c r="J239" s="145" t="s">
        <v>9</v>
      </c>
      <c r="K239" s="161" t="str">
        <f>IFERROR(VLOOKUP(J239,Списък!$B$3:$I$77,7,0),"")</f>
        <v/>
      </c>
    </row>
    <row r="240" spans="1:11">
      <c r="A240" s="129">
        <v>1</v>
      </c>
      <c r="B240" s="12" t="str">
        <f>VLOOKUP('Програма-кодове'!K30,Списък!$A$1:$B$209,2,FALSE)</f>
        <v>Никова</v>
      </c>
      <c r="C240" s="165">
        <f>IFERROR(VLOOKUP(B240,Списък!$B$3:$I$77,7,0),"")</f>
        <v>111</v>
      </c>
      <c r="D240" s="128" t="str">
        <f>VLOOKUP('Програма-кодове'!L30,Списък!$A$1:$B$209,2,FALSE)</f>
        <v>Пецова</v>
      </c>
      <c r="E240" s="165" t="str">
        <f>IFERROR(VLOOKUP(D240,Списък!$B$3:$I$77,7,0),"")</f>
        <v>102/105/111/112</v>
      </c>
      <c r="F240" s="128" t="str">
        <f>VLOOKUP('Програма-кодове'!M30,Списък!$A$1:$B$209,2,FALSE)</f>
        <v>Латева</v>
      </c>
      <c r="G240" s="165">
        <f>IFERROR(VLOOKUP(F240,Списък!$B$3:$I$77,7,0),"")</f>
        <v>110</v>
      </c>
      <c r="H240" s="128" t="str">
        <f>VLOOKUP('Програма-кодове'!N30,Списък!$A$1:$B$209,2,FALSE)</f>
        <v>Иванова</v>
      </c>
      <c r="I240" s="165" t="str">
        <f>IFERROR(VLOOKUP(H240,Списък!$B$3:$I$77,7,0),"")</f>
        <v>104/107/202/205/206/304</v>
      </c>
      <c r="J240" s="128" t="str">
        <f>VLOOKUP('Програма-кодове'!O30,Списък!$A$1:$B$209,2,FALSE)</f>
        <v>Гюлева</v>
      </c>
      <c r="K240" s="160">
        <f>IFERROR(VLOOKUP(J240,Списък!$B$3:$I$77,7,0),"")</f>
        <v>204</v>
      </c>
    </row>
    <row r="241" spans="1:11">
      <c r="A241" s="129">
        <v>2</v>
      </c>
      <c r="B241" s="12" t="str">
        <f>VLOOKUP('Програма-кодове'!K31,Списък!$A$1:$B$209,2,FALSE)</f>
        <v>Влашинска</v>
      </c>
      <c r="C241" s="165" t="str">
        <f>IFERROR(VLOOKUP(B241,Списък!$B$3:$I$77,7,0),"")</f>
        <v>212/214/215/217</v>
      </c>
      <c r="D241" s="128" t="str">
        <f>VLOOKUP('Програма-кодове'!L31,Списък!$A$1:$B$209,2,FALSE)</f>
        <v>Филипова</v>
      </c>
      <c r="E241" s="165" t="str">
        <f>IFERROR(VLOOKUP(D241,Списък!$B$3:$I$77,7,0),"")</f>
        <v>109/110/301/302/306</v>
      </c>
      <c r="F241" s="128" t="str">
        <f>VLOOKUP('Програма-кодове'!M31,Списък!$A$1:$B$209,2,FALSE)</f>
        <v>Гюлева</v>
      </c>
      <c r="G241" s="165">
        <f>IFERROR(VLOOKUP(F241,Списък!$B$3:$I$77,7,0),"")</f>
        <v>204</v>
      </c>
      <c r="H241" s="128" t="str">
        <f>VLOOKUP('Програма-кодове'!N31,Списък!$A$1:$B$209,2,FALSE)</f>
        <v>Иванова</v>
      </c>
      <c r="I241" s="165" t="str">
        <f>IFERROR(VLOOKUP(H241,Списък!$B$3:$I$77,7,0),"")</f>
        <v>104/107/202/205/206/304</v>
      </c>
      <c r="J241" s="128" t="str">
        <f>VLOOKUP('Програма-кодове'!O31,Списък!$A$1:$B$209,2,FALSE)</f>
        <v>Латева</v>
      </c>
      <c r="K241" s="160">
        <f>IFERROR(VLOOKUP(J241,Списък!$B$3:$I$77,7,0),"")</f>
        <v>110</v>
      </c>
    </row>
    <row r="242" spans="1:11">
      <c r="A242" s="129">
        <v>3</v>
      </c>
      <c r="B242" s="12" t="str">
        <f>VLOOKUP('Програма-кодове'!K32,Списък!$A$1:$B$209,2,FALSE)</f>
        <v>Минчева</v>
      </c>
      <c r="C242" s="165" t="str">
        <f>IFERROR(VLOOKUP(B242,Списък!$B$3:$I$77,7,0),"")</f>
        <v>212/214/215/217</v>
      </c>
      <c r="D242" s="128" t="str">
        <f>VLOOKUP('Програма-кодове'!L32,Списък!$A$1:$B$209,2,FALSE)</f>
        <v>Гюлева</v>
      </c>
      <c r="E242" s="165">
        <f>IFERROR(VLOOKUP(D242,Списък!$B$3:$I$77,7,0),"")</f>
        <v>204</v>
      </c>
      <c r="F242" s="128" t="str">
        <f>VLOOKUP('Програма-кодове'!M32,Списък!$A$1:$B$209,2,FALSE)</f>
        <v>Никова</v>
      </c>
      <c r="G242" s="165">
        <f>IFERROR(VLOOKUP(F242,Списък!$B$3:$I$77,7,0),"")</f>
        <v>111</v>
      </c>
      <c r="H242" s="128" t="str">
        <f>VLOOKUP('Програма-кодове'!N32,Списък!$A$1:$B$209,2,FALSE)</f>
        <v>Латева</v>
      </c>
      <c r="I242" s="165">
        <f>IFERROR(VLOOKUP(H242,Списък!$B$3:$I$77,7,0),"")</f>
        <v>110</v>
      </c>
      <c r="J242" s="128" t="str">
        <f>VLOOKUP('Програма-кодове'!O32,Списък!$A$1:$B$209,2,FALSE)</f>
        <v>Влашинска</v>
      </c>
      <c r="K242" s="160" t="str">
        <f>IFERROR(VLOOKUP(J242,Списък!$B$3:$I$77,7,0),"")</f>
        <v>212/214/215/217</v>
      </c>
    </row>
    <row r="243" spans="1:11">
      <c r="A243" s="129">
        <v>4</v>
      </c>
      <c r="B243" s="12" t="str">
        <f>VLOOKUP('Програма-кодове'!K33,Списък!$A$1:$B$209,2,FALSE)</f>
        <v>Тонева</v>
      </c>
      <c r="C243" s="165" t="str">
        <f>IFERROR(VLOOKUP(B243,Списък!$B$3:$I$77,7,0),"")</f>
        <v>ФС</v>
      </c>
      <c r="D243" s="128" t="str">
        <f>VLOOKUP('Програма-кодове'!L33,Списък!$A$1:$B$209,2,FALSE)</f>
        <v>Иванова</v>
      </c>
      <c r="E243" s="165" t="str">
        <f>IFERROR(VLOOKUP(D243,Списък!$B$3:$I$77,7,0),"")</f>
        <v>104/107/202/205/206/304</v>
      </c>
      <c r="F243" s="128" t="str">
        <f>VLOOKUP('Програма-кодове'!M33,Списък!$A$1:$B$209,2,FALSE)</f>
        <v>Конгалов</v>
      </c>
      <c r="G243" s="165" t="str">
        <f>IFERROR(VLOOKUP(F243,Списък!$B$3:$I$77,7,0),"")</f>
        <v>ФС</v>
      </c>
      <c r="H243" s="128" t="str">
        <f>VLOOKUP('Програма-кодове'!N33,Списък!$A$1:$B$209,2,FALSE)</f>
        <v>Латева</v>
      </c>
      <c r="I243" s="165">
        <f>IFERROR(VLOOKUP(H243,Списък!$B$3:$I$77,7,0),"")</f>
        <v>110</v>
      </c>
      <c r="J243" s="128" t="str">
        <f>VLOOKUP('Програма-кодове'!O33,Списък!$A$1:$B$209,2,FALSE)</f>
        <v>Христонова/Янева</v>
      </c>
      <c r="K243" s="160" t="str">
        <f>IFERROR(VLOOKUP(J243,Списък!$B$3:$I$77,7,0),"")</f>
        <v>КК7/КК8</v>
      </c>
    </row>
    <row r="244" spans="1:11">
      <c r="A244" s="129">
        <v>5</v>
      </c>
      <c r="B244" s="12" t="str">
        <f>VLOOKUP('Програма-кодове'!K34,Списък!$A$1:$B$209,2,FALSE)</f>
        <v>Краева</v>
      </c>
      <c r="C244" s="165">
        <f>IFERROR(VLOOKUP(B244,Списък!$B$3:$I$77,7,0),"")</f>
        <v>306</v>
      </c>
      <c r="D244" s="128" t="str">
        <f>VLOOKUP('Програма-кодове'!L34,Списък!$A$1:$B$209,2,FALSE)</f>
        <v>Минчева</v>
      </c>
      <c r="E244" s="165" t="str">
        <f>IFERROR(VLOOKUP(D244,Списък!$B$3:$I$77,7,0),"")</f>
        <v>212/214/215/217</v>
      </c>
      <c r="F244" s="128" t="str">
        <f>VLOOKUP('Програма-кодове'!M34,Списък!$A$1:$B$209,2,FALSE)</f>
        <v>Христонова/Янева</v>
      </c>
      <c r="G244" s="165" t="str">
        <f>IFERROR(VLOOKUP(F244,Списък!$B$3:$I$77,7,0),"")</f>
        <v>КК7/КК8</v>
      </c>
      <c r="H244" s="128" t="str">
        <f>VLOOKUP('Програма-кодове'!N34,Списък!$A$1:$B$209,2,FALSE)</f>
        <v>Влашинска</v>
      </c>
      <c r="I244" s="165" t="str">
        <f>IFERROR(VLOOKUP(H244,Списък!$B$3:$I$77,7,0),"")</f>
        <v>212/214/215/217</v>
      </c>
      <c r="J244" s="128" t="str">
        <f>VLOOKUP('Програма-кодове'!O34,Списък!$A$1:$B$209,2,FALSE)</f>
        <v>Иванова</v>
      </c>
      <c r="K244" s="160" t="str">
        <f>IFERROR(VLOOKUP(J244,Списък!$B$3:$I$77,7,0),"")</f>
        <v>104/107/202/205/206/304</v>
      </c>
    </row>
    <row r="245" spans="1:11">
      <c r="A245" s="129">
        <v>6</v>
      </c>
      <c r="B245" s="12" t="str">
        <f>VLOOKUP('Програма-кодове'!K35,Списък!$A$1:$B$209,2,FALSE)</f>
        <v>Гюлева</v>
      </c>
      <c r="C245" s="165">
        <f>IFERROR(VLOOKUP(B245,Списък!$B$3:$I$77,7,0),"")</f>
        <v>204</v>
      </c>
      <c r="D245" s="128" t="str">
        <f>VLOOKUP('Програма-кодове'!L35,Списък!$A$1:$B$209,2,FALSE)</f>
        <v>Никова</v>
      </c>
      <c r="E245" s="165">
        <f>IFERROR(VLOOKUP(D245,Списък!$B$3:$I$77,7,0),"")</f>
        <v>111</v>
      </c>
      <c r="F245" s="128" t="str">
        <f>VLOOKUP('Програма-кодове'!M35,Списък!$A$1:$B$209,2,FALSE)</f>
        <v>Минчева</v>
      </c>
      <c r="G245" s="165" t="str">
        <f>IFERROR(VLOOKUP(F245,Списък!$B$3:$I$77,7,0),"")</f>
        <v>212/214/215/217</v>
      </c>
      <c r="H245" s="128" t="str">
        <f>VLOOKUP('Програма-кодове'!N35,Списък!$A$1:$B$209,2,FALSE)</f>
        <v>Христонова/Янева</v>
      </c>
      <c r="I245" s="165" t="str">
        <f>IFERROR(VLOOKUP(H245,Списък!$B$3:$I$77,7,0),"")</f>
        <v>КК7/КК8</v>
      </c>
      <c r="J245" s="128" t="str">
        <f>VLOOKUP('Програма-кодове'!O35,Списък!$A$1:$B$209,2,FALSE)</f>
        <v>Иванова</v>
      </c>
      <c r="K245" s="160" t="str">
        <f>IFERROR(VLOOKUP(J245,Списък!$B$3:$I$77,7,0),"")</f>
        <v>104/107/202/205/206/304</v>
      </c>
    </row>
    <row r="246" spans="1:11">
      <c r="A246" s="129">
        <v>7</v>
      </c>
      <c r="B246" s="12">
        <f>VLOOKUP('Програма-кодове'!K36,Списък!$A$1:$B$209,2,FALSE)</f>
        <v>0</v>
      </c>
      <c r="C246" s="165" t="str">
        <f>IFERROR(VLOOKUP(B246,Списък!$B$3:$I$77,7,0),"")</f>
        <v/>
      </c>
      <c r="D246" s="128">
        <f>VLOOKUP('Програма-кодове'!L36,Списък!$A$1:$B$209,2,FALSE)</f>
        <v>0</v>
      </c>
      <c r="E246" s="165" t="str">
        <f>IFERROR(VLOOKUP(D246,Списък!$B$3:$I$77,7,0),"")</f>
        <v/>
      </c>
      <c r="F246" s="128">
        <f>VLOOKUP('Програма-кодове'!M36,Списък!$A$1:$B$209,2,FALSE)</f>
        <v>0</v>
      </c>
      <c r="G246" s="165" t="str">
        <f>IFERROR(VLOOKUP(F246,Списък!$B$3:$I$77,7,0),"")</f>
        <v/>
      </c>
      <c r="H246" s="128">
        <f>VLOOKUP('Програма-кодове'!N36,Списък!$A$1:$B$209,2,FALSE)</f>
        <v>0</v>
      </c>
      <c r="I246" s="165" t="str">
        <f>IFERROR(VLOOKUP(H246,Списък!$B$3:$I$77,7,0),"")</f>
        <v/>
      </c>
      <c r="J246" s="128">
        <f>VLOOKUP('Програма-кодове'!O36,Списък!$A$1:$B$209,2,FALSE)</f>
        <v>0</v>
      </c>
      <c r="K246" s="160" t="str">
        <f>IFERROR(VLOOKUP(J246,Списък!$B$3:$I$77,7,0),"")</f>
        <v/>
      </c>
    </row>
    <row r="247" spans="1:11" ht="3" customHeight="1">
      <c r="A247" s="129">
        <v>7</v>
      </c>
      <c r="C247" s="165"/>
      <c r="D247" s="128"/>
      <c r="E247" s="165"/>
      <c r="F247" s="128"/>
      <c r="G247" s="165"/>
      <c r="H247" s="128"/>
      <c r="I247" s="165"/>
      <c r="J247" s="128"/>
      <c r="K247" s="160"/>
    </row>
    <row r="248" spans="1:11" ht="12" customHeight="1">
      <c r="A248" s="145"/>
      <c r="B248" s="144" t="s">
        <v>10</v>
      </c>
      <c r="C248" s="164" t="str">
        <f>IFERROR(VLOOKUP(B248,Списък!$B$3:$I$77,7,0),"")</f>
        <v/>
      </c>
      <c r="D248" s="145" t="s">
        <v>11</v>
      </c>
      <c r="E248" s="164" t="str">
        <f>IFERROR(VLOOKUP(D248,Списък!$B$3:$I$77,7,0),"")</f>
        <v/>
      </c>
      <c r="F248" s="145" t="s">
        <v>12</v>
      </c>
      <c r="G248" s="164" t="str">
        <f>IFERROR(VLOOKUP(F248,Списък!$B$3:$I$77,7,0),"")</f>
        <v/>
      </c>
      <c r="H248" s="145" t="s">
        <v>13</v>
      </c>
      <c r="I248" s="164" t="str">
        <f>IFERROR(VLOOKUP(H248,Списък!$B$3:$I$77,7,0),"")</f>
        <v/>
      </c>
      <c r="J248" s="145" t="s">
        <v>14</v>
      </c>
      <c r="K248" s="161" t="str">
        <f>IFERROR(VLOOKUP(J248,Списък!$B$3:$I$77,7,0),"")</f>
        <v/>
      </c>
    </row>
    <row r="249" spans="1:11">
      <c r="A249" s="129">
        <v>1</v>
      </c>
      <c r="B249" s="12" t="str">
        <f>VLOOKUP('Програма-кодове'!P30,Списък!$A$1:$B$209,2,FALSE)</f>
        <v>Данева</v>
      </c>
      <c r="C249" s="165">
        <f>IFERROR(VLOOKUP(B249,Списък!$B$3:$I$77,7,0),"")</f>
        <v>101</v>
      </c>
      <c r="D249" s="128" t="str">
        <f>VLOOKUP('Програма-кодове'!Q30,Списък!$A$1:$B$209,2,FALSE)</f>
        <v>Киркова/К. Петрова</v>
      </c>
      <c r="E249" s="165" t="str">
        <f>IFERROR(VLOOKUP(D249,Списък!$B$3:$I$77,7,0),"")</f>
        <v>КК7/КК1</v>
      </c>
      <c r="F249" s="128" t="str">
        <f>VLOOKUP('Програма-кодове'!R30,Списък!$A$1:$B$209,2,FALSE)</f>
        <v>Влашинска</v>
      </c>
      <c r="G249" s="165" t="str">
        <f>IFERROR(VLOOKUP(F249,Списък!$B$3:$I$77,7,0),"")</f>
        <v>212/214/215/217</v>
      </c>
      <c r="H249" s="128" t="str">
        <f>VLOOKUP('Програма-кодове'!S30,Списък!$A$1:$B$209,2,FALSE)</f>
        <v>Петров ФВС</v>
      </c>
      <c r="I249" s="165" t="str">
        <f>IFERROR(VLOOKUP(H249,Списък!$B$3:$I$77,7,0),"")</f>
        <v>ФС</v>
      </c>
      <c r="J249" s="128" t="str">
        <f>VLOOKUP('Програма-кодове'!T30,Списък!$A$1:$B$209,2,FALSE)</f>
        <v>Паронова</v>
      </c>
      <c r="K249" s="160" t="str">
        <f>IFERROR(VLOOKUP(J249,Списък!$B$3:$I$77,7,0),"")</f>
        <v>212/214/215/217</v>
      </c>
    </row>
    <row r="250" spans="1:11">
      <c r="A250" s="129">
        <v>2</v>
      </c>
      <c r="B250" s="12" t="str">
        <f>VLOOKUP('Програма-кодове'!P31,Списък!$A$1:$B$209,2,FALSE)</f>
        <v>Паронова</v>
      </c>
      <c r="C250" s="165" t="str">
        <f>IFERROR(VLOOKUP(B250,Списък!$B$3:$I$77,7,0),"")</f>
        <v>212/214/215/217</v>
      </c>
      <c r="D250" s="128" t="str">
        <f>VLOOKUP('Програма-кодове'!Q31,Списък!$A$1:$B$209,2,FALSE)</f>
        <v>Кръстева</v>
      </c>
      <c r="E250" s="165">
        <f>IFERROR(VLOOKUP(D250,Списък!$B$3:$I$77,7,0),"")</f>
        <v>302</v>
      </c>
      <c r="F250" s="128" t="str">
        <f>VLOOKUP('Програма-кодове'!R31,Списък!$A$1:$B$209,2,FALSE)</f>
        <v>Киркова/К. Петрова</v>
      </c>
      <c r="G250" s="165" t="str">
        <f>IFERROR(VLOOKUP(F250,Списък!$B$3:$I$77,7,0),"")</f>
        <v>КК7/КК1</v>
      </c>
      <c r="H250" s="128" t="str">
        <f>VLOOKUP('Програма-кодове'!S31,Списък!$A$1:$B$209,2,FALSE)</f>
        <v>Данева</v>
      </c>
      <c r="I250" s="165">
        <f>IFERROR(VLOOKUP(H250,Списък!$B$3:$I$77,7,0),"")</f>
        <v>101</v>
      </c>
      <c r="J250" s="128" t="str">
        <f>VLOOKUP('Програма-кодове'!T31,Списък!$A$1:$B$209,2,FALSE)</f>
        <v>Коларова</v>
      </c>
      <c r="K250" s="160" t="str">
        <f>IFERROR(VLOOKUP(J250,Списък!$B$3:$I$77,7,0),"")</f>
        <v>212/214/215/217</v>
      </c>
    </row>
    <row r="251" spans="1:11">
      <c r="A251" s="129">
        <v>3</v>
      </c>
      <c r="B251" s="12" t="str">
        <f>VLOOKUP('Програма-кодове'!P32,Списък!$A$1:$B$209,2,FALSE)</f>
        <v>Трандев</v>
      </c>
      <c r="C251" s="165" t="str">
        <f>IFERROR(VLOOKUP(B251,Списък!$B$3:$I$77,7,0),"")</f>
        <v>ФС</v>
      </c>
      <c r="D251" s="128" t="str">
        <f>VLOOKUP('Програма-кодове'!Q32,Списък!$A$1:$B$209,2,FALSE)</f>
        <v>Габарова</v>
      </c>
      <c r="E251" s="165">
        <f>IFERROR(VLOOKUP(D251,Списък!$B$3:$I$77,7,0),"")</f>
        <v>206</v>
      </c>
      <c r="F251" s="128" t="str">
        <f>VLOOKUP('Програма-кодове'!R32,Списък!$A$1:$B$209,2,FALSE)</f>
        <v>Кръстева</v>
      </c>
      <c r="G251" s="165">
        <f>IFERROR(VLOOKUP(F251,Списък!$B$3:$I$77,7,0),"")</f>
        <v>302</v>
      </c>
      <c r="H251" s="128" t="str">
        <f>VLOOKUP('Програма-кодове'!S32,Списък!$A$1:$B$209,2,FALSE)</f>
        <v>Кирилова</v>
      </c>
      <c r="I251" s="165">
        <f>IFERROR(VLOOKUP(H251,Списък!$B$3:$I$77,7,0),"")</f>
        <v>108</v>
      </c>
      <c r="J251" s="128" t="str">
        <f>VLOOKUP('Програма-кодове'!T32,Списък!$A$1:$B$209,2,FALSE)</f>
        <v>Коларова</v>
      </c>
      <c r="K251" s="160" t="str">
        <f>IFERROR(VLOOKUP(J251,Списък!$B$3:$I$77,7,0),"")</f>
        <v>212/214/215/217</v>
      </c>
    </row>
    <row r="252" spans="1:11">
      <c r="A252" s="129">
        <v>4</v>
      </c>
      <c r="B252" s="12" t="str">
        <f>VLOOKUP('Програма-кодове'!P33,Списък!$A$1:$B$209,2,FALSE)</f>
        <v>Клисарова</v>
      </c>
      <c r="C252" s="165">
        <f>IFERROR(VLOOKUP(B252,Списък!$B$3:$I$77,7,0),"")</f>
        <v>305</v>
      </c>
      <c r="D252" s="128" t="str">
        <f>VLOOKUP('Програма-кодове'!Q33,Списък!$A$1:$B$209,2,FALSE)</f>
        <v>Влашинска</v>
      </c>
      <c r="E252" s="165" t="str">
        <f>IFERROR(VLOOKUP(D252,Списък!$B$3:$I$77,7,0),"")</f>
        <v>212/214/215/217</v>
      </c>
      <c r="F252" s="128" t="str">
        <f>VLOOKUP('Програма-кодове'!R33,Списък!$A$1:$B$209,2,FALSE)</f>
        <v>Костова</v>
      </c>
      <c r="G252" s="165" t="str">
        <f>IFERROR(VLOOKUP(F252,Списък!$B$3:$I$77,7,0),"")</f>
        <v>212/214/215/217</v>
      </c>
      <c r="H252" s="128" t="str">
        <f>VLOOKUP('Програма-кодове'!S33,Списък!$A$1:$B$209,2,FALSE)</f>
        <v>Кирилова</v>
      </c>
      <c r="I252" s="165">
        <f>IFERROR(VLOOKUP(H252,Списък!$B$3:$I$77,7,0),"")</f>
        <v>108</v>
      </c>
      <c r="J252" s="128" t="str">
        <f>VLOOKUP('Програма-кодове'!T33,Списък!$A$1:$B$209,2,FALSE)</f>
        <v>Вълчева</v>
      </c>
      <c r="K252" s="160">
        <f>IFERROR(VLOOKUP(J252,Списък!$B$3:$I$77,7,0),"")</f>
        <v>201</v>
      </c>
    </row>
    <row r="253" spans="1:11">
      <c r="A253" s="129">
        <v>5</v>
      </c>
      <c r="B253" s="12" t="str">
        <f>VLOOKUP('Програма-кодове'!P34,Списък!$A$1:$B$209,2,FALSE)</f>
        <v>Вълчева</v>
      </c>
      <c r="C253" s="165">
        <f>IFERROR(VLOOKUP(B253,Списък!$B$3:$I$77,7,0),"")</f>
        <v>201</v>
      </c>
      <c r="D253" s="128" t="str">
        <f>VLOOKUP('Програма-кодове'!Q34,Списък!$A$1:$B$209,2,FALSE)</f>
        <v>В. Иванова</v>
      </c>
      <c r="E253" s="165">
        <f>IFERROR(VLOOKUP(D253,Списък!$B$3:$I$77,7,0),"")</f>
        <v>109</v>
      </c>
      <c r="F253" s="128" t="str">
        <f>VLOOKUP('Програма-кодове'!R34,Списък!$A$1:$B$209,2,FALSE)</f>
        <v>Коларова</v>
      </c>
      <c r="G253" s="165" t="str">
        <f>IFERROR(VLOOKUP(F253,Списък!$B$3:$I$77,7,0),"")</f>
        <v>212/214/215/217</v>
      </c>
      <c r="H253" s="128" t="str">
        <f>VLOOKUP('Програма-кодове'!S34,Списък!$A$1:$B$209,2,FALSE)</f>
        <v>Паронова</v>
      </c>
      <c r="I253" s="165" t="str">
        <f>IFERROR(VLOOKUP(H253,Списък!$B$3:$I$77,7,0),"")</f>
        <v>212/214/215/217</v>
      </c>
      <c r="J253" s="128" t="str">
        <f>VLOOKUP('Програма-кодове'!T34,Списък!$A$1:$B$209,2,FALSE)</f>
        <v>Киров</v>
      </c>
      <c r="K253" s="160" t="str">
        <f>IFERROR(VLOOKUP(J253,Списък!$B$3:$I$77,7,0),"")</f>
        <v>109/110/111/114/102/302</v>
      </c>
    </row>
    <row r="254" spans="1:11">
      <c r="A254" s="129">
        <v>6</v>
      </c>
      <c r="B254" s="12" t="str">
        <f>VLOOKUP('Програма-кодове'!P35,Списък!$A$1:$B$209,2,FALSE)</f>
        <v>Костова</v>
      </c>
      <c r="C254" s="165" t="str">
        <f>IFERROR(VLOOKUP(B254,Списък!$B$3:$I$77,7,0),"")</f>
        <v>212/214/215/217</v>
      </c>
      <c r="D254" s="128" t="str">
        <f>VLOOKUP('Програма-кодове'!Q35,Списък!$A$1:$B$209,2,FALSE)</f>
        <v>Киров</v>
      </c>
      <c r="E254" s="165" t="str">
        <f>IFERROR(VLOOKUP(D254,Списък!$B$3:$I$77,7,0),"")</f>
        <v>109/110/111/114/102/302</v>
      </c>
      <c r="F254" s="128" t="str">
        <f>VLOOKUP('Програма-кодове'!R35,Списък!$A$1:$B$209,2,FALSE)</f>
        <v>Вълчева</v>
      </c>
      <c r="G254" s="165">
        <f>IFERROR(VLOOKUP(F254,Списък!$B$3:$I$77,7,0),"")</f>
        <v>201</v>
      </c>
      <c r="H254" s="128" t="str">
        <f>VLOOKUP('Програма-кодове'!S35,Списък!$A$1:$B$209,2,FALSE)</f>
        <v>Коларова</v>
      </c>
      <c r="I254" s="165" t="str">
        <f>IFERROR(VLOOKUP(H254,Списък!$B$3:$I$77,7,0),"")</f>
        <v>212/214/215/217</v>
      </c>
      <c r="J254" s="128" t="str">
        <f>VLOOKUP('Програма-кодове'!T35,Списък!$A$1:$B$209,2,FALSE)</f>
        <v>Клисарова</v>
      </c>
      <c r="K254" s="160">
        <f>IFERROR(VLOOKUP(J254,Списък!$B$3:$I$77,7,0),"")</f>
        <v>305</v>
      </c>
    </row>
    <row r="255" spans="1:11" ht="11.25" customHeight="1">
      <c r="A255" s="129">
        <v>7</v>
      </c>
      <c r="B255" s="12">
        <f>VLOOKUP('Програма-кодове'!P36,Списък!$A$1:$B$209,2,FALSE)</f>
        <v>0</v>
      </c>
      <c r="C255" s="165" t="str">
        <f>IFERROR(VLOOKUP(B255,Списък!$B$3:$I$77,7,0),"")</f>
        <v/>
      </c>
      <c r="D255" s="128">
        <f>VLOOKUP('Програма-кодове'!Q36,Списък!$A$1:$B$209,2,FALSE)</f>
        <v>0</v>
      </c>
      <c r="E255" s="165" t="str">
        <f>IFERROR(VLOOKUP(D255,Списък!$B$3:$I$77,7,0),"")</f>
        <v/>
      </c>
      <c r="F255" s="128">
        <f>VLOOKUP('Програма-кодове'!R36,Списък!$A$1:$B$209,2,FALSE)</f>
        <v>0</v>
      </c>
      <c r="G255" s="165" t="str">
        <f>IFERROR(VLOOKUP(F255,Списък!$B$3:$I$77,7,0),"")</f>
        <v/>
      </c>
      <c r="H255" s="128">
        <f>VLOOKUP('Програма-кодове'!S36,Списък!$A$1:$B$209,2,FALSE)</f>
        <v>0</v>
      </c>
      <c r="I255" s="165" t="str">
        <f>IFERROR(VLOOKUP(H255,Списък!$B$3:$I$77,7,0),"")</f>
        <v/>
      </c>
      <c r="J255" s="128">
        <f>VLOOKUP('Програма-кодове'!T36,Списък!$A$1:$B$209,2,FALSE)</f>
        <v>0</v>
      </c>
      <c r="K255" s="160" t="str">
        <f>IFERROR(VLOOKUP(J255,Списък!$B$3:$I$77,7,0),"")</f>
        <v/>
      </c>
    </row>
    <row r="256" spans="1:11" s="13" customFormat="1" ht="3" customHeight="1">
      <c r="A256" s="141"/>
      <c r="B256" s="12"/>
      <c r="C256" s="165" t="str">
        <f>IFERROR(VLOOKUP(B256,Списък!$B$3:$I$77,7,0),"")</f>
        <v/>
      </c>
      <c r="D256" s="128"/>
      <c r="E256" s="165" t="str">
        <f>IFERROR(VLOOKUP(D256,Списък!$B$3:$I$77,7,0),"")</f>
        <v/>
      </c>
      <c r="F256" s="128"/>
      <c r="G256" s="165" t="str">
        <f>IFERROR(VLOOKUP(F256,Списък!$B$3:$I$77,7,0),"")</f>
        <v/>
      </c>
      <c r="H256" s="128"/>
      <c r="I256" s="165" t="str">
        <f>IFERROR(VLOOKUP(H256,Списък!$B$3:$I$77,7,0),"")</f>
        <v/>
      </c>
      <c r="J256" s="128"/>
      <c r="K256" s="160" t="str">
        <f>IFERROR(VLOOKUP(J256,Списък!$B$3:$I$77,7,0),"")</f>
        <v/>
      </c>
    </row>
    <row r="257" spans="1:11" ht="12" customHeight="1">
      <c r="A257" s="145"/>
      <c r="B257" s="144" t="s">
        <v>15</v>
      </c>
      <c r="C257" s="164" t="str">
        <f>IFERROR(VLOOKUP(B257,Списък!$B$3:$I$77,7,0),"")</f>
        <v/>
      </c>
      <c r="D257" s="145" t="s">
        <v>16</v>
      </c>
      <c r="E257" s="164" t="str">
        <f>IFERROR(VLOOKUP(D257,Списък!$B$3:$I$77,7,0),"")</f>
        <v/>
      </c>
      <c r="F257" s="145" t="s">
        <v>17</v>
      </c>
      <c r="G257" s="164" t="str">
        <f>IFERROR(VLOOKUP(F257,Списък!$B$3:$I$77,7,0),"")</f>
        <v/>
      </c>
      <c r="H257" s="145" t="s">
        <v>46</v>
      </c>
      <c r="I257" s="164" t="str">
        <f>IFERROR(VLOOKUP(H257,Списък!$B$3:$I$77,7,0),"")</f>
        <v/>
      </c>
      <c r="J257" s="145" t="s">
        <v>18</v>
      </c>
      <c r="K257" s="161" t="str">
        <f>IFERROR(VLOOKUP(J257,Списък!$B$3:$I$77,7,0),"")</f>
        <v/>
      </c>
    </row>
    <row r="258" spans="1:11">
      <c r="A258" s="129">
        <v>1</v>
      </c>
      <c r="B258" s="12" t="str">
        <f>VLOOKUP('Програма-кодове'!U30,Списък!$A$1:$B$210,2,FALSE)</f>
        <v>Н. Николова</v>
      </c>
      <c r="C258" s="165" t="str">
        <f>IFERROR(VLOOKUP(B258,Списък!$B$3:$I$77,7,0),"")</f>
        <v>201/202/203/205/206</v>
      </c>
      <c r="D258" s="128" t="str">
        <f>VLOOKUP('Програма-кодове'!V30,Списък!$A$1:$B$210,2,FALSE)</f>
        <v>Конгалов</v>
      </c>
      <c r="E258" s="165" t="str">
        <f>IFERROR(VLOOKUP(D258,Списък!$B$3:$I$77,7,0),"")</f>
        <v>ФС</v>
      </c>
      <c r="F258" s="128" t="str">
        <f>VLOOKUP('Програма-кодове'!W30,Списък!$A$1:$B$210,2,FALSE)</f>
        <v>Христонова/Цветков</v>
      </c>
      <c r="G258" s="165" t="str">
        <f>IFERROR(VLOOKUP(F258,Списък!$B$3:$I$77,7,0),"")</f>
        <v>КК4/КК6</v>
      </c>
      <c r="H258" s="128" t="str">
        <f>VLOOKUP('Програма-кодове'!X30,Списък!$A$1:$B$210,2,FALSE)</f>
        <v>Козалиева</v>
      </c>
      <c r="I258" s="165" t="str">
        <f>IFERROR(VLOOKUP(H258,Списък!$B$3:$I$77,7,0),"")</f>
        <v>212/214/215/217</v>
      </c>
      <c r="J258" s="128" t="str">
        <f>VLOOKUP('Програма-кодове'!Y30,Списък!$A$1:$B$210,2,FALSE)</f>
        <v>Славова</v>
      </c>
      <c r="K258" s="160">
        <f>IFERROR(VLOOKUP(J258,Списък!$B$3:$I$77,7,0),"")</f>
        <v>114</v>
      </c>
    </row>
    <row r="259" spans="1:11">
      <c r="A259" s="129">
        <v>2</v>
      </c>
      <c r="B259" s="12" t="str">
        <f>VLOOKUP('Програма-кодове'!U31,Списък!$A$1:$B$210,2,FALSE)</f>
        <v>Н. Николова</v>
      </c>
      <c r="C259" s="165" t="str">
        <f>IFERROR(VLOOKUP(B259,Списък!$B$3:$I$77,7,0),"")</f>
        <v>201/202/203/205/206</v>
      </c>
      <c r="D259" s="128" t="str">
        <f>VLOOKUP('Програма-кодове'!V31,Списък!$A$1:$B$210,2,FALSE)</f>
        <v>Чанкова</v>
      </c>
      <c r="E259" s="165">
        <f>IFERROR(VLOOKUP(D259,Списък!$B$3:$I$77,7,0),"")</f>
        <v>105</v>
      </c>
      <c r="F259" s="128" t="str">
        <f>VLOOKUP('Програма-кодове'!W31,Списък!$A$1:$B$210,2,FALSE)</f>
        <v>Конгалов</v>
      </c>
      <c r="G259" s="165" t="str">
        <f>IFERROR(VLOOKUP(F259,Списък!$B$3:$I$77,7,0),"")</f>
        <v>ФС</v>
      </c>
      <c r="H259" s="128" t="str">
        <f>VLOOKUP('Програма-кодове'!X31,Списък!$A$1:$B$210,2,FALSE)</f>
        <v>Христонова/Цветков</v>
      </c>
      <c r="I259" s="165" t="str">
        <f>IFERROR(VLOOKUP(H259,Списък!$B$3:$I$77,7,0),"")</f>
        <v>КК4/КК6</v>
      </c>
      <c r="J259" s="128" t="str">
        <f>VLOOKUP('Програма-кодове'!Y31,Списък!$A$1:$B$210,2,FALSE)</f>
        <v>Минчева</v>
      </c>
      <c r="K259" s="160" t="str">
        <f>IFERROR(VLOOKUP(J259,Списък!$B$3:$I$77,7,0),"")</f>
        <v>212/214/215/217</v>
      </c>
    </row>
    <row r="260" spans="1:11">
      <c r="A260" s="129">
        <v>3</v>
      </c>
      <c r="B260" s="12" t="str">
        <f>VLOOKUP('Програма-кодове'!U32,Списък!$A$1:$B$210,2,FALSE)</f>
        <v>Данева</v>
      </c>
      <c r="C260" s="165">
        <f>IFERROR(VLOOKUP(B260,Списък!$B$3:$I$77,7,0),"")</f>
        <v>101</v>
      </c>
      <c r="D260" s="128" t="str">
        <f>VLOOKUP('Програма-кодове'!V32,Списък!$A$1:$B$210,2,FALSE)</f>
        <v>В. Иванова</v>
      </c>
      <c r="E260" s="165">
        <f>IFERROR(VLOOKUP(D260,Списък!$B$3:$I$77,7,0),"")</f>
        <v>109</v>
      </c>
      <c r="F260" s="128" t="str">
        <f>VLOOKUP('Програма-кодове'!W32,Списък!$A$1:$B$210,2,FALSE)</f>
        <v>Чанкова</v>
      </c>
      <c r="G260" s="165">
        <f>IFERROR(VLOOKUP(F260,Списък!$B$3:$I$77,7,0),"")</f>
        <v>105</v>
      </c>
      <c r="H260" s="128" t="str">
        <f>VLOOKUP('Програма-кодове'!X32,Списък!$A$1:$B$210,2,FALSE)</f>
        <v>Даскалова</v>
      </c>
      <c r="I260" s="165" t="str">
        <f>IFERROR(VLOOKUP(H260,Списък!$B$3:$I$77,7,0),"")</f>
        <v>107/108</v>
      </c>
      <c r="J260" s="128" t="str">
        <f>VLOOKUP('Програма-кодове'!Y32,Списък!$A$1:$B$210,2,FALSE)</f>
        <v>Козалиева</v>
      </c>
      <c r="K260" s="160" t="str">
        <f>IFERROR(VLOOKUP(J260,Списък!$B$3:$I$77,7,0),"")</f>
        <v>212/214/215/217</v>
      </c>
    </row>
    <row r="261" spans="1:11">
      <c r="A261" s="129">
        <v>4</v>
      </c>
      <c r="B261" s="12" t="str">
        <f>VLOOKUP('Програма-кодове'!U33,Списък!$A$1:$B$210,2,FALSE)</f>
        <v>Козалиева</v>
      </c>
      <c r="C261" s="165" t="str">
        <f>IFERROR(VLOOKUP(B261,Списък!$B$3:$I$77,7,0),"")</f>
        <v>212/214/215/217</v>
      </c>
      <c r="D261" s="128" t="str">
        <f>VLOOKUP('Програма-кодове'!V33,Списък!$A$1:$B$210,2,FALSE)</f>
        <v>Н. Николова</v>
      </c>
      <c r="E261" s="165" t="str">
        <f>IFERROR(VLOOKUP(D261,Списък!$B$3:$I$77,7,0),"")</f>
        <v>201/202/203/205/206</v>
      </c>
      <c r="F261" s="128" t="str">
        <f>VLOOKUP('Програма-кодове'!W33,Списък!$A$1:$B$210,2,FALSE)</f>
        <v>В. Иванова</v>
      </c>
      <c r="G261" s="165">
        <f>IFERROR(VLOOKUP(F261,Списък!$B$3:$I$77,7,0),"")</f>
        <v>109</v>
      </c>
      <c r="H261" s="128" t="str">
        <f>VLOOKUP('Програма-кодове'!X33,Списък!$A$1:$B$210,2,FALSE)</f>
        <v>Гочева</v>
      </c>
      <c r="I261" s="165">
        <f>IFERROR(VLOOKUP(H261,Списък!$B$3:$I$77,7,0),"")</f>
        <v>301</v>
      </c>
      <c r="J261" s="128" t="str">
        <f>VLOOKUP('Програма-кодове'!Y33,Списък!$A$1:$B$210,2,FALSE)</f>
        <v>Паронова</v>
      </c>
      <c r="K261" s="160" t="str">
        <f>IFERROR(VLOOKUP(J261,Списък!$B$3:$I$77,7,0),"")</f>
        <v>212/214/215/217</v>
      </c>
    </row>
    <row r="262" spans="1:11">
      <c r="A262" s="129">
        <v>5</v>
      </c>
      <c r="B262" s="12" t="str">
        <f>VLOOKUP('Програма-кодове'!U34,Списък!$A$1:$B$210,2,FALSE)</f>
        <v>Конгалов</v>
      </c>
      <c r="C262" s="165" t="str">
        <f>IFERROR(VLOOKUP(B262,Списък!$B$3:$I$77,7,0),"")</f>
        <v>ФС</v>
      </c>
      <c r="D262" s="128" t="str">
        <f>VLOOKUP('Програма-кодове'!V34,Списък!$A$1:$B$210,2,FALSE)</f>
        <v>Н. Николова</v>
      </c>
      <c r="E262" s="165" t="str">
        <f>IFERROR(VLOOKUP(D262,Списък!$B$3:$I$77,7,0),"")</f>
        <v>201/202/203/205/206</v>
      </c>
      <c r="F262" s="128" t="str">
        <f>VLOOKUP('Програма-кодове'!W34,Списък!$A$1:$B$210,2,FALSE)</f>
        <v>Костова</v>
      </c>
      <c r="G262" s="165" t="str">
        <f>IFERROR(VLOOKUP(F262,Списък!$B$3:$I$77,7,0),"")</f>
        <v>212/214/215/217</v>
      </c>
      <c r="H262" s="128" t="str">
        <f>VLOOKUP('Програма-кодове'!X34,Списък!$A$1:$B$210,2,FALSE)</f>
        <v>Гочева</v>
      </c>
      <c r="I262" s="165">
        <f>IFERROR(VLOOKUP(H262,Списък!$B$3:$I$77,7,0),"")</f>
        <v>301</v>
      </c>
      <c r="J262" s="128" t="str">
        <f>VLOOKUP('Програма-кодове'!Y34,Списък!$A$1:$B$210,2,FALSE)</f>
        <v>Чанкова</v>
      </c>
      <c r="K262" s="160">
        <f>IFERROR(VLOOKUP(J262,Списък!$B$3:$I$77,7,0),"")</f>
        <v>105</v>
      </c>
    </row>
    <row r="263" spans="1:11">
      <c r="A263" s="129">
        <v>6</v>
      </c>
      <c r="B263" s="12" t="str">
        <f>VLOOKUP('Програма-кодове'!U35,Списък!$A$1:$B$210,2,FALSE)</f>
        <v>В. Иванова</v>
      </c>
      <c r="C263" s="165">
        <f>IFERROR(VLOOKUP(B263,Списък!$B$3:$I$77,7,0),"")</f>
        <v>109</v>
      </c>
      <c r="D263" s="128" t="str">
        <f>VLOOKUP('Програма-кодове'!V35,Списък!$A$1:$B$210,2,FALSE)</f>
        <v>Славова</v>
      </c>
      <c r="E263" s="165">
        <f>IFERROR(VLOOKUP(D263,Списък!$B$3:$I$77,7,0),"")</f>
        <v>114</v>
      </c>
      <c r="F263" s="128" t="str">
        <f>VLOOKUP('Програма-кодове'!W35,Списък!$A$1:$B$210,2,FALSE)</f>
        <v>Гочева</v>
      </c>
      <c r="G263" s="165">
        <f>IFERROR(VLOOKUP(F263,Списък!$B$3:$I$77,7,0),"")</f>
        <v>301</v>
      </c>
      <c r="H263" s="128" t="str">
        <f>VLOOKUP('Програма-кодове'!X35,Списък!$A$1:$B$210,2,FALSE)</f>
        <v>Чанкова</v>
      </c>
      <c r="I263" s="165">
        <f>IFERROR(VLOOKUP(H263,Списък!$B$3:$I$77,7,0),"")</f>
        <v>105</v>
      </c>
      <c r="J263" s="128" t="str">
        <f>VLOOKUP('Програма-кодове'!Y35,Списък!$A$1:$B$210,2,FALSE)</f>
        <v>Конгалов</v>
      </c>
      <c r="K263" s="160" t="str">
        <f>IFERROR(VLOOKUP(J263,Списък!$B$3:$I$77,7,0),"")</f>
        <v>ФС</v>
      </c>
    </row>
    <row r="264" spans="1:11">
      <c r="A264" s="129">
        <v>7</v>
      </c>
      <c r="B264" s="12">
        <f>VLOOKUP('Програма-кодове'!U36,Списък!$A$1:$B$210,2,FALSE)</f>
        <v>0</v>
      </c>
      <c r="C264" s="165" t="str">
        <f>IFERROR(VLOOKUP(B264,Списък!$B$3:$I$77,7,0),"")</f>
        <v/>
      </c>
      <c r="D264" s="128">
        <f>VLOOKUP('Програма-кодове'!V36,Списък!$A$1:$B$210,2,FALSE)</f>
        <v>0</v>
      </c>
      <c r="E264" s="165" t="str">
        <f>IFERROR(VLOOKUP(D264,Списък!$B$3:$I$77,7,0),"")</f>
        <v/>
      </c>
      <c r="F264" s="128">
        <f>VLOOKUP('Програма-кодове'!W36,Списък!$A$1:$B$210,2,FALSE)</f>
        <v>0</v>
      </c>
      <c r="G264" s="165" t="str">
        <f>IFERROR(VLOOKUP(F264,Списък!$B$3:$I$77,7,0),"")</f>
        <v/>
      </c>
      <c r="H264" s="128">
        <f>VLOOKUP('Програма-кодове'!X36,Списък!$A$1:$B$210,2,FALSE)</f>
        <v>0</v>
      </c>
      <c r="I264" s="165" t="str">
        <f>IFERROR(VLOOKUP(H264,Списък!$B$3:$I$77,7,0),"")</f>
        <v/>
      </c>
      <c r="J264" s="128">
        <f>VLOOKUP('Програма-кодове'!Y36,Списък!$A$1:$B$210,2,FALSE)</f>
        <v>0</v>
      </c>
      <c r="K264" s="160" t="str">
        <f>IFERROR(VLOOKUP(J264,Списък!$B$3:$I$77,7,0),"")</f>
        <v/>
      </c>
    </row>
    <row r="265" spans="1:11" ht="3" customHeight="1">
      <c r="A265" s="129">
        <v>7</v>
      </c>
      <c r="B265" s="12">
        <f>VLOOKUP('Програма-кодове'!U36,Списък!$A$1:$B$210,2,FALSE)</f>
        <v>0</v>
      </c>
      <c r="C265" s="165" t="str">
        <f>IFERROR(VLOOKUP(B265,Списък!$B$3:$I$77,7,0),"")</f>
        <v/>
      </c>
      <c r="D265" s="128">
        <f>VLOOKUP('Програма-кодове'!V36,Списък!$A$1:$B$210,2,FALSE)</f>
        <v>0</v>
      </c>
      <c r="E265" s="165" t="str">
        <f>IFERROR(VLOOKUP(D265,Списък!$B$3:$I$77,7,0),"")</f>
        <v/>
      </c>
      <c r="F265" s="128">
        <f>VLOOKUP('Програма-кодове'!W36,Списък!$A$1:$B$210,2,FALSE)</f>
        <v>0</v>
      </c>
      <c r="G265" s="165" t="str">
        <f>IFERROR(VLOOKUP(F265,Списък!$B$3:$I$77,7,0),"")</f>
        <v/>
      </c>
      <c r="H265" s="128">
        <f>VLOOKUP('Програма-кодове'!X36,Списък!$A$1:$B$210,2,FALSE)</f>
        <v>0</v>
      </c>
      <c r="I265" s="165" t="str">
        <f>IFERROR(VLOOKUP(H265,Списък!$B$3:$I$77,7,0),"")</f>
        <v/>
      </c>
      <c r="J265" s="128">
        <f>VLOOKUP('Програма-кодове'!Y36,Списък!$A$1:$B$210,2,FALSE)</f>
        <v>0</v>
      </c>
      <c r="K265" s="160" t="str">
        <f>IFERROR(VLOOKUP(J265,Списък!$B$3:$I$77,7,0),"")</f>
        <v/>
      </c>
    </row>
    <row r="266" spans="1:11" ht="12" customHeight="1">
      <c r="A266" s="145"/>
      <c r="B266" s="144" t="s">
        <v>48</v>
      </c>
      <c r="C266" s="164" t="str">
        <f>IFERROR(VLOOKUP(B266,Списък!$B$3:$I$77,7,0),"")</f>
        <v/>
      </c>
      <c r="D266" s="145" t="s">
        <v>49</v>
      </c>
      <c r="E266" s="164" t="str">
        <f>IFERROR(VLOOKUP(D266,Списък!$B$3:$I$77,7,0),"")</f>
        <v/>
      </c>
      <c r="F266" s="145" t="s">
        <v>50</v>
      </c>
      <c r="G266" s="164" t="str">
        <f>IFERROR(VLOOKUP(F266,Списък!$B$3:$I$77,7,0),"")</f>
        <v/>
      </c>
      <c r="H266" s="145" t="s">
        <v>51</v>
      </c>
      <c r="I266" s="164" t="str">
        <f>IFERROR(VLOOKUP(H266,Списък!$B$3:$I$77,7,0),"")</f>
        <v/>
      </c>
      <c r="J266" s="145" t="s">
        <v>52</v>
      </c>
      <c r="K266" s="161" t="str">
        <f>IFERROR(VLOOKUP(J266,Списък!$B$3:$I$77,7,0),"")</f>
        <v/>
      </c>
    </row>
    <row r="267" spans="1:11">
      <c r="A267" s="129">
        <v>1</v>
      </c>
      <c r="B267" s="12" t="str">
        <f>VLOOKUP('Програма-кодове'!Z30,Списък!$A$1:$B$209,2,FALSE)</f>
        <v>Д. Николова</v>
      </c>
      <c r="C267" s="165">
        <f>IFERROR(VLOOKUP(B267,Списък!$B$3:$I$77,7,0),"")</f>
        <v>106</v>
      </c>
      <c r="D267" s="128" t="str">
        <f>VLOOKUP('Програма-кодове'!AA30,Списък!$A$1:$B$209,2,FALSE)</f>
        <v>Филипова</v>
      </c>
      <c r="E267" s="165" t="str">
        <f>IFERROR(VLOOKUP(D267,Списък!$B$3:$I$77,7,0),"")</f>
        <v>109/110/301/302/306</v>
      </c>
      <c r="F267" s="128" t="str">
        <f>VLOOKUP('Програма-кодове'!AB30,Списък!$A$1:$B$209,2,FALSE)</f>
        <v>Батимов</v>
      </c>
      <c r="G267" s="165">
        <f>IFERROR(VLOOKUP(F267,Списък!$B$3:$I$77,7,0),"")</f>
        <v>303</v>
      </c>
      <c r="H267" s="128" t="str">
        <f>VLOOKUP('Програма-кодове'!AC30,Списък!$A$1:$B$209,2,FALSE)</f>
        <v>Петкова/Димитрова</v>
      </c>
      <c r="I267" s="165" t="str">
        <f>IFERROR(VLOOKUP(H267,Списък!$B$3:$I$77,7,0),"")</f>
        <v>КК3/КК8</v>
      </c>
      <c r="J267" s="128" t="str">
        <f>VLOOKUP('Програма-кодове'!AD30,Списък!$A$1:$B$209,2,FALSE)</f>
        <v>Коларова</v>
      </c>
      <c r="K267" s="160" t="str">
        <f>IFERROR(VLOOKUP(J267,Списък!$B$3:$I$77,7,0),"")</f>
        <v>212/214/215/217</v>
      </c>
    </row>
    <row r="268" spans="1:11">
      <c r="A268" s="129">
        <v>2</v>
      </c>
      <c r="B268" s="12" t="str">
        <f>VLOOKUP('Програма-кодове'!Z31,Списък!$A$1:$B$209,2,FALSE)</f>
        <v>Славова</v>
      </c>
      <c r="C268" s="165">
        <f>IFERROR(VLOOKUP(B268,Списък!$B$3:$I$77,7,0),"")</f>
        <v>114</v>
      </c>
      <c r="D268" s="128" t="str">
        <f>VLOOKUP('Програма-кодове'!AA31,Списък!$A$1:$B$209,2,FALSE)</f>
        <v>Д. Николова</v>
      </c>
      <c r="E268" s="165">
        <f>IFERROR(VLOOKUP(D268,Списък!$B$3:$I$77,7,0),"")</f>
        <v>106</v>
      </c>
      <c r="F268" s="128" t="str">
        <f>VLOOKUP('Програма-кодове'!AB31,Списък!$A$1:$B$209,2,FALSE)</f>
        <v>Батимов</v>
      </c>
      <c r="G268" s="165">
        <f>IFERROR(VLOOKUP(F268,Списък!$B$3:$I$77,7,0),"")</f>
        <v>303</v>
      </c>
      <c r="H268" s="128" t="str">
        <f>VLOOKUP('Програма-кодове'!AC31,Списък!$A$1:$B$209,2,FALSE)</f>
        <v>Петкова/Димитрова</v>
      </c>
      <c r="I268" s="165" t="str">
        <f>IFERROR(VLOOKUP(H268,Списък!$B$3:$I$77,7,0),"")</f>
        <v>КК3/КК8</v>
      </c>
      <c r="J268" s="128" t="str">
        <f>VLOOKUP('Програма-кодове'!AD31,Списък!$A$1:$B$209,2,FALSE)</f>
        <v>Колева</v>
      </c>
      <c r="K268" s="160">
        <f>IFERROR(VLOOKUP(J268,Списък!$B$3:$I$77,7,0),"")</f>
        <v>202</v>
      </c>
    </row>
    <row r="269" spans="1:11">
      <c r="A269" s="129">
        <v>3</v>
      </c>
      <c r="B269" s="12" t="str">
        <f>VLOOKUP('Програма-кодове'!Z32,Списък!$A$1:$B$209,2,FALSE)</f>
        <v>Батимов</v>
      </c>
      <c r="C269" s="165">
        <f>IFERROR(VLOOKUP(B269,Списък!$B$3:$I$77,7,0),"")</f>
        <v>303</v>
      </c>
      <c r="D269" s="128" t="str">
        <f>VLOOKUP('Програма-кодове'!AA32,Списък!$A$1:$B$209,2,FALSE)</f>
        <v>Славова</v>
      </c>
      <c r="E269" s="165">
        <f>IFERROR(VLOOKUP(D269,Списък!$B$3:$I$77,7,0),"")</f>
        <v>114</v>
      </c>
      <c r="F269" s="128" t="str">
        <f>VLOOKUP('Програма-кодове'!AB32,Списък!$A$1:$B$209,2,FALSE)</f>
        <v>Петкова/Димитрова</v>
      </c>
      <c r="G269" s="165" t="str">
        <f>IFERROR(VLOOKUP(F269,Списък!$B$3:$I$77,7,0),"")</f>
        <v>КК3/КК8</v>
      </c>
      <c r="H269" s="128" t="str">
        <f>VLOOKUP('Програма-кодове'!AC32,Списък!$A$1:$B$209,2,FALSE)</f>
        <v>Колева</v>
      </c>
      <c r="I269" s="165">
        <f>IFERROR(VLOOKUP(H269,Списък!$B$3:$I$77,7,0),"")</f>
        <v>202</v>
      </c>
      <c r="J269" s="128" t="str">
        <f>VLOOKUP('Програма-кодове'!AD32,Списък!$A$1:$B$209,2,FALSE)</f>
        <v>Д. Николова</v>
      </c>
      <c r="K269" s="160">
        <f>IFERROR(VLOOKUP(J269,Списък!$B$3:$I$77,7,0),"")</f>
        <v>106</v>
      </c>
    </row>
    <row r="270" spans="1:11">
      <c r="A270" s="129">
        <v>4</v>
      </c>
      <c r="B270" s="12" t="str">
        <f>VLOOKUP('Програма-кодове'!Z33,Списък!$A$1:$B$209,2,FALSE)</f>
        <v>Батимов</v>
      </c>
      <c r="C270" s="165">
        <f>IFERROR(VLOOKUP(B270,Списък!$B$3:$I$77,7,0),"")</f>
        <v>303</v>
      </c>
      <c r="D270" s="128" t="str">
        <f>VLOOKUP('Програма-кодове'!AA33,Списък!$A$1:$B$209,2,FALSE)</f>
        <v>Колева</v>
      </c>
      <c r="E270" s="165">
        <f>IFERROR(VLOOKUP(D270,Списък!$B$3:$I$77,7,0),"")</f>
        <v>202</v>
      </c>
      <c r="F270" s="128" t="str">
        <f>VLOOKUP('Програма-кодове'!AB33,Списък!$A$1:$B$209,2,FALSE)</f>
        <v>Петкова/Димитрова</v>
      </c>
      <c r="G270" s="165" t="str">
        <f>IFERROR(VLOOKUP(F270,Списък!$B$3:$I$77,7,0),"")</f>
        <v>КК3/КК8</v>
      </c>
      <c r="H270" s="128" t="str">
        <f>VLOOKUP('Програма-кодове'!AC33,Списък!$A$1:$B$209,2,FALSE)</f>
        <v>Даскалова</v>
      </c>
      <c r="I270" s="165" t="str">
        <f>IFERROR(VLOOKUP(H270,Списък!$B$3:$I$77,7,0),"")</f>
        <v>107/108</v>
      </c>
      <c r="J270" s="128" t="str">
        <f>VLOOKUP('Програма-кодове'!AD33,Списък!$A$1:$B$209,2,FALSE)</f>
        <v>Славова</v>
      </c>
      <c r="K270" s="160">
        <f>IFERROR(VLOOKUP(J270,Списък!$B$3:$I$77,7,0),"")</f>
        <v>114</v>
      </c>
    </row>
    <row r="271" spans="1:11">
      <c r="A271" s="129">
        <v>5</v>
      </c>
      <c r="B271" s="12" t="str">
        <f>VLOOKUP('Програма-кодове'!Z34,Списък!$A$1:$B$209,2,FALSE)</f>
        <v>Даскалова/Тодорова</v>
      </c>
      <c r="C271" s="165" t="str">
        <f>IFERROR(VLOOKUP(B271,Списък!$B$3:$I$77,7,0),"")</f>
        <v>107-108/101-105</v>
      </c>
      <c r="D271" s="128" t="str">
        <f>VLOOKUP('Програма-кодове'!AA34,Списък!$A$1:$B$209,2,FALSE)</f>
        <v>Мерджанова</v>
      </c>
      <c r="E271" s="165">
        <f>IFERROR(VLOOKUP(D271,Списък!$B$3:$I$77,7,0),"")</f>
        <v>304</v>
      </c>
      <c r="F271" s="128" t="str">
        <f>VLOOKUP('Програма-кодове'!AB34,Списък!$A$1:$B$209,2,FALSE)</f>
        <v>Славова</v>
      </c>
      <c r="G271" s="165">
        <f>IFERROR(VLOOKUP(F271,Списък!$B$3:$I$77,7,0),"")</f>
        <v>114</v>
      </c>
      <c r="H271" s="128" t="str">
        <f>VLOOKUP('Програма-кодове'!AC34,Списък!$A$1:$B$209,2,FALSE)</f>
        <v>Д. Николова</v>
      </c>
      <c r="I271" s="165">
        <f>IFERROR(VLOOKUP(H271,Списък!$B$3:$I$77,7,0),"")</f>
        <v>106</v>
      </c>
      <c r="J271" s="128" t="str">
        <f>VLOOKUP('Програма-кодове'!AD34,Списък!$A$1:$B$209,2,FALSE)</f>
        <v>Кирилова/Тодорова</v>
      </c>
      <c r="K271" s="160" t="str">
        <f>IFERROR(VLOOKUP(J271,Списък!$B$3:$I$77,7,0),"")</f>
        <v>108/101-105</v>
      </c>
    </row>
    <row r="272" spans="1:11" ht="12" customHeight="1">
      <c r="A272" s="154">
        <v>6</v>
      </c>
      <c r="B272" s="18" t="str">
        <f>VLOOKUP('Програма-кодове'!Z35,Списък!$A$1:$B$209,2,FALSE)</f>
        <v>Даскалова/Тодорова</v>
      </c>
      <c r="C272" s="165" t="str">
        <f>IFERROR(VLOOKUP(B272,Списък!$B$3:$I$77,7,0),"")</f>
        <v>107-108/101-105</v>
      </c>
      <c r="D272" s="18" t="str">
        <f>VLOOKUP('Програма-кодове'!AA35,Списък!$A$1:$B$209,2,FALSE)</f>
        <v>Мерджанова</v>
      </c>
      <c r="E272" s="165">
        <f>IFERROR(VLOOKUP(D272,Списък!$B$3:$I$77,7,0),"")</f>
        <v>304</v>
      </c>
      <c r="F272" s="18" t="str">
        <f>VLOOKUP('Програма-кодове'!AB35,Списък!$A$1:$B$209,2,FALSE)</f>
        <v>Д. Николова</v>
      </c>
      <c r="G272" s="165">
        <f>IFERROR(VLOOKUP(F272,Списък!$B$3:$I$77,7,0),"")</f>
        <v>106</v>
      </c>
      <c r="H272" s="18" t="str">
        <f>VLOOKUP('Програма-кодове'!AC35,Списък!$A$1:$B$209,2,FALSE)</f>
        <v>Тонева</v>
      </c>
      <c r="I272" s="165" t="str">
        <f>IFERROR(VLOOKUP(H272,Списък!$B$3:$I$77,7,0),"")</f>
        <v>ФС</v>
      </c>
      <c r="J272" s="18" t="str">
        <f>VLOOKUP('Програма-кодове'!AD35,Списък!$A$1:$B$209,2,FALSE)</f>
        <v>Кирилова/Тодорова</v>
      </c>
      <c r="K272" s="160" t="str">
        <f>IFERROR(VLOOKUP(J272,Списък!$B$3:$I$77,7,0),"")</f>
        <v>108/101-105</v>
      </c>
    </row>
    <row r="273" spans="1:11" ht="12" customHeight="1">
      <c r="A273" s="143">
        <v>7</v>
      </c>
      <c r="B273" s="147">
        <f>VLOOKUP('Програма-кодове'!Z36,Списък!$A$1:$B$209,2,FALSE)</f>
        <v>0</v>
      </c>
      <c r="C273" s="167" t="str">
        <f>IFERROR(VLOOKUP(B273,Списък!$B$3:$I$77,7,0),"")</f>
        <v/>
      </c>
      <c r="D273" s="135">
        <f>VLOOKUP('Програма-кодове'!AA36,Списък!$A$1:$B$209,2,FALSE)</f>
        <v>0</v>
      </c>
      <c r="E273" s="167" t="str">
        <f>IFERROR(VLOOKUP(D273,Списък!$B$3:$I$77,7,0),"")</f>
        <v/>
      </c>
      <c r="F273" s="135">
        <f>VLOOKUP('Програма-кодове'!AB36,Списък!$A$1:$B$209,2,FALSE)</f>
        <v>0</v>
      </c>
      <c r="G273" s="167" t="str">
        <f>IFERROR(VLOOKUP(F273,Списък!$B$3:$I$77,7,0),"")</f>
        <v/>
      </c>
      <c r="H273" s="135">
        <f>VLOOKUP('Програма-кодове'!AC36,Списък!$A$1:$B$209,2,FALSE)</f>
        <v>0</v>
      </c>
      <c r="I273" s="167" t="str">
        <f>IFERROR(VLOOKUP(H273,Списък!$B$3:$I$77,7,0),"")</f>
        <v/>
      </c>
      <c r="J273" s="135">
        <f>VLOOKUP('Програма-кодове'!AD36,Списък!$A$1:$B$209,2,FALSE)</f>
        <v>0</v>
      </c>
      <c r="K273" s="162" t="str">
        <f>IFERROR(VLOOKUP(J273,Списък!$B$3:$I$77,7,0),"")</f>
        <v/>
      </c>
    </row>
  </sheetData>
  <customSheetViews>
    <customSheetView guid="{CA5C1580-67CF-11D3-927D-444553540000}" showRuler="0">
      <selection activeCell="A2" sqref="A2"/>
      <pageMargins left="0.75" right="0.75" top="1" bottom="1" header="0.5" footer="0.5"/>
      <headerFooter alignWithMargins="0"/>
    </customSheetView>
  </customSheetViews>
  <mergeCells count="5">
    <mergeCell ref="A1:K1"/>
    <mergeCell ref="A56:K56"/>
    <mergeCell ref="A166:K166"/>
    <mergeCell ref="A111:K111"/>
    <mergeCell ref="A221:K221"/>
  </mergeCells>
  <phoneticPr fontId="0" type="noConversion"/>
  <printOptions horizontalCentered="1"/>
  <pageMargins left="0.19685039370078741" right="0.19685039370078741" top="0.19685039370078741" bottom="0.19685039370078741" header="0.51181102362204722" footer="0.51181102362204722"/>
  <pageSetup paperSize="9" scale="90" orientation="landscape" horizontalDpi="300" verticalDpi="300" r:id="rId1"/>
  <headerFooter alignWithMargins="0"/>
  <rowBreaks count="4" manualBreakCount="4">
    <brk id="55" max="16383" man="1"/>
    <brk id="110" max="16383" man="1"/>
    <brk id="165" max="16383" man="1"/>
    <brk id="220" max="16383" man="1"/>
  </rowBreaks>
  <ignoredErrors>
    <ignoredError sqref="D222:D236 D265:D272 F222:F236 H222:H236 J222:J228 J12:J27 H11:H25 F3:F25 D3:D27 J74:J92 H74:H92 F74:F92 D74:D92 J129:J164 H129:H164 F129:F164 D129:D164 J167:J219 H167:H219 F167:F219 D167:D219 J28:J54 H28:H54 F28:F54 D28:D54 J230:J245 D248:D254 F265:F272 H265:H272 J265:J272 D238:D245 F238:F245 H238:H245 J248:J263 H248:H263 F248:F263 D255:D263 D112:D128 F112:F128 H112:H128 J112:J123 D57:D73 F57:F73 H57:H73 J57:J73 J125:J128 J93:J109 H93:H109 F93:F109 D93:D10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Q284"/>
  <sheetViews>
    <sheetView topLeftCell="A2" zoomScale="110" zoomScaleNormal="110" workbookViewId="0">
      <selection activeCell="C23" sqref="C23"/>
    </sheetView>
  </sheetViews>
  <sheetFormatPr defaultColWidth="23.7109375" defaultRowHeight="21" customHeight="1"/>
  <cols>
    <col min="1" max="1" width="2.5703125" style="267" customWidth="1"/>
    <col min="2" max="2" width="2.7109375" style="267" customWidth="1"/>
    <col min="3" max="3" width="18.7109375" style="267" customWidth="1"/>
    <col min="4" max="4" width="6.7109375" style="282" customWidth="1"/>
    <col min="5" max="5" width="2.5703125" style="267" customWidth="1"/>
    <col min="6" max="6" width="19.42578125" style="267" customWidth="1"/>
    <col min="7" max="7" width="5.42578125" style="282" customWidth="1"/>
    <col min="8" max="8" width="2.85546875" style="267" customWidth="1"/>
    <col min="9" max="9" width="19" style="267" customWidth="1"/>
    <col min="10" max="10" width="6.42578125" style="282" customWidth="1"/>
    <col min="11" max="11" width="3.140625" style="267" customWidth="1"/>
    <col min="12" max="12" width="19" style="267" customWidth="1"/>
    <col min="13" max="13" width="6" style="282" customWidth="1"/>
    <col min="14" max="14" width="2.85546875" style="267" customWidth="1"/>
    <col min="15" max="15" width="18.28515625" style="267" customWidth="1"/>
    <col min="16" max="16" width="5.5703125" style="282" customWidth="1"/>
    <col min="17" max="17" width="1.5703125" style="267" customWidth="1"/>
    <col min="18" max="16384" width="23.7109375" style="267"/>
  </cols>
  <sheetData>
    <row r="2" spans="1:17" s="268" customFormat="1" ht="21" customHeight="1">
      <c r="A2" s="387" t="s">
        <v>129</v>
      </c>
      <c r="B2" s="260"/>
      <c r="C2" s="261" t="s">
        <v>24</v>
      </c>
      <c r="D2" s="262"/>
      <c r="E2" s="261"/>
      <c r="F2" s="261" t="s">
        <v>25</v>
      </c>
      <c r="G2" s="263" t="s">
        <v>214</v>
      </c>
      <c r="H2" s="264"/>
      <c r="I2" s="265" t="s">
        <v>26</v>
      </c>
      <c r="J2" s="263" t="s">
        <v>214</v>
      </c>
      <c r="K2" s="266"/>
      <c r="L2" s="266" t="s">
        <v>27</v>
      </c>
      <c r="M2" s="263" t="s">
        <v>214</v>
      </c>
      <c r="N2" s="264"/>
      <c r="O2" s="265" t="s">
        <v>28</v>
      </c>
      <c r="P2" s="305" t="s">
        <v>214</v>
      </c>
      <c r="Q2" s="267"/>
    </row>
    <row r="3" spans="1:17" ht="21" customHeight="1">
      <c r="A3" s="387"/>
      <c r="B3" s="269">
        <v>1</v>
      </c>
      <c r="C3" s="270" t="str">
        <f>'Програма-имена+кабинети'!B3</f>
        <v>Паронова</v>
      </c>
      <c r="D3" s="271" t="str">
        <f>'Програма-имена+кабинети'!C3</f>
        <v>212/214/215/217</v>
      </c>
      <c r="E3" s="272">
        <v>1</v>
      </c>
      <c r="F3" s="270" t="str">
        <f>'Програма-имена+кабинети'!B58</f>
        <v>Сапунджиева</v>
      </c>
      <c r="G3" s="271">
        <f>'Програма-имена+кабинети'!C58</f>
        <v>104</v>
      </c>
      <c r="H3" s="273">
        <v>1</v>
      </c>
      <c r="I3" s="270" t="str">
        <f>'Програма-имена+кабинети'!B113</f>
        <v>Петров</v>
      </c>
      <c r="J3" s="271">
        <f>'Програма-имена+кабинети'!C113</f>
        <v>112</v>
      </c>
      <c r="K3" s="269">
        <v>1</v>
      </c>
      <c r="L3" s="270" t="str">
        <f>'Програма-имена+кабинети'!B168</f>
        <v>Паронова</v>
      </c>
      <c r="M3" s="271" t="str">
        <f>'Програма-имена+кабинети'!C168</f>
        <v>212/214/215/217</v>
      </c>
      <c r="N3" s="273">
        <v>1</v>
      </c>
      <c r="O3" s="270" t="str">
        <f>'Програма-имена+кабинети'!B223</f>
        <v>Сапунджиева</v>
      </c>
      <c r="P3" s="271">
        <f>'Програма-имена+кабинети'!C223</f>
        <v>104</v>
      </c>
    </row>
    <row r="4" spans="1:17" ht="21" customHeight="1">
      <c r="A4" s="387"/>
      <c r="B4" s="269">
        <v>2</v>
      </c>
      <c r="C4" s="274" t="str">
        <f>'Програма-имена+кабинети'!B4</f>
        <v>Сапунджиева</v>
      </c>
      <c r="D4" s="275">
        <f>'Програма-имена+кабинети'!C4</f>
        <v>104</v>
      </c>
      <c r="E4" s="272">
        <v>2</v>
      </c>
      <c r="F4" s="274" t="str">
        <f>'Програма-имена+кабинети'!B59</f>
        <v>Гюлева</v>
      </c>
      <c r="G4" s="275">
        <f>'Програма-имена+кабинети'!C59</f>
        <v>204</v>
      </c>
      <c r="H4" s="273">
        <v>2</v>
      </c>
      <c r="I4" s="274" t="str">
        <f>'Програма-имена+кабинети'!B114</f>
        <v>Краева</v>
      </c>
      <c r="J4" s="275">
        <f>'Програма-имена+кабинети'!C114</f>
        <v>306</v>
      </c>
      <c r="K4" s="269">
        <v>2</v>
      </c>
      <c r="L4" s="274" t="str">
        <f>'Програма-имена+кабинети'!B169</f>
        <v>Гюлева</v>
      </c>
      <c r="M4" s="275">
        <f>'Програма-имена+кабинети'!C169</f>
        <v>204</v>
      </c>
      <c r="N4" s="273">
        <v>2</v>
      </c>
      <c r="O4" s="274" t="str">
        <f>'Програма-имена+кабинети'!B224</f>
        <v>Никова</v>
      </c>
      <c r="P4" s="275">
        <f>'Програма-имена+кабинети'!C224</f>
        <v>111</v>
      </c>
    </row>
    <row r="5" spans="1:17" ht="21" customHeight="1">
      <c r="A5" s="387"/>
      <c r="B5" s="269">
        <v>3</v>
      </c>
      <c r="C5" s="274" t="str">
        <f>'Програма-имена+кабинети'!B5</f>
        <v>Пецова</v>
      </c>
      <c r="D5" s="275" t="str">
        <f>'Програма-имена+кабинети'!C5</f>
        <v>102/105/111/112</v>
      </c>
      <c r="E5" s="272">
        <v>3</v>
      </c>
      <c r="F5" s="274" t="str">
        <f>'Програма-имена+кабинети'!B60</f>
        <v>Краева</v>
      </c>
      <c r="G5" s="275">
        <f>'Програма-имена+кабинети'!C60</f>
        <v>306</v>
      </c>
      <c r="H5" s="273">
        <v>3</v>
      </c>
      <c r="I5" s="274" t="str">
        <f>'Програма-имена+кабинети'!B115</f>
        <v>Сапунджиева</v>
      </c>
      <c r="J5" s="275">
        <f>'Програма-имена+кабинети'!C115</f>
        <v>104</v>
      </c>
      <c r="K5" s="269">
        <v>3</v>
      </c>
      <c r="L5" s="274" t="str">
        <f>'Програма-имена+кабинети'!B170</f>
        <v>Тонева</v>
      </c>
      <c r="M5" s="275" t="str">
        <f>'Програма-имена+кабинети'!C170</f>
        <v>ФС</v>
      </c>
      <c r="N5" s="273">
        <v>3</v>
      </c>
      <c r="O5" s="274" t="str">
        <f>'Програма-имена+кабинети'!B225</f>
        <v>Тонева</v>
      </c>
      <c r="P5" s="275" t="str">
        <f>'Програма-имена+кабинети'!C225</f>
        <v>ФС</v>
      </c>
    </row>
    <row r="6" spans="1:17" ht="21" customHeight="1">
      <c r="A6" s="387"/>
      <c r="B6" s="269">
        <v>4</v>
      </c>
      <c r="C6" s="274" t="str">
        <f>'Програма-имена+кабинети'!B6</f>
        <v>Димитрова/Пецова</v>
      </c>
      <c r="D6" s="275" t="str">
        <f>'Програма-имена+кабинети'!C6</f>
        <v>КК2/105/111/112</v>
      </c>
      <c r="E6" s="272">
        <v>4</v>
      </c>
      <c r="F6" s="274" t="str">
        <f>'Програма-имена+кабинети'!B61</f>
        <v>Петров</v>
      </c>
      <c r="G6" s="275">
        <f>'Програма-имена+кабинети'!C61</f>
        <v>112</v>
      </c>
      <c r="H6" s="273">
        <v>4</v>
      </c>
      <c r="I6" s="274" t="str">
        <f>'Програма-имена+кабинети'!B116</f>
        <v>Киров</v>
      </c>
      <c r="J6" s="275" t="str">
        <f>'Програма-имена+кабинети'!C116</f>
        <v>109/110/111/114/102/302</v>
      </c>
      <c r="K6" s="269">
        <v>4</v>
      </c>
      <c r="L6" s="274" t="str">
        <f>'Програма-имена+кабинети'!B171</f>
        <v>Краева</v>
      </c>
      <c r="M6" s="275">
        <f>'Програма-имена+кабинети'!C171</f>
        <v>306</v>
      </c>
      <c r="N6" s="273">
        <v>4</v>
      </c>
      <c r="O6" s="274" t="str">
        <f>'Програма-имена+кабинети'!B226</f>
        <v>Гюлева</v>
      </c>
      <c r="P6" s="275">
        <f>'Програма-имена+кабинети'!C226</f>
        <v>204</v>
      </c>
    </row>
    <row r="7" spans="1:17" ht="21" customHeight="1">
      <c r="A7" s="387"/>
      <c r="B7" s="269">
        <v>5</v>
      </c>
      <c r="C7" s="274" t="str">
        <f>'Програма-имена+кабинети'!B7</f>
        <v>Краева</v>
      </c>
      <c r="D7" s="275">
        <f>'Програма-имена+кабинети'!C7</f>
        <v>306</v>
      </c>
      <c r="E7" s="272">
        <v>5</v>
      </c>
      <c r="F7" s="274" t="str">
        <f>'Програма-имена+кабинети'!B62</f>
        <v>Киров</v>
      </c>
      <c r="G7" s="275" t="str">
        <f>'Програма-имена+кабинети'!C62</f>
        <v>109/110/111/114/102/302</v>
      </c>
      <c r="H7" s="273">
        <v>5</v>
      </c>
      <c r="I7" s="274" t="str">
        <f>'Програма-имена+кабинети'!B117</f>
        <v>Тонева</v>
      </c>
      <c r="J7" s="275" t="str">
        <f>'Програма-имена+кабинети'!C117</f>
        <v>ФС</v>
      </c>
      <c r="K7" s="269">
        <v>5</v>
      </c>
      <c r="L7" s="274" t="str">
        <f>'Програма-имена+кабинети'!B172</f>
        <v>Никова</v>
      </c>
      <c r="M7" s="275">
        <f>'Програма-имена+кабинети'!C172</f>
        <v>111</v>
      </c>
      <c r="N7" s="273">
        <v>5</v>
      </c>
      <c r="O7" s="274" t="str">
        <f>'Програма-имена+кабинети'!B227</f>
        <v>Гюлева</v>
      </c>
      <c r="P7" s="275">
        <f>'Програма-имена+кабинети'!C227</f>
        <v>204</v>
      </c>
    </row>
    <row r="8" spans="1:17" ht="21" customHeight="1">
      <c r="A8" s="387"/>
      <c r="B8" s="269">
        <v>6</v>
      </c>
      <c r="C8" s="274" t="str">
        <f>'Програма-имена+кабинети'!B8</f>
        <v>K. Петрова/Пецова</v>
      </c>
      <c r="D8" s="275" t="str">
        <f>'Програма-имена+кабинети'!C8</f>
        <v>КК5/112</v>
      </c>
      <c r="E8" s="272">
        <v>6</v>
      </c>
      <c r="F8" s="274" t="str">
        <f>'Програма-имена+кабинети'!B63</f>
        <v>Пецова</v>
      </c>
      <c r="G8" s="275" t="str">
        <f>'Програма-имена+кабинети'!C63</f>
        <v>102/105/111/112</v>
      </c>
      <c r="H8" s="273">
        <v>6</v>
      </c>
      <c r="I8" s="274" t="str">
        <f>'Програма-имена+кабинети'!B118</f>
        <v>Гюлева</v>
      </c>
      <c r="J8" s="275">
        <f>'Програма-имена+кабинети'!C118</f>
        <v>204</v>
      </c>
      <c r="K8" s="269">
        <v>6</v>
      </c>
      <c r="L8" s="274" t="str">
        <f>'Програма-имена+кабинети'!B173</f>
        <v>К. Петрова/Димитрова</v>
      </c>
      <c r="M8" s="275" t="str">
        <f>'Програма-имена+кабинети'!C173</f>
        <v>КК1/КК8</v>
      </c>
      <c r="N8" s="273">
        <v>6</v>
      </c>
      <c r="O8" s="274" t="str">
        <f>'Програма-имена+кабинети'!B228</f>
        <v>Краева</v>
      </c>
      <c r="P8" s="275">
        <f>'Програма-имена+кабинети'!C228</f>
        <v>306</v>
      </c>
    </row>
    <row r="9" spans="1:17" ht="21" customHeight="1">
      <c r="A9" s="387"/>
      <c r="B9" s="276">
        <v>7</v>
      </c>
      <c r="C9" s="277">
        <f>'Програма-имена+кабинети'!B9</f>
        <v>0</v>
      </c>
      <c r="D9" s="278" t="str">
        <f>'Програма-имена+кабинети'!C9</f>
        <v/>
      </c>
      <c r="E9" s="279">
        <v>7</v>
      </c>
      <c r="F9" s="277">
        <f>'Програма-имена+кабинети'!B64</f>
        <v>0</v>
      </c>
      <c r="G9" s="278" t="str">
        <f>'Програма-имена+кабинети'!C64</f>
        <v/>
      </c>
      <c r="H9" s="280">
        <v>7</v>
      </c>
      <c r="I9" s="277" t="str">
        <f>'Програма-имена+кабинети'!B119</f>
        <v>Пецова</v>
      </c>
      <c r="J9" s="278" t="str">
        <f>'Програма-имена+кабинети'!C119</f>
        <v>102/105/111/112</v>
      </c>
      <c r="K9" s="276">
        <v>7</v>
      </c>
      <c r="L9" s="277">
        <f>'Програма-имена+кабинети'!B174</f>
        <v>0</v>
      </c>
      <c r="M9" s="281" t="str">
        <f>'Програма-имена+кабинети'!C174</f>
        <v/>
      </c>
      <c r="N9" s="280">
        <v>7</v>
      </c>
      <c r="O9" s="277">
        <f>'Програма-имена+кабинети'!B229</f>
        <v>0</v>
      </c>
      <c r="P9" s="278" t="str">
        <f>'Програма-имена+кабинети'!C229</f>
        <v/>
      </c>
    </row>
    <row r="11" spans="1:17" ht="21" customHeight="1">
      <c r="A11" s="387" t="s">
        <v>131</v>
      </c>
      <c r="B11" s="260"/>
      <c r="C11" s="261" t="s">
        <v>24</v>
      </c>
      <c r="D11" s="262"/>
      <c r="E11" s="261"/>
      <c r="F11" s="261" t="s">
        <v>25</v>
      </c>
      <c r="G11" s="263" t="s">
        <v>214</v>
      </c>
      <c r="H11" s="264"/>
      <c r="I11" s="265" t="s">
        <v>26</v>
      </c>
      <c r="J11" s="263" t="s">
        <v>214</v>
      </c>
      <c r="K11" s="266"/>
      <c r="L11" s="266" t="s">
        <v>27</v>
      </c>
      <c r="M11" s="263" t="s">
        <v>214</v>
      </c>
      <c r="N11" s="264"/>
      <c r="O11" s="265" t="s">
        <v>28</v>
      </c>
      <c r="P11" s="305" t="s">
        <v>214</v>
      </c>
    </row>
    <row r="12" spans="1:17" ht="21" customHeight="1">
      <c r="A12" s="387"/>
      <c r="B12" s="269">
        <v>1</v>
      </c>
      <c r="C12" s="270" t="str">
        <f>'Програма-имена+кабинети'!D3</f>
        <v>Трифонова</v>
      </c>
      <c r="D12" s="271">
        <f>'Програма-имена+кабинети'!E3</f>
        <v>203</v>
      </c>
      <c r="E12" s="272">
        <v>1</v>
      </c>
      <c r="F12" s="270" t="str">
        <f>'Програма-имена+кабинети'!D58</f>
        <v>Гинева</v>
      </c>
      <c r="G12" s="271">
        <f>'Програма-имена+кабинети'!E58</f>
        <v>102</v>
      </c>
      <c r="H12" s="272">
        <v>1</v>
      </c>
      <c r="I12" s="270" t="str">
        <f>'Програма-имена+кабинети'!D113</f>
        <v>Кръстева</v>
      </c>
      <c r="J12" s="271">
        <f>'Програма-имена+кабинети'!E113</f>
        <v>302</v>
      </c>
      <c r="K12" s="272">
        <v>1</v>
      </c>
      <c r="L12" s="283" t="str">
        <f>'Програма-имена+кабинети'!D168</f>
        <v>Кръстева</v>
      </c>
      <c r="M12" s="284">
        <f>'Програма-имена+кабинети'!E168</f>
        <v>302</v>
      </c>
      <c r="N12" s="269">
        <v>1</v>
      </c>
      <c r="O12" s="283" t="str">
        <f>'Програма-имена+кабинети'!D223</f>
        <v>Кръстева</v>
      </c>
      <c r="P12" s="284">
        <f>'Програма-имена+кабинети'!E223</f>
        <v>302</v>
      </c>
    </row>
    <row r="13" spans="1:17" ht="21" customHeight="1">
      <c r="A13" s="387"/>
      <c r="B13" s="269">
        <v>2</v>
      </c>
      <c r="C13" s="274" t="str">
        <f>'Програма-имена+кабинети'!D4</f>
        <v>Паронова</v>
      </c>
      <c r="D13" s="275" t="str">
        <f>'Програма-имена+кабинети'!E4</f>
        <v>212/214/215/217</v>
      </c>
      <c r="E13" s="272">
        <v>2</v>
      </c>
      <c r="F13" s="274" t="str">
        <f>'Програма-имена+кабинети'!D59</f>
        <v>Трандев</v>
      </c>
      <c r="G13" s="275" t="str">
        <f>'Програма-имена+кабинети'!E59</f>
        <v>ФС</v>
      </c>
      <c r="H13" s="272">
        <v>2</v>
      </c>
      <c r="I13" s="274" t="str">
        <f>'Програма-имена+кабинети'!D114</f>
        <v>Петкова/Пецова</v>
      </c>
      <c r="J13" s="275" t="str">
        <f>'Програма-имена+кабинети'!E114</f>
        <v>КК8/112</v>
      </c>
      <c r="K13" s="272">
        <v>2</v>
      </c>
      <c r="L13" s="252" t="str">
        <f>'Програма-имена+кабинети'!D169</f>
        <v>Пецова</v>
      </c>
      <c r="M13" s="254" t="str">
        <f>'Програма-имена+кабинети'!E169</f>
        <v>102/105/111/112</v>
      </c>
      <c r="N13" s="269">
        <v>2</v>
      </c>
      <c r="O13" s="252" t="str">
        <f>'Програма-имена+кабинети'!D224</f>
        <v>Петров</v>
      </c>
      <c r="P13" s="254">
        <f>'Програма-имена+кабинети'!E224</f>
        <v>112</v>
      </c>
    </row>
    <row r="14" spans="1:17" ht="21" customHeight="1">
      <c r="A14" s="387"/>
      <c r="B14" s="269">
        <v>3</v>
      </c>
      <c r="C14" s="274" t="str">
        <f>'Програма-имена+кабинети'!D5</f>
        <v>Кръстева</v>
      </c>
      <c r="D14" s="275">
        <f>'Програма-имена+кабинети'!E5</f>
        <v>302</v>
      </c>
      <c r="E14" s="272">
        <v>3</v>
      </c>
      <c r="F14" s="274" t="str">
        <f>'Програма-имена+кабинети'!D60</f>
        <v>Кръстева</v>
      </c>
      <c r="G14" s="275">
        <f>'Програма-имена+кабинети'!E60</f>
        <v>302</v>
      </c>
      <c r="H14" s="272">
        <v>3</v>
      </c>
      <c r="I14" s="274" t="str">
        <f>'Програма-имена+кабинети'!D115</f>
        <v>Трифонова</v>
      </c>
      <c r="J14" s="275">
        <f>'Програма-имена+кабинети'!E115</f>
        <v>203</v>
      </c>
      <c r="K14" s="272">
        <v>3</v>
      </c>
      <c r="L14" s="252" t="str">
        <f>'Програма-имена+кабинети'!D170</f>
        <v>Гинева</v>
      </c>
      <c r="M14" s="254">
        <f>'Програма-имена+кабинети'!E170</f>
        <v>102</v>
      </c>
      <c r="N14" s="269">
        <v>3</v>
      </c>
      <c r="O14" s="252" t="str">
        <f>'Програма-имена+кабинети'!D225</f>
        <v>Пецова</v>
      </c>
      <c r="P14" s="254" t="str">
        <f>'Програма-имена+кабинети'!E225</f>
        <v>102/105/111/112</v>
      </c>
    </row>
    <row r="15" spans="1:17" ht="21" customHeight="1">
      <c r="A15" s="387"/>
      <c r="B15" s="269">
        <v>4</v>
      </c>
      <c r="C15" s="274" t="str">
        <f>'Програма-имена+кабинети'!D6</f>
        <v>Петкова/Янева</v>
      </c>
      <c r="D15" s="275" t="str">
        <f>'Програма-имена+кабинети'!E6</f>
        <v>КК6/КК4</v>
      </c>
      <c r="E15" s="272">
        <v>4</v>
      </c>
      <c r="F15" s="274" t="str">
        <f>'Програма-имена+кабинети'!D61</f>
        <v>Паронова</v>
      </c>
      <c r="G15" s="275" t="str">
        <f>'Програма-имена+кабинети'!E61</f>
        <v>212/214/215/217</v>
      </c>
      <c r="H15" s="272">
        <v>4</v>
      </c>
      <c r="I15" s="274" t="str">
        <f>'Програма-имена+кабинети'!D116</f>
        <v>Янева/Пецова</v>
      </c>
      <c r="J15" s="275" t="str">
        <f>'Програма-имена+кабинети'!E116</f>
        <v>КК3/</v>
      </c>
      <c r="K15" s="272">
        <v>4</v>
      </c>
      <c r="L15" s="252" t="str">
        <f>'Програма-имена+кабинети'!D171</f>
        <v>Киров</v>
      </c>
      <c r="M15" s="254" t="str">
        <f>'Програма-имена+кабинети'!E171</f>
        <v>109/110/111/114/102/302</v>
      </c>
      <c r="N15" s="269">
        <v>4</v>
      </c>
      <c r="O15" s="252" t="str">
        <f>'Програма-имена+кабинети'!D226</f>
        <v>Никова</v>
      </c>
      <c r="P15" s="254">
        <f>'Програма-имена+кабинети'!E226</f>
        <v>111</v>
      </c>
    </row>
    <row r="16" spans="1:17" ht="21" customHeight="1">
      <c r="A16" s="387"/>
      <c r="B16" s="269">
        <v>5</v>
      </c>
      <c r="C16" s="274" t="str">
        <f>'Програма-имена+кабинети'!D7</f>
        <v>Трандев</v>
      </c>
      <c r="D16" s="275" t="str">
        <f>'Програма-имена+кабинети'!E7</f>
        <v>ФС</v>
      </c>
      <c r="E16" s="272">
        <v>5</v>
      </c>
      <c r="F16" s="274" t="str">
        <f>'Програма-имена+кабинети'!D62</f>
        <v>Петров</v>
      </c>
      <c r="G16" s="275">
        <f>'Програма-имена+кабинети'!E62</f>
        <v>112</v>
      </c>
      <c r="H16" s="272">
        <v>5</v>
      </c>
      <c r="I16" s="274" t="str">
        <f>'Програма-имена+кабинети'!D117</f>
        <v>Паронова</v>
      </c>
      <c r="J16" s="275" t="str">
        <f>'Програма-имена+кабинети'!E117</f>
        <v>212/214/215/217</v>
      </c>
      <c r="K16" s="272">
        <v>5</v>
      </c>
      <c r="L16" s="252" t="str">
        <f>'Програма-имена+кабинети'!D172</f>
        <v>Трифонова</v>
      </c>
      <c r="M16" s="254">
        <f>'Програма-имена+кабинети'!E172</f>
        <v>203</v>
      </c>
      <c r="N16" s="269">
        <v>5</v>
      </c>
      <c r="O16" s="252" t="str">
        <f>'Програма-имена+кабинети'!D227</f>
        <v>Гинева</v>
      </c>
      <c r="P16" s="254">
        <f>'Програма-имена+кабинети'!E227</f>
        <v>102</v>
      </c>
    </row>
    <row r="17" spans="1:17" ht="21" customHeight="1">
      <c r="A17" s="387"/>
      <c r="B17" s="269">
        <v>6</v>
      </c>
      <c r="C17" s="274" t="str">
        <f>'Програма-имена+кабинети'!D8</f>
        <v>Никова</v>
      </c>
      <c r="D17" s="275">
        <f>'Програма-имена+кабинети'!E8</f>
        <v>111</v>
      </c>
      <c r="E17" s="272">
        <v>6</v>
      </c>
      <c r="F17" s="274" t="str">
        <f>'Програма-имена+кабинети'!D63</f>
        <v>Трифонова</v>
      </c>
      <c r="G17" s="275">
        <f>'Програма-имена+кабинети'!E63</f>
        <v>203</v>
      </c>
      <c r="H17" s="272">
        <v>6</v>
      </c>
      <c r="I17" s="274" t="str">
        <f>'Програма-имена+кабинети'!D118</f>
        <v>Трандев</v>
      </c>
      <c r="J17" s="275" t="str">
        <f>'Програма-имена+кабинети'!E118</f>
        <v>ФС</v>
      </c>
      <c r="K17" s="272">
        <v>6</v>
      </c>
      <c r="L17" s="252" t="str">
        <f>'Програма-имена+кабинети'!D173</f>
        <v>Трифонова</v>
      </c>
      <c r="M17" s="254">
        <f>'Програма-имена+кабинети'!E173</f>
        <v>203</v>
      </c>
      <c r="N17" s="269">
        <v>6</v>
      </c>
      <c r="O17" s="252" t="str">
        <f>'Програма-имена+кабинети'!D228</f>
        <v>Гинева</v>
      </c>
      <c r="P17" s="254">
        <f>'Програма-имена+кабинети'!E228</f>
        <v>102</v>
      </c>
    </row>
    <row r="18" spans="1:17" ht="21" customHeight="1">
      <c r="A18" s="387"/>
      <c r="B18" s="276">
        <v>7</v>
      </c>
      <c r="C18" s="277">
        <f>'Програма-имена+кабинети'!D9</f>
        <v>0</v>
      </c>
      <c r="D18" s="278" t="str">
        <f>'Програма-имена+кабинети'!E9</f>
        <v/>
      </c>
      <c r="E18" s="279">
        <v>7</v>
      </c>
      <c r="F18" s="277">
        <f>'Програма-имена+кабинети'!D64</f>
        <v>0</v>
      </c>
      <c r="G18" s="278" t="str">
        <f>'Програма-имена+кабинети'!E64</f>
        <v/>
      </c>
      <c r="H18" s="279">
        <v>7</v>
      </c>
      <c r="I18" s="277" t="str">
        <f>'Програма-имена+кабинети'!D119</f>
        <v>Никова</v>
      </c>
      <c r="J18" s="278">
        <f>'Програма-имена+кабинети'!E119</f>
        <v>111</v>
      </c>
      <c r="K18" s="279">
        <v>7</v>
      </c>
      <c r="L18" s="253">
        <f>'Програма-имена+кабинети'!D174</f>
        <v>0</v>
      </c>
      <c r="M18" s="255" t="str">
        <f>'Програма-имена+кабинети'!E174</f>
        <v/>
      </c>
      <c r="N18" s="276">
        <v>7</v>
      </c>
      <c r="O18" s="253">
        <f>'Програма-имена+кабинети'!D229</f>
        <v>0</v>
      </c>
      <c r="P18" s="255" t="str">
        <f>'Програма-имена+кабинети'!E229</f>
        <v/>
      </c>
    </row>
    <row r="20" spans="1:17" ht="21" customHeight="1">
      <c r="A20" s="387" t="s">
        <v>158</v>
      </c>
      <c r="B20" s="260"/>
      <c r="C20" s="261" t="s">
        <v>24</v>
      </c>
      <c r="D20" s="262"/>
      <c r="E20" s="261"/>
      <c r="F20" s="261" t="s">
        <v>25</v>
      </c>
      <c r="G20" s="263" t="s">
        <v>214</v>
      </c>
      <c r="H20" s="264"/>
      <c r="I20" s="265" t="s">
        <v>26</v>
      </c>
      <c r="J20" s="263" t="s">
        <v>214</v>
      </c>
      <c r="K20" s="266"/>
      <c r="L20" s="266" t="s">
        <v>27</v>
      </c>
      <c r="M20" s="263" t="s">
        <v>214</v>
      </c>
      <c r="N20" s="264"/>
      <c r="O20" s="265" t="s">
        <v>28</v>
      </c>
      <c r="P20" s="305" t="s">
        <v>214</v>
      </c>
    </row>
    <row r="21" spans="1:17" ht="21" customHeight="1">
      <c r="A21" s="387"/>
      <c r="B21" s="285">
        <v>1</v>
      </c>
      <c r="C21" s="283" t="str">
        <f>'Програма-имена+кабинети'!F3</f>
        <v>Г. Тодорова</v>
      </c>
      <c r="D21" s="284">
        <f>'Програма-имена+кабинети'!G3</f>
        <v>103</v>
      </c>
      <c r="E21" s="269">
        <v>1</v>
      </c>
      <c r="F21" s="283" t="str">
        <f>'Програма-имена+кабинети'!F58</f>
        <v>Киров</v>
      </c>
      <c r="G21" s="284" t="str">
        <f>'Програма-имена+кабинети'!G58</f>
        <v>109/110/111/114/102/302</v>
      </c>
      <c r="H21" s="269">
        <v>1</v>
      </c>
      <c r="I21" s="283" t="str">
        <f>'Програма-имена+кабинети'!F113</f>
        <v>Петкова/Пецова</v>
      </c>
      <c r="J21" s="284" t="str">
        <f>'Програма-имена+кабинети'!G113</f>
        <v>КК8/112</v>
      </c>
      <c r="K21" s="269">
        <v>1</v>
      </c>
      <c r="L21" s="283" t="str">
        <f>'Програма-имена+кабинети'!F168</f>
        <v>Пецова</v>
      </c>
      <c r="M21" s="284" t="str">
        <f>'Програма-имена+кабинети'!G168</f>
        <v>102/105/111/112</v>
      </c>
      <c r="N21" s="269">
        <v>1</v>
      </c>
      <c r="O21" s="283" t="str">
        <f>'Програма-имена+кабинети'!F223</f>
        <v>Минчева</v>
      </c>
      <c r="P21" s="284" t="str">
        <f>'Програма-имена+кабинети'!G223</f>
        <v>212/214/215/217</v>
      </c>
    </row>
    <row r="22" spans="1:17" ht="21" customHeight="1">
      <c r="A22" s="387"/>
      <c r="B22" s="285">
        <v>2</v>
      </c>
      <c r="C22" s="252" t="str">
        <f>'Програма-имена+кабинети'!F4</f>
        <v>Петров ФВС</v>
      </c>
      <c r="D22" s="254" t="str">
        <f>'Програма-имена+кабинети'!G4</f>
        <v>ФС</v>
      </c>
      <c r="E22" s="269">
        <v>2</v>
      </c>
      <c r="F22" s="252" t="str">
        <f>'Програма-имена+кабинети'!F59</f>
        <v>Клисарова</v>
      </c>
      <c r="G22" s="254">
        <f>'Програма-имена+кабинети'!G59</f>
        <v>305</v>
      </c>
      <c r="H22" s="269">
        <v>2</v>
      </c>
      <c r="I22" s="252" t="str">
        <f>'Програма-имена+кабинети'!F114</f>
        <v>Клисарова</v>
      </c>
      <c r="J22" s="254">
        <f>'Програма-имена+кабинети'!G114</f>
        <v>305</v>
      </c>
      <c r="K22" s="269">
        <v>2</v>
      </c>
      <c r="L22" s="252" t="str">
        <f>'Програма-имена+кабинети'!F169</f>
        <v>Коларова</v>
      </c>
      <c r="M22" s="254" t="str">
        <f>'Програма-имена+кабинети'!G169</f>
        <v>212/214/215/217</v>
      </c>
      <c r="N22" s="269">
        <v>2</v>
      </c>
      <c r="O22" s="252" t="str">
        <f>'Програма-имена+кабинети'!F224</f>
        <v>Пецова</v>
      </c>
      <c r="P22" s="254" t="str">
        <f>'Програма-имена+кабинети'!G224</f>
        <v>102/105/111/112</v>
      </c>
    </row>
    <row r="23" spans="1:17" ht="21" customHeight="1">
      <c r="A23" s="387"/>
      <c r="B23" s="285">
        <v>3</v>
      </c>
      <c r="C23" s="252" t="str">
        <f>'Програма-имена+кабинети'!F5</f>
        <v>Киров</v>
      </c>
      <c r="D23" s="254" t="str">
        <f>'Програма-имена+кабинети'!G5</f>
        <v>109/110/111/114/102/302</v>
      </c>
      <c r="E23" s="269">
        <v>3</v>
      </c>
      <c r="F23" s="274" t="str">
        <f>'Програма-имена+кабинети'!F60</f>
        <v>Клисарова</v>
      </c>
      <c r="G23" s="254">
        <f>'Програма-имена+кабинети'!G60</f>
        <v>305</v>
      </c>
      <c r="H23" s="269">
        <v>3</v>
      </c>
      <c r="I23" s="252" t="str">
        <f>'Програма-имена+кабинети'!F115</f>
        <v>Янева/Пецова</v>
      </c>
      <c r="J23" s="254" t="str">
        <f>'Програма-имена+кабинети'!G115</f>
        <v>КК3/</v>
      </c>
      <c r="K23" s="269">
        <v>3</v>
      </c>
      <c r="L23" s="252" t="str">
        <f>'Програма-имена+кабинети'!F170</f>
        <v>Трифонова</v>
      </c>
      <c r="M23" s="254">
        <f>'Програма-имена+кабинети'!G170</f>
        <v>203</v>
      </c>
      <c r="N23" s="269">
        <v>3</v>
      </c>
      <c r="O23" s="252" t="str">
        <f>'Програма-имена+кабинети'!F225</f>
        <v>Трифонова</v>
      </c>
      <c r="P23" s="254">
        <f>'Програма-имена+кабинети'!G225</f>
        <v>203</v>
      </c>
    </row>
    <row r="24" spans="1:17" ht="21" customHeight="1">
      <c r="A24" s="387"/>
      <c r="B24" s="285">
        <v>4</v>
      </c>
      <c r="C24" s="252" t="str">
        <f>'Програма-имена+кабинети'!F6</f>
        <v>Трифонова</v>
      </c>
      <c r="D24" s="254">
        <f>'Програма-имена+кабинети'!G6</f>
        <v>203</v>
      </c>
      <c r="E24" s="269">
        <v>4</v>
      </c>
      <c r="F24" s="252" t="str">
        <f>'Програма-имена+кабинети'!F61</f>
        <v>Никова</v>
      </c>
      <c r="G24" s="254">
        <f>'Програма-имена+кабинети'!G61</f>
        <v>111</v>
      </c>
      <c r="H24" s="269">
        <v>4</v>
      </c>
      <c r="I24" s="252" t="str">
        <f>'Програма-имена+кабинети'!F116</f>
        <v>Трифонова</v>
      </c>
      <c r="J24" s="254">
        <f>'Програма-имена+кабинети'!G116</f>
        <v>203</v>
      </c>
      <c r="K24" s="269">
        <v>4</v>
      </c>
      <c r="L24" s="252" t="str">
        <f>'Програма-имена+кабинети'!F171</f>
        <v>Г. Тодорова</v>
      </c>
      <c r="M24" s="254">
        <f>'Програма-имена+кабинети'!G171</f>
        <v>103</v>
      </c>
      <c r="N24" s="269">
        <v>4</v>
      </c>
      <c r="O24" s="252" t="str">
        <f>'Програма-имена+кабинети'!F226</f>
        <v>Трифонова</v>
      </c>
      <c r="P24" s="254">
        <f>'Програма-имена+кабинети'!G226</f>
        <v>203</v>
      </c>
    </row>
    <row r="25" spans="1:17" ht="21" customHeight="1">
      <c r="A25" s="387"/>
      <c r="B25" s="285">
        <v>5</v>
      </c>
      <c r="C25" s="252" t="str">
        <f>'Програма-имена+кабинети'!F7</f>
        <v>Трифонова</v>
      </c>
      <c r="D25" s="254">
        <f>'Програма-имена+кабинети'!G7</f>
        <v>203</v>
      </c>
      <c r="E25" s="269">
        <v>5</v>
      </c>
      <c r="F25" s="252" t="str">
        <f>'Програма-имена+кабинети'!F62</f>
        <v>Трифонова</v>
      </c>
      <c r="G25" s="254">
        <f>'Програма-имена+кабинети'!G62</f>
        <v>203</v>
      </c>
      <c r="H25" s="269">
        <v>5</v>
      </c>
      <c r="I25" s="252" t="str">
        <f>'Програма-имена+кабинети'!F117</f>
        <v>Г. Тодорова</v>
      </c>
      <c r="J25" s="254">
        <f>'Програма-имена+кабинети'!G117</f>
        <v>103</v>
      </c>
      <c r="K25" s="269">
        <v>5</v>
      </c>
      <c r="L25" s="252" t="str">
        <f>'Програма-имена+кабинети'!F172</f>
        <v>Петров ФВС</v>
      </c>
      <c r="M25" s="254" t="str">
        <f>'Програма-имена+кабинети'!G172</f>
        <v>ФС</v>
      </c>
      <c r="N25" s="269">
        <v>5</v>
      </c>
      <c r="O25" s="252" t="str">
        <f>'Програма-имена+кабинети'!F227</f>
        <v>Клисарова</v>
      </c>
      <c r="P25" s="254">
        <f>'Програма-имена+кабинети'!G227</f>
        <v>305</v>
      </c>
    </row>
    <row r="26" spans="1:17" ht="21" customHeight="1">
      <c r="A26" s="387"/>
      <c r="B26" s="285">
        <v>6</v>
      </c>
      <c r="C26" s="252" t="str">
        <f>'Програма-имена+кабинети'!F8</f>
        <v>Клисарова</v>
      </c>
      <c r="D26" s="254">
        <f>'Програма-имена+кабинети'!G8</f>
        <v>305</v>
      </c>
      <c r="E26" s="269">
        <v>6</v>
      </c>
      <c r="F26" s="252" t="str">
        <f>'Програма-имена+кабинети'!F63</f>
        <v>Петров</v>
      </c>
      <c r="G26" s="254">
        <f>'Програма-имена+кабинети'!G63</f>
        <v>112</v>
      </c>
      <c r="H26" s="269">
        <v>6</v>
      </c>
      <c r="I26" s="252" t="str">
        <f>'Програма-имена+кабинети'!F118</f>
        <v>Минчева</v>
      </c>
      <c r="J26" s="254" t="str">
        <f>'Програма-имена+кабинети'!G118</f>
        <v>212/214/215/217</v>
      </c>
      <c r="K26" s="269">
        <v>6</v>
      </c>
      <c r="L26" s="252" t="str">
        <f>'Програма-имена+кабинети'!F173</f>
        <v>Никова</v>
      </c>
      <c r="M26" s="254">
        <f>'Програма-имена+кабинети'!G173</f>
        <v>111</v>
      </c>
      <c r="N26" s="269">
        <v>6</v>
      </c>
      <c r="O26" s="252" t="str">
        <f>'Програма-имена+кабинети'!F228</f>
        <v>Влашинска</v>
      </c>
      <c r="P26" s="254" t="str">
        <f>'Програма-имена+кабинети'!G228</f>
        <v>212/214/215/217</v>
      </c>
    </row>
    <row r="27" spans="1:17" s="268" customFormat="1" ht="21" customHeight="1">
      <c r="A27" s="387"/>
      <c r="B27" s="286">
        <v>7</v>
      </c>
      <c r="C27" s="253" t="str">
        <f>'Програма-имена+кабинети'!F9</f>
        <v>Влашинска</v>
      </c>
      <c r="D27" s="255" t="str">
        <f>'Програма-имена+кабинети'!G9</f>
        <v>212/214/215/217</v>
      </c>
      <c r="E27" s="276">
        <v>7</v>
      </c>
      <c r="F27" s="253">
        <f>'Програма-имена+кабинети'!F64</f>
        <v>0</v>
      </c>
      <c r="G27" s="255" t="str">
        <f>'Програма-имена+кабинети'!G64</f>
        <v/>
      </c>
      <c r="H27" s="276">
        <v>7</v>
      </c>
      <c r="I27" s="253" t="str">
        <f>'Програма-имена+кабинети'!F119</f>
        <v>Трифонова</v>
      </c>
      <c r="J27" s="255">
        <f>'Програма-имена+кабинети'!G119</f>
        <v>203</v>
      </c>
      <c r="K27" s="276">
        <v>7</v>
      </c>
      <c r="L27" s="253">
        <f>'Програма-имена+кабинети'!F174</f>
        <v>0</v>
      </c>
      <c r="M27" s="255" t="str">
        <f>'Програма-имена+кабинети'!G174</f>
        <v/>
      </c>
      <c r="N27" s="276">
        <v>7</v>
      </c>
      <c r="O27" s="253">
        <f>'Програма-имена+кабинети'!F229</f>
        <v>0</v>
      </c>
      <c r="P27" s="255" t="str">
        <f>'Програма-имена+кабинети'!G229</f>
        <v/>
      </c>
      <c r="Q27" s="267"/>
    </row>
    <row r="29" spans="1:17" ht="21" customHeight="1">
      <c r="A29" s="387" t="s">
        <v>0</v>
      </c>
      <c r="B29" s="287"/>
      <c r="C29" s="261" t="s">
        <v>24</v>
      </c>
      <c r="D29" s="262"/>
      <c r="E29" s="261"/>
      <c r="F29" s="261" t="s">
        <v>25</v>
      </c>
      <c r="G29" s="263" t="s">
        <v>214</v>
      </c>
      <c r="H29" s="264"/>
      <c r="I29" s="265" t="s">
        <v>26</v>
      </c>
      <c r="J29" s="263" t="s">
        <v>214</v>
      </c>
      <c r="K29" s="266"/>
      <c r="L29" s="266" t="s">
        <v>27</v>
      </c>
      <c r="M29" s="263" t="s">
        <v>214</v>
      </c>
      <c r="N29" s="264"/>
      <c r="O29" s="265" t="s">
        <v>28</v>
      </c>
      <c r="P29" s="305" t="s">
        <v>214</v>
      </c>
    </row>
    <row r="30" spans="1:17" ht="21" customHeight="1">
      <c r="A30" s="387"/>
      <c r="B30" s="285">
        <v>1</v>
      </c>
      <c r="C30" s="283" t="str">
        <f>'Програма-имена+кабинети'!B12</f>
        <v>Клисарова</v>
      </c>
      <c r="D30" s="284">
        <f>'Програма-имена+кабинети'!C12</f>
        <v>305</v>
      </c>
      <c r="E30" s="269">
        <v>1</v>
      </c>
      <c r="F30" s="283" t="str">
        <f>'Програма-имена+кабинети'!B67</f>
        <v>Спасова</v>
      </c>
      <c r="G30" s="284">
        <f>'Програма-имена+кабинети'!C67</f>
        <v>205</v>
      </c>
      <c r="H30" s="285">
        <v>1</v>
      </c>
      <c r="I30" s="270" t="str">
        <f>'Програма-имена+кабинети'!B122</f>
        <v>Клисарова</v>
      </c>
      <c r="J30" s="271">
        <f>'Програма-имена+кабинети'!C122</f>
        <v>305</v>
      </c>
      <c r="K30" s="269">
        <v>1</v>
      </c>
      <c r="L30" s="283" t="str">
        <f>'Програма-имена+кабинети'!B177</f>
        <v>Янева/Цветков</v>
      </c>
      <c r="M30" s="284" t="str">
        <f>'Програма-имена+кабинети'!C177</f>
        <v>КК8/КК2</v>
      </c>
      <c r="N30" s="285">
        <v>1</v>
      </c>
      <c r="O30" s="270" t="str">
        <f>'Програма-имена+кабинети'!B231</f>
        <v>Трифонова</v>
      </c>
      <c r="P30" s="271">
        <f>'Програма-имена+кабинети'!C231</f>
        <v>203</v>
      </c>
    </row>
    <row r="31" spans="1:17" ht="21" customHeight="1">
      <c r="A31" s="387"/>
      <c r="B31" s="285">
        <v>2</v>
      </c>
      <c r="C31" s="252" t="str">
        <f>'Програма-имена+кабинети'!B13</f>
        <v>Трифонова</v>
      </c>
      <c r="D31" s="254">
        <f>'Програма-имена+кабинети'!C13</f>
        <v>203</v>
      </c>
      <c r="E31" s="269">
        <v>2</v>
      </c>
      <c r="F31" s="252" t="str">
        <f>'Програма-имена+кабинети'!B68</f>
        <v>Г. Петрова/Янева</v>
      </c>
      <c r="G31" s="254" t="str">
        <f>'Програма-имена+кабинети'!C68</f>
        <v>КК5/КК2</v>
      </c>
      <c r="H31" s="285">
        <v>2</v>
      </c>
      <c r="I31" s="274" t="str">
        <f>'Програма-имена+кабинети'!B123</f>
        <v>Трифонова</v>
      </c>
      <c r="J31" s="275">
        <f>'Програма-имена+кабинети'!C123</f>
        <v>203</v>
      </c>
      <c r="K31" s="269">
        <v>2</v>
      </c>
      <c r="L31" s="252" t="str">
        <f>'Програма-имена+кабинети'!B178</f>
        <v>Клисарова</v>
      </c>
      <c r="M31" s="254">
        <f>'Програма-имена+кабинети'!C178</f>
        <v>305</v>
      </c>
      <c r="N31" s="285">
        <v>2</v>
      </c>
      <c r="O31" s="274" t="str">
        <f>'Програма-имена+кабинети'!B232</f>
        <v>Трифонова</v>
      </c>
      <c r="P31" s="275">
        <f>'Програма-имена+кабинети'!C232</f>
        <v>203</v>
      </c>
    </row>
    <row r="32" spans="1:17" ht="21" customHeight="1">
      <c r="A32" s="387"/>
      <c r="B32" s="285">
        <v>3</v>
      </c>
      <c r="C32" s="252" t="str">
        <f>'Програма-имена+кабинети'!B14</f>
        <v>Янева/Цветков</v>
      </c>
      <c r="D32" s="254" t="str">
        <f>'Програма-имена+кабинети'!C14</f>
        <v>КК8/КК2</v>
      </c>
      <c r="E32" s="269">
        <v>3</v>
      </c>
      <c r="F32" s="252" t="str">
        <f>'Програма-имена+кабинети'!B69</f>
        <v>Спасова</v>
      </c>
      <c r="G32" s="254">
        <f>'Програма-имена+кабинети'!C69</f>
        <v>205</v>
      </c>
      <c r="H32" s="285">
        <v>3</v>
      </c>
      <c r="I32" s="274" t="str">
        <f>'Програма-имена+кабинети'!B124</f>
        <v>Спасова</v>
      </c>
      <c r="J32" s="275">
        <f>'Програма-имена+кабинети'!C124</f>
        <v>205</v>
      </c>
      <c r="K32" s="269">
        <v>3</v>
      </c>
      <c r="L32" s="252" t="str">
        <f>'Програма-имена+кабинети'!B179</f>
        <v>Спасова</v>
      </c>
      <c r="M32" s="254">
        <f>'Програма-имена+кабинети'!C179</f>
        <v>205</v>
      </c>
      <c r="N32" s="285">
        <v>3</v>
      </c>
      <c r="O32" s="274" t="str">
        <f>'Програма-имена+кабинети'!B233</f>
        <v>Спасова</v>
      </c>
      <c r="P32" s="275">
        <f>'Програма-имена+кабинети'!C233</f>
        <v>205</v>
      </c>
    </row>
    <row r="33" spans="1:17" ht="21" customHeight="1">
      <c r="A33" s="387"/>
      <c r="B33" s="285">
        <v>4</v>
      </c>
      <c r="C33" s="252" t="str">
        <f>'Програма-имена+кабинети'!B15</f>
        <v>Спасова</v>
      </c>
      <c r="D33" s="254">
        <f>'Програма-имена+кабинети'!C15</f>
        <v>205</v>
      </c>
      <c r="E33" s="269">
        <v>4</v>
      </c>
      <c r="F33" s="252" t="str">
        <f>'Програма-имена+кабинети'!B70</f>
        <v>Спасова</v>
      </c>
      <c r="G33" s="254">
        <f>'Програма-имена+кабинети'!C70</f>
        <v>205</v>
      </c>
      <c r="H33" s="285">
        <v>4</v>
      </c>
      <c r="I33" s="274" t="str">
        <f>'Програма-имена+кабинети'!B125</f>
        <v>Спасова</v>
      </c>
      <c r="J33" s="275">
        <f>'Програма-имена+кабинети'!C125</f>
        <v>205</v>
      </c>
      <c r="K33" s="269">
        <v>4</v>
      </c>
      <c r="L33" s="252" t="str">
        <f>'Програма-имена+кабинети'!B180</f>
        <v>Трандев</v>
      </c>
      <c r="M33" s="254" t="str">
        <f>'Програма-имена+кабинети'!C180</f>
        <v>ФС</v>
      </c>
      <c r="N33" s="285">
        <v>4</v>
      </c>
      <c r="O33" s="274" t="str">
        <f>'Програма-имена+кабинети'!B234</f>
        <v>Спасова</v>
      </c>
      <c r="P33" s="275">
        <f>'Програма-имена+кабинети'!C234</f>
        <v>205</v>
      </c>
    </row>
    <row r="34" spans="1:17" ht="21" customHeight="1">
      <c r="A34" s="387"/>
      <c r="B34" s="285">
        <v>5</v>
      </c>
      <c r="C34" s="252" t="str">
        <f>'Програма-имена+кабинети'!B16</f>
        <v>Спасова</v>
      </c>
      <c r="D34" s="254">
        <f>'Програма-имена+кабинети'!C16</f>
        <v>205</v>
      </c>
      <c r="E34" s="269">
        <v>5</v>
      </c>
      <c r="F34" s="252" t="str">
        <f>'Програма-имена+кабинети'!B71</f>
        <v>Спасова</v>
      </c>
      <c r="G34" s="254">
        <f>'Програма-имена+кабинети'!C71</f>
        <v>205</v>
      </c>
      <c r="H34" s="285">
        <v>5</v>
      </c>
      <c r="I34" s="274" t="str">
        <f>'Програма-имена+кабинети'!B126</f>
        <v>Трандев</v>
      </c>
      <c r="J34" s="275" t="str">
        <f>'Програма-имена+кабинети'!C126</f>
        <v>ФС</v>
      </c>
      <c r="K34" s="269">
        <v>5</v>
      </c>
      <c r="L34" s="252" t="str">
        <f>'Програма-имена+кабинети'!B181</f>
        <v>Спасова</v>
      </c>
      <c r="M34" s="254">
        <f>'Програма-имена+кабинети'!C181</f>
        <v>205</v>
      </c>
      <c r="N34" s="285">
        <v>5</v>
      </c>
      <c r="O34" s="274" t="str">
        <f>'Програма-имена+кабинети'!B235</f>
        <v>Спасова</v>
      </c>
      <c r="P34" s="275">
        <f>'Програма-имена+кабинети'!C235</f>
        <v>205</v>
      </c>
    </row>
    <row r="35" spans="1:17" s="268" customFormat="1" ht="21" customHeight="1">
      <c r="A35" s="387"/>
      <c r="B35" s="285">
        <v>6</v>
      </c>
      <c r="C35" s="252" t="str">
        <f>'Програма-имена+кабинети'!B17</f>
        <v>Спасова</v>
      </c>
      <c r="D35" s="254">
        <f>'Програма-имена+кабинети'!C17</f>
        <v>205</v>
      </c>
      <c r="E35" s="269">
        <v>6</v>
      </c>
      <c r="F35" s="252" t="str">
        <f>'Програма-имена+кабинети'!B72</f>
        <v>В. Иванова</v>
      </c>
      <c r="G35" s="254">
        <f>'Програма-имена+кабинети'!C72</f>
        <v>109</v>
      </c>
      <c r="H35" s="285">
        <v>6</v>
      </c>
      <c r="I35" s="274" t="str">
        <f>'Програма-имена+кабинети'!B127</f>
        <v>Спасова</v>
      </c>
      <c r="J35" s="275">
        <f>'Програма-имена+кабинети'!C127</f>
        <v>205</v>
      </c>
      <c r="K35" s="269">
        <v>6</v>
      </c>
      <c r="L35" s="252" t="str">
        <f>'Програма-имена+кабинети'!B182</f>
        <v>Спасова</v>
      </c>
      <c r="M35" s="254">
        <f>'Програма-имена+кабинети'!C182</f>
        <v>205</v>
      </c>
      <c r="N35" s="285">
        <v>6</v>
      </c>
      <c r="O35" s="274" t="str">
        <f>'Програма-имена+кабинети'!B236</f>
        <v>Спасова</v>
      </c>
      <c r="P35" s="275">
        <f>'Програма-имена+кабинети'!C236</f>
        <v>205</v>
      </c>
      <c r="Q35" s="267"/>
    </row>
    <row r="36" spans="1:17" ht="21" customHeight="1">
      <c r="A36" s="387"/>
      <c r="B36" s="286">
        <v>7</v>
      </c>
      <c r="C36" s="253" t="str">
        <f>'Програма-имена+кабинети'!B18</f>
        <v>Спасова</v>
      </c>
      <c r="D36" s="288">
        <f>'Програма-имена+кабинети'!C18</f>
        <v>205</v>
      </c>
      <c r="E36" s="286">
        <v>7</v>
      </c>
      <c r="F36" s="289" t="str">
        <f>'Програма-имена+кабинети'!B73</f>
        <v>Петров</v>
      </c>
      <c r="G36" s="255">
        <f>'Програма-имена+кабинети'!C73</f>
        <v>112</v>
      </c>
      <c r="H36" s="280">
        <v>7</v>
      </c>
      <c r="I36" s="277" t="str">
        <f>'Програма-имена+кабинети'!B128</f>
        <v>Спасова</v>
      </c>
      <c r="J36" s="278">
        <f>'Програма-имена+кабинети'!C128</f>
        <v>205</v>
      </c>
      <c r="K36" s="276">
        <v>7</v>
      </c>
      <c r="L36" s="253">
        <f>'Програма-имена+кабинети'!B183</f>
        <v>0</v>
      </c>
      <c r="M36" s="255" t="str">
        <f>'Програма-имена+кабинети'!C183</f>
        <v/>
      </c>
      <c r="N36" s="286">
        <v>7</v>
      </c>
      <c r="O36" s="277">
        <f>'Програма-имена+кабинети'!B237</f>
        <v>0</v>
      </c>
      <c r="P36" s="278" t="str">
        <f>'Програма-имена+кабинети'!C237</f>
        <v/>
      </c>
    </row>
    <row r="38" spans="1:17" ht="21" customHeight="1">
      <c r="A38" s="387" t="s">
        <v>1</v>
      </c>
      <c r="B38" s="287"/>
      <c r="C38" s="261" t="s">
        <v>24</v>
      </c>
      <c r="D38" s="262"/>
      <c r="E38" s="261"/>
      <c r="F38" s="261" t="s">
        <v>25</v>
      </c>
      <c r="G38" s="263" t="s">
        <v>214</v>
      </c>
      <c r="H38" s="264"/>
      <c r="I38" s="265" t="s">
        <v>26</v>
      </c>
      <c r="J38" s="263" t="s">
        <v>214</v>
      </c>
      <c r="K38" s="266"/>
      <c r="L38" s="266" t="s">
        <v>27</v>
      </c>
      <c r="M38" s="263" t="s">
        <v>214</v>
      </c>
      <c r="N38" s="264"/>
      <c r="O38" s="265" t="s">
        <v>28</v>
      </c>
      <c r="P38" s="305" t="s">
        <v>214</v>
      </c>
    </row>
    <row r="39" spans="1:17" ht="21" customHeight="1">
      <c r="A39" s="387"/>
      <c r="B39" s="285">
        <v>1</v>
      </c>
      <c r="C39" s="283" t="str">
        <f>'Програма-имена+кабинети'!D12</f>
        <v>Габарова</v>
      </c>
      <c r="D39" s="284">
        <f>'Програма-имена+кабинети'!E12</f>
        <v>206</v>
      </c>
      <c r="E39" s="269">
        <v>1</v>
      </c>
      <c r="F39" s="283" t="str">
        <f>'Програма-имена+кабинети'!D67</f>
        <v>Вълчева</v>
      </c>
      <c r="G39" s="284">
        <f>'Програма-имена+кабинети'!E67</f>
        <v>201</v>
      </c>
      <c r="H39" s="269">
        <v>1</v>
      </c>
      <c r="I39" s="283" t="str">
        <f>'Програма-имена+кабинети'!D122</f>
        <v>Гочева</v>
      </c>
      <c r="J39" s="284">
        <f>'Програма-имена+кабинети'!E122</f>
        <v>301</v>
      </c>
      <c r="K39" s="269">
        <v>1</v>
      </c>
      <c r="L39" s="283" t="str">
        <f>'Програма-имена+кабинети'!D177</f>
        <v>Габарова</v>
      </c>
      <c r="M39" s="284">
        <f>'Програма-имена+кабинети'!E177</f>
        <v>206</v>
      </c>
      <c r="N39" s="269">
        <v>1</v>
      </c>
      <c r="O39" s="283" t="str">
        <f>'Програма-имена+кабинети'!D231</f>
        <v>Вълчева</v>
      </c>
      <c r="P39" s="284">
        <f>'Програма-имена+кабинети'!E231</f>
        <v>201</v>
      </c>
    </row>
    <row r="40" spans="1:17" ht="21" customHeight="1">
      <c r="A40" s="387"/>
      <c r="B40" s="285">
        <v>2</v>
      </c>
      <c r="C40" s="252" t="str">
        <f>'Програма-имена+кабинети'!D13</f>
        <v>Габарова</v>
      </c>
      <c r="D40" s="254">
        <f>'Програма-имена+кабинети'!E13</f>
        <v>206</v>
      </c>
      <c r="E40" s="269">
        <v>2</v>
      </c>
      <c r="F40" s="252" t="str">
        <f>'Програма-имена+кабинети'!D68</f>
        <v>В. Иванова</v>
      </c>
      <c r="G40" s="254">
        <f>'Програма-имена+кабинети'!E68</f>
        <v>109</v>
      </c>
      <c r="H40" s="269">
        <v>2</v>
      </c>
      <c r="I40" s="252" t="str">
        <f>'Програма-имена+кабинети'!D123</f>
        <v>Петров</v>
      </c>
      <c r="J40" s="254">
        <f>'Програма-имена+кабинети'!E123</f>
        <v>112</v>
      </c>
      <c r="K40" s="269">
        <v>2</v>
      </c>
      <c r="L40" s="252" t="str">
        <f>'Програма-имена+кабинети'!D178</f>
        <v>Габарова</v>
      </c>
      <c r="M40" s="254">
        <f>'Програма-имена+кабинети'!E178</f>
        <v>206</v>
      </c>
      <c r="N40" s="269">
        <v>2</v>
      </c>
      <c r="O40" s="252" t="str">
        <f>'Програма-имена+кабинети'!D232</f>
        <v>Вълчева</v>
      </c>
      <c r="P40" s="254">
        <f>'Програма-имена+кабинети'!E232</f>
        <v>201</v>
      </c>
    </row>
    <row r="41" spans="1:17" ht="21" customHeight="1">
      <c r="A41" s="387"/>
      <c r="B41" s="285">
        <v>3</v>
      </c>
      <c r="C41" s="252" t="str">
        <f>'Програма-имена+кабинети'!D14</f>
        <v>Габарова</v>
      </c>
      <c r="D41" s="254">
        <f>'Програма-имена+кабинети'!E14</f>
        <v>206</v>
      </c>
      <c r="E41" s="269">
        <v>3</v>
      </c>
      <c r="F41" s="252" t="str">
        <f>'Програма-имена+кабинети'!D69</f>
        <v>Г. Петрова/Янева</v>
      </c>
      <c r="G41" s="254" t="str">
        <f>'Програма-имена+кабинети'!E69</f>
        <v>КК5/КК2</v>
      </c>
      <c r="H41" s="269">
        <v>3</v>
      </c>
      <c r="I41" s="252" t="str">
        <f>'Програма-имена+кабинети'!D124</f>
        <v>Габарова</v>
      </c>
      <c r="J41" s="254">
        <f>'Програма-имена+кабинети'!E124</f>
        <v>206</v>
      </c>
      <c r="K41" s="269">
        <v>3</v>
      </c>
      <c r="L41" s="252" t="str">
        <f>'Програма-имена+кабинети'!D179</f>
        <v>Габарова</v>
      </c>
      <c r="M41" s="254">
        <f>'Програма-имена+кабинети'!E179</f>
        <v>206</v>
      </c>
      <c r="N41" s="269">
        <v>3</v>
      </c>
      <c r="O41" s="252" t="str">
        <f>'Програма-имена+кабинети'!D233</f>
        <v>Гочева</v>
      </c>
      <c r="P41" s="254">
        <f>'Програма-имена+кабинети'!E233</f>
        <v>301</v>
      </c>
    </row>
    <row r="42" spans="1:17" ht="21" customHeight="1">
      <c r="A42" s="387"/>
      <c r="B42" s="285">
        <v>4</v>
      </c>
      <c r="C42" s="252" t="str">
        <f>'Програма-имена+кабинети'!D15</f>
        <v>Гочева</v>
      </c>
      <c r="D42" s="254">
        <f>'Програма-имена+кабинети'!E15</f>
        <v>301</v>
      </c>
      <c r="E42" s="269">
        <v>4</v>
      </c>
      <c r="F42" s="252" t="str">
        <f>'Програма-имена+кабинети'!D70</f>
        <v>Габарова</v>
      </c>
      <c r="G42" s="254">
        <f>'Програма-имена+кабинети'!E70</f>
        <v>206</v>
      </c>
      <c r="H42" s="269">
        <v>4</v>
      </c>
      <c r="I42" s="252" t="str">
        <f>'Програма-имена+кабинети'!D125</f>
        <v>Габарова</v>
      </c>
      <c r="J42" s="254">
        <f>'Програма-имена+кабинети'!E125</f>
        <v>206</v>
      </c>
      <c r="K42" s="269">
        <v>4</v>
      </c>
      <c r="L42" s="252" t="str">
        <f>'Програма-имена+кабинети'!D180</f>
        <v>Габарова</v>
      </c>
      <c r="M42" s="254">
        <f>'Програма-имена+кабинети'!E180</f>
        <v>206</v>
      </c>
      <c r="N42" s="269">
        <v>4</v>
      </c>
      <c r="O42" s="252" t="str">
        <f>'Програма-имена+кабинети'!D234</f>
        <v>Габарова</v>
      </c>
      <c r="P42" s="254">
        <f>'Програма-имена+кабинети'!E234</f>
        <v>206</v>
      </c>
    </row>
    <row r="43" spans="1:17" s="268" customFormat="1" ht="21" customHeight="1">
      <c r="A43" s="387"/>
      <c r="B43" s="285">
        <v>5</v>
      </c>
      <c r="C43" s="252" t="str">
        <f>'Програма-имена+кабинети'!D16</f>
        <v>Вълчева</v>
      </c>
      <c r="D43" s="254">
        <f>'Програма-имена+кабинети'!E16</f>
        <v>201</v>
      </c>
      <c r="E43" s="269">
        <v>5</v>
      </c>
      <c r="F43" s="252" t="str">
        <f>'Програма-имена+кабинети'!D71</f>
        <v>Габарова</v>
      </c>
      <c r="G43" s="254">
        <f>'Програма-имена+кабинети'!E71</f>
        <v>206</v>
      </c>
      <c r="H43" s="269">
        <v>5</v>
      </c>
      <c r="I43" s="252" t="str">
        <f>'Програма-имена+кабинети'!D126</f>
        <v>Габарова</v>
      </c>
      <c r="J43" s="254">
        <f>'Програма-имена+кабинети'!E126</f>
        <v>206</v>
      </c>
      <c r="K43" s="269">
        <v>5</v>
      </c>
      <c r="L43" s="252" t="str">
        <f>'Програма-имена+кабинети'!D181</f>
        <v>Димитрова/Янева</v>
      </c>
      <c r="M43" s="254" t="str">
        <f>'Програма-имена+кабинети'!E181</f>
        <v>КК4/102/109</v>
      </c>
      <c r="N43" s="269">
        <v>5</v>
      </c>
      <c r="O43" s="252" t="str">
        <f>'Програма-имена+кабинети'!D235</f>
        <v>Габарова</v>
      </c>
      <c r="P43" s="254">
        <f>'Програма-имена+кабинети'!E235</f>
        <v>206</v>
      </c>
      <c r="Q43" s="267"/>
    </row>
    <row r="44" spans="1:17" ht="21" customHeight="1">
      <c r="A44" s="387"/>
      <c r="B44" s="285">
        <v>6</v>
      </c>
      <c r="C44" s="252" t="str">
        <f>'Програма-имена+кабинети'!D17</f>
        <v>Димитрова/Янева</v>
      </c>
      <c r="D44" s="254" t="str">
        <f>'Програма-имена+кабинети'!E17</f>
        <v>КК4/102/109</v>
      </c>
      <c r="E44" s="269">
        <v>6</v>
      </c>
      <c r="F44" s="252" t="str">
        <f>'Програма-имена+кабинети'!D72</f>
        <v>Габарова</v>
      </c>
      <c r="G44" s="254">
        <f>'Програма-имена+кабинети'!E72</f>
        <v>206</v>
      </c>
      <c r="H44" s="269">
        <v>6</v>
      </c>
      <c r="I44" s="252" t="str">
        <f>'Програма-имена+кабинети'!D127</f>
        <v>Габарова</v>
      </c>
      <c r="J44" s="254">
        <f>'Програма-имена+кабинети'!E127</f>
        <v>206</v>
      </c>
      <c r="K44" s="269">
        <v>6</v>
      </c>
      <c r="L44" s="252" t="str">
        <f>'Програма-имена+кабинети'!D182</f>
        <v>Трандев</v>
      </c>
      <c r="M44" s="254" t="str">
        <f>'Програма-имена+кабинети'!E182</f>
        <v>ФС</v>
      </c>
      <c r="N44" s="269">
        <v>6</v>
      </c>
      <c r="O44" s="252" t="str">
        <f>'Програма-имена+кабинети'!D236</f>
        <v>Габарова</v>
      </c>
      <c r="P44" s="254">
        <f>'Програма-имена+кабинети'!E236</f>
        <v>206</v>
      </c>
    </row>
    <row r="45" spans="1:17" ht="21" customHeight="1">
      <c r="A45" s="387"/>
      <c r="B45" s="286">
        <v>7</v>
      </c>
      <c r="C45" s="253" t="str">
        <f>'Програма-имена+кабинети'!D18</f>
        <v>Трандев</v>
      </c>
      <c r="D45" s="255" t="str">
        <f>'Програма-имена+кабинети'!E18</f>
        <v>ФС</v>
      </c>
      <c r="E45" s="276">
        <v>7</v>
      </c>
      <c r="F45" s="253" t="str">
        <f>'Програма-имена+кабинети'!D73</f>
        <v>Габарова</v>
      </c>
      <c r="G45" s="288">
        <f>'Програма-имена+кабинети'!E73</f>
        <v>206</v>
      </c>
      <c r="H45" s="286">
        <v>7</v>
      </c>
      <c r="I45" s="289" t="str">
        <f>'Програма-имена+кабинети'!D128</f>
        <v>Вълчева</v>
      </c>
      <c r="J45" s="278">
        <f>'Програма-имена+кабинети'!E128</f>
        <v>201</v>
      </c>
      <c r="K45" s="279">
        <v>7</v>
      </c>
      <c r="L45" s="253">
        <f>'Програма-имена+кабинети'!D183</f>
        <v>0</v>
      </c>
      <c r="M45" s="255" t="str">
        <f>'Програма-имена+кабинети'!E183</f>
        <v/>
      </c>
      <c r="N45" s="276">
        <v>7</v>
      </c>
      <c r="O45" s="253">
        <f>'Програма-имена+кабинети'!D237</f>
        <v>0</v>
      </c>
      <c r="P45" s="255" t="str">
        <f>'Програма-имена+кабинети'!E237</f>
        <v/>
      </c>
    </row>
    <row r="47" spans="1:17" ht="21" customHeight="1">
      <c r="A47" s="387" t="s">
        <v>2</v>
      </c>
      <c r="B47" s="287"/>
      <c r="C47" s="261" t="s">
        <v>24</v>
      </c>
      <c r="D47" s="262"/>
      <c r="E47" s="261"/>
      <c r="F47" s="261" t="s">
        <v>25</v>
      </c>
      <c r="G47" s="263" t="s">
        <v>214</v>
      </c>
      <c r="H47" s="264"/>
      <c r="I47" s="265" t="s">
        <v>26</v>
      </c>
      <c r="J47" s="263" t="s">
        <v>214</v>
      </c>
      <c r="K47" s="266"/>
      <c r="L47" s="266" t="s">
        <v>27</v>
      </c>
      <c r="M47" s="263" t="s">
        <v>214</v>
      </c>
      <c r="N47" s="264"/>
      <c r="O47" s="265" t="s">
        <v>28</v>
      </c>
      <c r="P47" s="305" t="s">
        <v>214</v>
      </c>
    </row>
    <row r="48" spans="1:17" ht="21" customHeight="1">
      <c r="A48" s="387"/>
      <c r="B48" s="285">
        <v>1</v>
      </c>
      <c r="C48" s="283" t="str">
        <f>'Програма-имена+кабинети'!F12</f>
        <v>Гинева</v>
      </c>
      <c r="D48" s="284">
        <f>'Програма-имена+кабинети'!G12</f>
        <v>102</v>
      </c>
      <c r="E48" s="269">
        <v>1</v>
      </c>
      <c r="F48" s="283" t="str">
        <f>'Програма-имена+кабинети'!F67</f>
        <v>Г. Петрова/Янева</v>
      </c>
      <c r="G48" s="284" t="str">
        <f>'Програма-имена+кабинети'!G67</f>
        <v>КК5/КК2</v>
      </c>
      <c r="H48" s="269">
        <v>1</v>
      </c>
      <c r="I48" s="283" t="str">
        <f>'Програма-имена+кабинети'!F122</f>
        <v>Н. Николова</v>
      </c>
      <c r="J48" s="284" t="str">
        <f>'Програма-имена+кабинети'!G122</f>
        <v>201/202/203/205/206</v>
      </c>
      <c r="K48" s="269">
        <v>1</v>
      </c>
      <c r="L48" s="283" t="str">
        <f>'Програма-имена+кабинети'!F177</f>
        <v>Гинева</v>
      </c>
      <c r="M48" s="284">
        <f>'Програма-имена+кабинети'!G177</f>
        <v>102</v>
      </c>
      <c r="N48" s="269">
        <v>1</v>
      </c>
      <c r="O48" s="283" t="str">
        <f>'Програма-имена+кабинети'!F231</f>
        <v>Гинева</v>
      </c>
      <c r="P48" s="284">
        <f>'Програма-имена+кабинети'!G231</f>
        <v>102</v>
      </c>
    </row>
    <row r="49" spans="1:17" ht="21" customHeight="1">
      <c r="A49" s="387"/>
      <c r="B49" s="285">
        <v>2</v>
      </c>
      <c r="C49" s="252" t="str">
        <f>'Програма-имена+кабинети'!F13</f>
        <v>Гинева</v>
      </c>
      <c r="D49" s="254">
        <f>'Програма-имена+кабинети'!G13</f>
        <v>102</v>
      </c>
      <c r="E49" s="269">
        <v>2</v>
      </c>
      <c r="F49" s="252" t="str">
        <f>'Програма-имена+кабинети'!F68</f>
        <v>Гинева</v>
      </c>
      <c r="G49" s="254">
        <f>'Програма-имена+кабинети'!G68</f>
        <v>102</v>
      </c>
      <c r="H49" s="269">
        <v>2</v>
      </c>
      <c r="I49" s="252" t="str">
        <f>'Програма-имена+кабинети'!F123</f>
        <v>Н. Николова</v>
      </c>
      <c r="J49" s="254" t="str">
        <f>'Програма-имена+кабинети'!G123</f>
        <v>201/202/203/205/206</v>
      </c>
      <c r="K49" s="269">
        <v>2</v>
      </c>
      <c r="L49" s="252" t="str">
        <f>'Програма-имена+кабинети'!F178</f>
        <v>Гинева</v>
      </c>
      <c r="M49" s="254">
        <f>'Програма-имена+кабинети'!G178</f>
        <v>102</v>
      </c>
      <c r="N49" s="269">
        <v>2</v>
      </c>
      <c r="O49" s="252" t="str">
        <f>'Програма-имена+кабинети'!F232</f>
        <v>Гинева</v>
      </c>
      <c r="P49" s="254">
        <f>'Програма-имена+кабинети'!G232</f>
        <v>102</v>
      </c>
    </row>
    <row r="50" spans="1:17" ht="21" customHeight="1">
      <c r="A50" s="387"/>
      <c r="B50" s="285">
        <v>3</v>
      </c>
      <c r="C50" s="252" t="str">
        <f>'Програма-имена+кабинети'!F14</f>
        <v>Гинева</v>
      </c>
      <c r="D50" s="254">
        <f>'Програма-имена+кабинети'!G14</f>
        <v>102</v>
      </c>
      <c r="E50" s="269">
        <v>3</v>
      </c>
      <c r="F50" s="252" t="str">
        <f>'Програма-имена+кабинети'!F69</f>
        <v>Гинева</v>
      </c>
      <c r="G50" s="254">
        <f>'Програма-имена+кабинети'!G69</f>
        <v>102</v>
      </c>
      <c r="H50" s="269">
        <v>3</v>
      </c>
      <c r="I50" s="252" t="str">
        <f>'Програма-имена+кабинети'!F124</f>
        <v>Краева</v>
      </c>
      <c r="J50" s="254">
        <f>'Програма-имена+кабинети'!G124</f>
        <v>306</v>
      </c>
      <c r="K50" s="269">
        <v>3</v>
      </c>
      <c r="L50" s="252" t="str">
        <f>'Програма-имена+кабинети'!F179</f>
        <v>Янева/Цветков</v>
      </c>
      <c r="M50" s="254" t="str">
        <f>'Програма-имена+кабинети'!G179</f>
        <v>КК8/КК2</v>
      </c>
      <c r="N50" s="269">
        <v>3</v>
      </c>
      <c r="O50" s="252" t="str">
        <f>'Програма-имена+кабинети'!F233</f>
        <v>Гинева</v>
      </c>
      <c r="P50" s="254">
        <f>'Програма-имена+кабинети'!G233</f>
        <v>102</v>
      </c>
    </row>
    <row r="51" spans="1:17" ht="21" customHeight="1">
      <c r="A51" s="387"/>
      <c r="B51" s="285">
        <v>4</v>
      </c>
      <c r="C51" s="252" t="str">
        <f>'Програма-имена+кабинети'!F15</f>
        <v>Гинева</v>
      </c>
      <c r="D51" s="254">
        <f>'Програма-имена+кабинети'!G15</f>
        <v>102</v>
      </c>
      <c r="E51" s="269">
        <v>4</v>
      </c>
      <c r="F51" s="252" t="str">
        <f>'Програма-имена+кабинети'!F70</f>
        <v>Н. Николова</v>
      </c>
      <c r="G51" s="254" t="str">
        <f>'Програма-имена+кабинети'!G70</f>
        <v>201/202/203/205/206</v>
      </c>
      <c r="H51" s="269">
        <v>4</v>
      </c>
      <c r="I51" s="252" t="str">
        <f>'Програма-имена+кабинети'!F125</f>
        <v>Гинева</v>
      </c>
      <c r="J51" s="254">
        <f>'Програма-имена+кабинети'!G125</f>
        <v>102</v>
      </c>
      <c r="K51" s="269">
        <v>4</v>
      </c>
      <c r="L51" s="252" t="str">
        <f>'Програма-имена+кабинети'!F180</f>
        <v>Гинева</v>
      </c>
      <c r="M51" s="254">
        <f>'Програма-имена+кабинети'!G180</f>
        <v>102</v>
      </c>
      <c r="N51" s="269">
        <v>4</v>
      </c>
      <c r="O51" s="252" t="str">
        <f>'Програма-имена+кабинети'!F234</f>
        <v>Гинева</v>
      </c>
      <c r="P51" s="254">
        <f>'Програма-имена+кабинети'!G234</f>
        <v>102</v>
      </c>
    </row>
    <row r="52" spans="1:17" s="268" customFormat="1" ht="21" customHeight="1">
      <c r="A52" s="387"/>
      <c r="B52" s="285">
        <v>5</v>
      </c>
      <c r="C52" s="252" t="str">
        <f>'Програма-имена+кабинети'!F16</f>
        <v>Янева/Цветков</v>
      </c>
      <c r="D52" s="254" t="str">
        <f>'Програма-имена+кабинети'!G16</f>
        <v>КК8/КК2</v>
      </c>
      <c r="E52" s="269">
        <v>5</v>
      </c>
      <c r="F52" s="252" t="str">
        <f>'Програма-имена+кабинети'!F71</f>
        <v>Гинева</v>
      </c>
      <c r="G52" s="254">
        <f>'Програма-имена+кабинети'!G71</f>
        <v>102</v>
      </c>
      <c r="H52" s="269">
        <v>5</v>
      </c>
      <c r="I52" s="252" t="str">
        <f>'Програма-имена+кабинети'!F126</f>
        <v>Гинева</v>
      </c>
      <c r="J52" s="254">
        <f>'Програма-имена+кабинети'!G126</f>
        <v>102</v>
      </c>
      <c r="K52" s="269">
        <v>5</v>
      </c>
      <c r="L52" s="252" t="str">
        <f>'Програма-имена+кабинети'!F181</f>
        <v>Краева</v>
      </c>
      <c r="M52" s="254">
        <f>'Програма-имена+кабинети'!G181</f>
        <v>306</v>
      </c>
      <c r="N52" s="269">
        <v>5</v>
      </c>
      <c r="O52" s="252" t="str">
        <f>'Програма-имена+кабинети'!F235</f>
        <v>Трандев</v>
      </c>
      <c r="P52" s="254" t="str">
        <f>'Програма-имена+кабинети'!G235</f>
        <v>ФС</v>
      </c>
      <c r="Q52" s="267"/>
    </row>
    <row r="53" spans="1:17" ht="21" customHeight="1">
      <c r="A53" s="387"/>
      <c r="B53" s="285">
        <v>6</v>
      </c>
      <c r="C53" s="252" t="str">
        <f>'Програма-имена+кабинети'!F17</f>
        <v>Краева</v>
      </c>
      <c r="D53" s="254">
        <f>'Програма-имена+кабинети'!G17</f>
        <v>306</v>
      </c>
      <c r="E53" s="269">
        <v>6</v>
      </c>
      <c r="F53" s="252" t="str">
        <f>'Програма-имена+кабинети'!F72</f>
        <v>Гинева</v>
      </c>
      <c r="G53" s="254">
        <f>'Програма-имена+кабинети'!G72</f>
        <v>102</v>
      </c>
      <c r="H53" s="269">
        <v>6</v>
      </c>
      <c r="I53" s="252" t="str">
        <f>'Програма-имена+кабинети'!F127</f>
        <v>Гинева</v>
      </c>
      <c r="J53" s="254">
        <f>'Програма-имена+кабинети'!G127</f>
        <v>102</v>
      </c>
      <c r="K53" s="269">
        <v>6</v>
      </c>
      <c r="L53" s="252" t="str">
        <f>'Програма-имена+кабинети'!F182</f>
        <v>Петров</v>
      </c>
      <c r="M53" s="254">
        <f>'Програма-имена+кабинети'!G182</f>
        <v>112</v>
      </c>
      <c r="N53" s="269">
        <v>6</v>
      </c>
      <c r="O53" s="252" t="str">
        <f>'Програма-имена+кабинети'!F236</f>
        <v>Н. Николова</v>
      </c>
      <c r="P53" s="254" t="str">
        <f>'Програма-имена+кабинети'!G236</f>
        <v>201/202/203/205/206</v>
      </c>
    </row>
    <row r="54" spans="1:17" ht="21" customHeight="1">
      <c r="A54" s="387"/>
      <c r="B54" s="286">
        <v>7</v>
      </c>
      <c r="C54" s="253" t="str">
        <f>'Програма-имена+кабинети'!F18</f>
        <v>В. Иванова</v>
      </c>
      <c r="D54" s="255">
        <f>'Програма-имена+кабинети'!G18</f>
        <v>109</v>
      </c>
      <c r="E54" s="276">
        <v>7</v>
      </c>
      <c r="F54" s="253" t="str">
        <f>'Програма-имена+кабинети'!F73</f>
        <v>Трандев</v>
      </c>
      <c r="G54" s="255" t="str">
        <f>'Програма-имена+кабинети'!G73</f>
        <v>ФС</v>
      </c>
      <c r="H54" s="276">
        <v>7</v>
      </c>
      <c r="I54" s="253" t="str">
        <f>'Програма-имена+кабинети'!F128</f>
        <v>Гинева</v>
      </c>
      <c r="J54" s="255">
        <f>'Програма-имена+кабинети'!G128</f>
        <v>102</v>
      </c>
      <c r="K54" s="276">
        <v>7</v>
      </c>
      <c r="L54" s="253">
        <f>'Програма-имена+кабинети'!F183</f>
        <v>0</v>
      </c>
      <c r="M54" s="255" t="str">
        <f>'Програма-имена+кабинети'!G183</f>
        <v/>
      </c>
      <c r="N54" s="276">
        <v>7</v>
      </c>
      <c r="O54" s="253">
        <f>'Програма-имена+кабинети'!F237</f>
        <v>0</v>
      </c>
      <c r="P54" s="255" t="str">
        <f>'Програма-имена+кабинети'!G237</f>
        <v/>
      </c>
    </row>
    <row r="55" spans="1:17" s="290" customFormat="1" ht="21" customHeight="1">
      <c r="D55" s="291"/>
      <c r="G55" s="291"/>
      <c r="H55" s="292"/>
      <c r="J55" s="293" t="s">
        <v>214</v>
      </c>
      <c r="M55" s="293" t="s">
        <v>214</v>
      </c>
      <c r="N55" s="292"/>
      <c r="P55" s="293" t="s">
        <v>214</v>
      </c>
    </row>
    <row r="56" spans="1:17" ht="21" customHeight="1">
      <c r="A56" s="387" t="s">
        <v>3</v>
      </c>
      <c r="B56" s="287"/>
      <c r="C56" s="261" t="s">
        <v>24</v>
      </c>
      <c r="D56" s="262"/>
      <c r="E56" s="261"/>
      <c r="F56" s="261" t="s">
        <v>25</v>
      </c>
      <c r="G56" s="263" t="s">
        <v>214</v>
      </c>
      <c r="H56" s="264"/>
      <c r="I56" s="265" t="s">
        <v>26</v>
      </c>
      <c r="J56" s="263" t="s">
        <v>214</v>
      </c>
      <c r="K56" s="266"/>
      <c r="L56" s="266" t="s">
        <v>27</v>
      </c>
      <c r="M56" s="263" t="s">
        <v>214</v>
      </c>
      <c r="N56" s="264"/>
      <c r="O56" s="265" t="s">
        <v>28</v>
      </c>
      <c r="P56" s="305" t="s">
        <v>214</v>
      </c>
    </row>
    <row r="57" spans="1:17" ht="21" customHeight="1">
      <c r="A57" s="387"/>
      <c r="B57" s="285">
        <v>1</v>
      </c>
      <c r="C57" s="283" t="str">
        <f>'Програма-имена+кабинети'!H12</f>
        <v>Янева/Цветков</v>
      </c>
      <c r="D57" s="284" t="str">
        <f>'Програма-имена+кабинети'!I12</f>
        <v>КК8/КК2</v>
      </c>
      <c r="E57" s="269">
        <v>1</v>
      </c>
      <c r="F57" s="283" t="str">
        <f>'Програма-имена+кабинети'!H67</f>
        <v>Г. Тодорова</v>
      </c>
      <c r="G57" s="284">
        <f>'Програма-имена+кабинети'!I67</f>
        <v>103</v>
      </c>
      <c r="H57" s="269">
        <v>1</v>
      </c>
      <c r="I57" s="283" t="str">
        <f>'Програма-имена+кабинети'!H122</f>
        <v>Г. Тодорова</v>
      </c>
      <c r="J57" s="284">
        <f>'Програма-имена+кабинети'!I122</f>
        <v>103</v>
      </c>
      <c r="K57" s="269">
        <v>1</v>
      </c>
      <c r="L57" s="283" t="str">
        <f>'Програма-имена+кабинети'!H177</f>
        <v>Г. Тодорова</v>
      </c>
      <c r="M57" s="284">
        <f>'Програма-имена+кабинети'!I177</f>
        <v>103</v>
      </c>
      <c r="N57" s="269">
        <v>1</v>
      </c>
      <c r="O57" s="283" t="str">
        <f>'Програма-имена+кабинети'!H231</f>
        <v>Г. Тодорова</v>
      </c>
      <c r="P57" s="284">
        <f>'Програма-имена+кабинети'!I231</f>
        <v>103</v>
      </c>
    </row>
    <row r="58" spans="1:17" ht="21" customHeight="1">
      <c r="A58" s="387"/>
      <c r="B58" s="285">
        <v>2</v>
      </c>
      <c r="C58" s="252" t="str">
        <f>'Програма-имена+кабинети'!H13</f>
        <v>Г. Тодорова</v>
      </c>
      <c r="D58" s="254">
        <f>'Програма-имена+кабинети'!I13</f>
        <v>103</v>
      </c>
      <c r="E58" s="269">
        <v>2</v>
      </c>
      <c r="F58" s="252" t="str">
        <f>'Програма-имена+кабинети'!H68</f>
        <v>Краева</v>
      </c>
      <c r="G58" s="254">
        <f>'Програма-имена+кабинети'!I68</f>
        <v>306</v>
      </c>
      <c r="H58" s="269">
        <v>2</v>
      </c>
      <c r="I58" s="252" t="str">
        <f>'Програма-имена+кабинети'!H123</f>
        <v>Г. Тодорова</v>
      </c>
      <c r="J58" s="254">
        <f>'Програма-имена+кабинети'!I123</f>
        <v>103</v>
      </c>
      <c r="K58" s="269">
        <v>2</v>
      </c>
      <c r="L58" s="252" t="str">
        <f>'Програма-имена+кабинети'!H178</f>
        <v>Г. Тодорова</v>
      </c>
      <c r="M58" s="254">
        <f>'Програма-имена+кабинети'!I178</f>
        <v>103</v>
      </c>
      <c r="N58" s="269">
        <v>2</v>
      </c>
      <c r="O58" s="252" t="str">
        <f>'Програма-имена+кабинети'!H232</f>
        <v>Г. Тодорова</v>
      </c>
      <c r="P58" s="254">
        <f>'Програма-имена+кабинети'!I232</f>
        <v>103</v>
      </c>
    </row>
    <row r="59" spans="1:17" ht="21" customHeight="1">
      <c r="A59" s="387"/>
      <c r="B59" s="285">
        <v>3</v>
      </c>
      <c r="C59" s="252" t="str">
        <f>'Програма-имена+кабинети'!H14</f>
        <v>Г. Тодорова</v>
      </c>
      <c r="D59" s="254">
        <f>'Програма-имена+кабинети'!I14</f>
        <v>103</v>
      </c>
      <c r="E59" s="269">
        <v>3</v>
      </c>
      <c r="F59" s="252" t="str">
        <f>'Програма-имена+кабинети'!H69</f>
        <v>Г. Тодорова</v>
      </c>
      <c r="G59" s="254">
        <f>'Програма-имена+кабинети'!I69</f>
        <v>103</v>
      </c>
      <c r="H59" s="269">
        <v>3</v>
      </c>
      <c r="I59" s="252" t="str">
        <f>'Програма-имена+кабинети'!H124</f>
        <v>Г. Тодорова</v>
      </c>
      <c r="J59" s="254">
        <f>'Програма-имена+кабинети'!I124</f>
        <v>103</v>
      </c>
      <c r="K59" s="269">
        <v>3</v>
      </c>
      <c r="L59" s="252" t="str">
        <f>'Програма-имена+кабинети'!H179</f>
        <v>Г. Тодорова</v>
      </c>
      <c r="M59" s="254">
        <f>'Програма-имена+кабинети'!I179</f>
        <v>103</v>
      </c>
      <c r="N59" s="269">
        <v>3</v>
      </c>
      <c r="O59" s="252" t="str">
        <f>'Програма-имена+кабинети'!H233</f>
        <v>Г. Тодорова</v>
      </c>
      <c r="P59" s="254">
        <f>'Програма-имена+кабинети'!I233</f>
        <v>103</v>
      </c>
    </row>
    <row r="60" spans="1:17" ht="21" customHeight="1">
      <c r="A60" s="387"/>
      <c r="B60" s="285">
        <v>4</v>
      </c>
      <c r="C60" s="252" t="str">
        <f>'Програма-имена+кабинети'!H15</f>
        <v>Г. Тодорова</v>
      </c>
      <c r="D60" s="254">
        <f>'Програма-имена+кабинети'!I15</f>
        <v>103</v>
      </c>
      <c r="E60" s="269">
        <v>4</v>
      </c>
      <c r="F60" s="252" t="str">
        <f>'Програма-имена+кабинети'!H70</f>
        <v>Г. Тодорова</v>
      </c>
      <c r="G60" s="254">
        <f>'Програма-имена+кабинети'!I70</f>
        <v>103</v>
      </c>
      <c r="H60" s="269">
        <v>4</v>
      </c>
      <c r="I60" s="252" t="str">
        <f>'Програма-имена+кабинети'!H125</f>
        <v>Г. Тодорова</v>
      </c>
      <c r="J60" s="254">
        <f>'Програма-имена+кабинети'!I125</f>
        <v>103</v>
      </c>
      <c r="K60" s="269">
        <v>4</v>
      </c>
      <c r="L60" s="252" t="str">
        <f>'Програма-имена+кабинети'!H180</f>
        <v>Янева/Цветков</v>
      </c>
      <c r="M60" s="254" t="str">
        <f>'Програма-имена+кабинети'!I180</f>
        <v>КК8/КК2</v>
      </c>
      <c r="N60" s="269">
        <v>4</v>
      </c>
      <c r="O60" s="252" t="str">
        <f>'Програма-имена+кабинети'!H234</f>
        <v>Петров</v>
      </c>
      <c r="P60" s="254">
        <f>'Програма-имена+кабинети'!I234</f>
        <v>112</v>
      </c>
    </row>
    <row r="61" spans="1:17" ht="21" customHeight="1">
      <c r="A61" s="387"/>
      <c r="B61" s="285">
        <v>5</v>
      </c>
      <c r="C61" s="252" t="str">
        <f>'Програма-имена+кабинети'!H16</f>
        <v>Г. Тодорова</v>
      </c>
      <c r="D61" s="254">
        <f>'Програма-имена+кабинети'!I16</f>
        <v>103</v>
      </c>
      <c r="E61" s="269">
        <v>5</v>
      </c>
      <c r="F61" s="252" t="str">
        <f>'Програма-имена+кабинети'!H71</f>
        <v>Трандев</v>
      </c>
      <c r="G61" s="254" t="str">
        <f>'Програма-имена+кабинети'!I71</f>
        <v>ФС</v>
      </c>
      <c r="H61" s="269">
        <v>5</v>
      </c>
      <c r="I61" s="252" t="str">
        <f>'Програма-имена+кабинети'!H126</f>
        <v>Краева</v>
      </c>
      <c r="J61" s="254">
        <f>'Програма-имена+кабинети'!I126</f>
        <v>306</v>
      </c>
      <c r="K61" s="269">
        <v>5</v>
      </c>
      <c r="L61" s="252" t="str">
        <f>'Програма-имена+кабинети'!H181</f>
        <v>Трандев</v>
      </c>
      <c r="M61" s="254" t="str">
        <f>'Програма-имена+кабинети'!I181</f>
        <v>ФС</v>
      </c>
      <c r="N61" s="269">
        <v>5</v>
      </c>
      <c r="O61" s="252" t="str">
        <f>'Програма-имена+кабинети'!H235</f>
        <v>Трифонова</v>
      </c>
      <c r="P61" s="254">
        <f>'Програма-имена+кабинети'!I235</f>
        <v>203</v>
      </c>
    </row>
    <row r="62" spans="1:17" ht="21" customHeight="1">
      <c r="A62" s="387"/>
      <c r="B62" s="285">
        <v>6</v>
      </c>
      <c r="C62" s="252" t="str">
        <f>'Програма-имена+кабинети'!H17</f>
        <v>В. Иванова</v>
      </c>
      <c r="D62" s="254">
        <f>'Програма-имена+кабинети'!I17</f>
        <v>109</v>
      </c>
      <c r="E62" s="269">
        <v>6</v>
      </c>
      <c r="F62" s="252" t="str">
        <f>'Програма-имена+кабинети'!H72</f>
        <v>Христонова/Янева</v>
      </c>
      <c r="G62" s="254" t="str">
        <f>'Програма-имена+кабинети'!I72</f>
        <v>КК7/КК8</v>
      </c>
      <c r="H62" s="269">
        <v>6</v>
      </c>
      <c r="I62" s="252" t="str">
        <f>'Програма-имена+кабинети'!H127</f>
        <v>Трифонова</v>
      </c>
      <c r="J62" s="254">
        <f>'Програма-имена+кабинети'!I127</f>
        <v>203</v>
      </c>
      <c r="K62" s="269">
        <v>6</v>
      </c>
      <c r="L62" s="252" t="str">
        <f>'Програма-имена+кабинети'!H182</f>
        <v>Г. Тодорова</v>
      </c>
      <c r="M62" s="254">
        <f>'Програма-имена+кабинети'!I182</f>
        <v>103</v>
      </c>
      <c r="N62" s="269">
        <v>6</v>
      </c>
      <c r="O62" s="252" t="str">
        <f>'Програма-имена+кабинети'!H236</f>
        <v>Трифонова</v>
      </c>
      <c r="P62" s="254">
        <f>'Програма-имена+кабинети'!I236</f>
        <v>203</v>
      </c>
    </row>
    <row r="63" spans="1:17" ht="21" customHeight="1">
      <c r="A63" s="387"/>
      <c r="B63" s="286">
        <v>7</v>
      </c>
      <c r="C63" s="253" t="str">
        <f>'Програма-имена+кабинети'!H18</f>
        <v>Краева</v>
      </c>
      <c r="D63" s="255">
        <f>'Програма-имена+кабинети'!I18</f>
        <v>306</v>
      </c>
      <c r="E63" s="276">
        <v>7</v>
      </c>
      <c r="F63" s="253" t="str">
        <f>'Програма-имена+кабинети'!H73</f>
        <v>Трифонова</v>
      </c>
      <c r="G63" s="255">
        <f>'Програма-имена+кабинети'!I73</f>
        <v>203</v>
      </c>
      <c r="H63" s="276">
        <v>7</v>
      </c>
      <c r="I63" s="253" t="str">
        <f>'Програма-имена+кабинети'!H128</f>
        <v>Г. Тодорова</v>
      </c>
      <c r="J63" s="255">
        <f>'Програма-имена+кабинети'!I128</f>
        <v>103</v>
      </c>
      <c r="K63" s="276">
        <v>7</v>
      </c>
      <c r="L63" s="253">
        <f>'Програма-имена+кабинети'!H183</f>
        <v>0</v>
      </c>
      <c r="M63" s="255" t="str">
        <f>'Програма-имена+кабинети'!I183</f>
        <v/>
      </c>
      <c r="N63" s="276">
        <v>7</v>
      </c>
      <c r="O63" s="253">
        <f>'Програма-имена+кабинети'!H237</f>
        <v>0</v>
      </c>
      <c r="P63" s="255" t="str">
        <f>'Програма-имена+кабинети'!I237</f>
        <v/>
      </c>
    </row>
    <row r="64" spans="1:17" s="290" customFormat="1" ht="21" customHeight="1">
      <c r="D64" s="291"/>
      <c r="G64" s="291"/>
      <c r="H64" s="292"/>
      <c r="J64" s="293" t="s">
        <v>214</v>
      </c>
      <c r="M64" s="293" t="s">
        <v>214</v>
      </c>
      <c r="N64" s="292"/>
      <c r="P64" s="293" t="s">
        <v>214</v>
      </c>
    </row>
    <row r="65" spans="1:17" ht="21" customHeight="1">
      <c r="A65" s="387" t="s">
        <v>4</v>
      </c>
      <c r="B65" s="287"/>
      <c r="C65" s="261" t="s">
        <v>24</v>
      </c>
      <c r="D65" s="262"/>
      <c r="E65" s="261"/>
      <c r="F65" s="261" t="s">
        <v>25</v>
      </c>
      <c r="G65" s="263" t="s">
        <v>214</v>
      </c>
      <c r="H65" s="264"/>
      <c r="I65" s="265" t="s">
        <v>26</v>
      </c>
      <c r="J65" s="263" t="s">
        <v>214</v>
      </c>
      <c r="K65" s="266"/>
      <c r="L65" s="266" t="s">
        <v>27</v>
      </c>
      <c r="M65" s="263" t="s">
        <v>214</v>
      </c>
      <c r="N65" s="264"/>
      <c r="O65" s="265" t="s">
        <v>28</v>
      </c>
      <c r="P65" s="305" t="s">
        <v>214</v>
      </c>
    </row>
    <row r="66" spans="1:17" ht="21" customHeight="1">
      <c r="A66" s="387"/>
      <c r="B66" s="285">
        <v>1</v>
      </c>
      <c r="C66" s="283" t="str">
        <f>'Програма-имена+кабинети'!J12</f>
        <v>Мерджанова</v>
      </c>
      <c r="D66" s="284">
        <f>'Програма-имена+кабинети'!K12</f>
        <v>304</v>
      </c>
      <c r="E66" s="269">
        <v>1</v>
      </c>
      <c r="F66" s="283" t="str">
        <f>'Програма-имена+кабинети'!J67</f>
        <v>Трандев</v>
      </c>
      <c r="G66" s="284" t="str">
        <f>'Програма-имена+кабинети'!K67</f>
        <v>ФС</v>
      </c>
      <c r="H66" s="285">
        <v>1</v>
      </c>
      <c r="I66" s="283" t="str">
        <f>'Програма-имена+кабинети'!J122</f>
        <v>Сапунджиева</v>
      </c>
      <c r="J66" s="271">
        <f>'Програма-имена+кабинети'!K122</f>
        <v>104</v>
      </c>
      <c r="K66" s="269">
        <v>1</v>
      </c>
      <c r="L66" s="283" t="str">
        <f>'Програма-имена+кабинети'!J177</f>
        <v>Колева</v>
      </c>
      <c r="M66" s="284">
        <f>'Програма-имена+кабинети'!K177</f>
        <v>202</v>
      </c>
      <c r="N66" s="269">
        <v>1</v>
      </c>
      <c r="O66" s="283" t="str">
        <f>'Програма-имена+кабинети'!J231</f>
        <v>Колева</v>
      </c>
      <c r="P66" s="284">
        <f>'Програма-имена+кабинети'!K231</f>
        <v>202</v>
      </c>
    </row>
    <row r="67" spans="1:17" ht="21" customHeight="1">
      <c r="A67" s="387"/>
      <c r="B67" s="285">
        <v>2</v>
      </c>
      <c r="C67" s="252" t="str">
        <f>'Програма-имена+кабинети'!J13</f>
        <v>Янева/Цветков</v>
      </c>
      <c r="D67" s="254" t="str">
        <f>'Програма-имена+кабинети'!K13</f>
        <v>КК8/КК2</v>
      </c>
      <c r="E67" s="269">
        <v>2</v>
      </c>
      <c r="F67" s="252" t="str">
        <f>'Програма-имена+кабинети'!J68</f>
        <v>Сапунджиева</v>
      </c>
      <c r="G67" s="254">
        <f>'Програма-имена+кабинети'!K68</f>
        <v>104</v>
      </c>
      <c r="H67" s="285">
        <v>2</v>
      </c>
      <c r="I67" s="252" t="str">
        <f>'Програма-имена+кабинети'!J123</f>
        <v>Сапунджиева</v>
      </c>
      <c r="J67" s="275">
        <f>'Програма-имена+кабинети'!K123</f>
        <v>104</v>
      </c>
      <c r="K67" s="269">
        <v>2</v>
      </c>
      <c r="L67" s="252" t="str">
        <f>'Програма-имена+кабинети'!J178</f>
        <v>Янева/Цветков</v>
      </c>
      <c r="M67" s="254" t="str">
        <f>'Програма-имена+кабинети'!K178</f>
        <v>КК8/КК2</v>
      </c>
      <c r="N67" s="269">
        <v>2</v>
      </c>
      <c r="O67" s="252" t="str">
        <f>'Програма-имена+кабинети'!J232</f>
        <v>Трандев</v>
      </c>
      <c r="P67" s="254" t="str">
        <f>'Програма-имена+кабинети'!K232</f>
        <v>ФС</v>
      </c>
      <c r="Q67" s="268"/>
    </row>
    <row r="68" spans="1:17" ht="21" customHeight="1">
      <c r="A68" s="387"/>
      <c r="B68" s="285">
        <v>3</v>
      </c>
      <c r="C68" s="252" t="str">
        <f>'Програма-имена+кабинети'!J14</f>
        <v>Сапунджиева</v>
      </c>
      <c r="D68" s="254">
        <f>'Програма-имена+кабинети'!K14</f>
        <v>104</v>
      </c>
      <c r="E68" s="269">
        <v>3</v>
      </c>
      <c r="F68" s="252" t="str">
        <f>'Програма-имена+кабинети'!J69</f>
        <v>Сапунджиева</v>
      </c>
      <c r="G68" s="254">
        <f>'Програма-имена+кабинети'!K69</f>
        <v>104</v>
      </c>
      <c r="H68" s="285">
        <v>3</v>
      </c>
      <c r="I68" s="252" t="str">
        <f>'Програма-имена+кабинети'!J124</f>
        <v>Петров</v>
      </c>
      <c r="J68" s="275">
        <f>'Програма-имена+кабинети'!K124</f>
        <v>112</v>
      </c>
      <c r="K68" s="269">
        <v>3</v>
      </c>
      <c r="L68" s="252" t="str">
        <f>'Програма-имена+кабинети'!J179</f>
        <v>Мерджанова</v>
      </c>
      <c r="M68" s="254">
        <f>'Програма-имена+кабинети'!K179</f>
        <v>304</v>
      </c>
      <c r="N68" s="269">
        <v>3</v>
      </c>
      <c r="O68" s="252" t="str">
        <f>'Програма-имена+кабинети'!J233</f>
        <v>Сапунджиева</v>
      </c>
      <c r="P68" s="254">
        <f>'Програма-имена+кабинети'!K233</f>
        <v>104</v>
      </c>
    </row>
    <row r="69" spans="1:17" ht="21" customHeight="1">
      <c r="A69" s="387"/>
      <c r="B69" s="285">
        <v>4</v>
      </c>
      <c r="C69" s="252" t="str">
        <f>'Програма-имена+кабинети'!J15</f>
        <v>Сапунджиева</v>
      </c>
      <c r="D69" s="254">
        <f>'Програма-имена+кабинети'!K15</f>
        <v>104</v>
      </c>
      <c r="E69" s="269">
        <v>4</v>
      </c>
      <c r="F69" s="252" t="str">
        <f>'Програма-имена+кабинети'!J70</f>
        <v>Сапунджиева</v>
      </c>
      <c r="G69" s="254">
        <f>'Програма-имена+кабинети'!K70</f>
        <v>104</v>
      </c>
      <c r="H69" s="285">
        <v>4</v>
      </c>
      <c r="I69" s="252" t="str">
        <f>'Програма-имена+кабинети'!J125</f>
        <v>Мерджанова</v>
      </c>
      <c r="J69" s="275">
        <f>'Програма-имена+кабинети'!K125</f>
        <v>304</v>
      </c>
      <c r="K69" s="269">
        <v>4</v>
      </c>
      <c r="L69" s="252" t="str">
        <f>'Програма-имена+кабинети'!J180</f>
        <v>Сапунджиева</v>
      </c>
      <c r="M69" s="254">
        <f>'Програма-имена+кабинети'!K180</f>
        <v>104</v>
      </c>
      <c r="N69" s="269">
        <v>4</v>
      </c>
      <c r="O69" s="252" t="str">
        <f>'Програма-имена+кабинети'!J234</f>
        <v>Сапунджиева</v>
      </c>
      <c r="P69" s="254">
        <f>'Програма-имена+кабинети'!K234</f>
        <v>104</v>
      </c>
    </row>
    <row r="70" spans="1:17" s="268" customFormat="1" ht="21" customHeight="1">
      <c r="A70" s="387"/>
      <c r="B70" s="285">
        <v>5</v>
      </c>
      <c r="C70" s="252" t="str">
        <f>'Програма-имена+кабинети'!J16</f>
        <v>В. Иванова</v>
      </c>
      <c r="D70" s="254">
        <f>'Програма-имена+кабинети'!K16</f>
        <v>109</v>
      </c>
      <c r="E70" s="269">
        <v>5</v>
      </c>
      <c r="F70" s="252" t="str">
        <f>'Програма-имена+кабинети'!J71</f>
        <v>Христонова/Янева</v>
      </c>
      <c r="G70" s="254" t="str">
        <f>'Програма-имена+кабинети'!K71</f>
        <v>КК7/КК8</v>
      </c>
      <c r="H70" s="285">
        <v>5</v>
      </c>
      <c r="I70" s="252" t="str">
        <f>'Програма-имена+кабинети'!J126</f>
        <v>Сапунджиева</v>
      </c>
      <c r="J70" s="275">
        <f>'Програма-имена+кабинети'!K126</f>
        <v>104</v>
      </c>
      <c r="K70" s="269">
        <v>5</v>
      </c>
      <c r="L70" s="252" t="str">
        <f>'Програма-имена+кабинети'!J181</f>
        <v>Сапунджиева</v>
      </c>
      <c r="M70" s="254">
        <f>'Програма-имена+кабинети'!K181</f>
        <v>104</v>
      </c>
      <c r="N70" s="269">
        <v>5</v>
      </c>
      <c r="O70" s="252" t="str">
        <f>'Програма-имена+кабинети'!J235</f>
        <v>Сапунджиева</v>
      </c>
      <c r="P70" s="254">
        <f>'Програма-имена+кабинети'!K235</f>
        <v>104</v>
      </c>
      <c r="Q70" s="267"/>
    </row>
    <row r="71" spans="1:17" ht="21" customHeight="1">
      <c r="A71" s="387"/>
      <c r="B71" s="285">
        <v>6</v>
      </c>
      <c r="C71" s="252" t="str">
        <f>'Програма-имена+кабинети'!J17</f>
        <v>Сапунджиева</v>
      </c>
      <c r="D71" s="254">
        <f>'Програма-имена+кабинети'!K17</f>
        <v>104</v>
      </c>
      <c r="E71" s="269">
        <v>6</v>
      </c>
      <c r="F71" s="252" t="str">
        <f>'Програма-имена+кабинети'!J72</f>
        <v>Колева</v>
      </c>
      <c r="G71" s="254">
        <f>'Програма-имена+кабинети'!K72</f>
        <v>202</v>
      </c>
      <c r="H71" s="285">
        <v>6</v>
      </c>
      <c r="I71" s="252" t="str">
        <f>'Програма-имена+кабинети'!J127</f>
        <v>Сапунджиева</v>
      </c>
      <c r="J71" s="275">
        <f>'Програма-имена+кабинети'!K127</f>
        <v>104</v>
      </c>
      <c r="K71" s="269">
        <v>6</v>
      </c>
      <c r="L71" s="252" t="str">
        <f>'Програма-имена+кабинети'!J182</f>
        <v>Сапунджиева</v>
      </c>
      <c r="M71" s="254">
        <f>'Програма-имена+кабинети'!K182</f>
        <v>104</v>
      </c>
      <c r="N71" s="269">
        <v>6</v>
      </c>
      <c r="O71" s="252" t="str">
        <f>'Програма-имена+кабинети'!J236</f>
        <v>Сапунджиева</v>
      </c>
      <c r="P71" s="254">
        <f>'Програма-имена+кабинети'!K236</f>
        <v>104</v>
      </c>
    </row>
    <row r="72" spans="1:17" ht="21" customHeight="1">
      <c r="A72" s="387"/>
      <c r="B72" s="286">
        <v>7</v>
      </c>
      <c r="C72" s="253" t="str">
        <f>'Програма-имена+кабинети'!J18</f>
        <v>Сапунджиева</v>
      </c>
      <c r="D72" s="255">
        <f>'Програма-имена+кабинети'!K18</f>
        <v>104</v>
      </c>
      <c r="E72" s="276">
        <v>7</v>
      </c>
      <c r="F72" s="253" t="str">
        <f>'Програма-имена+кабинети'!J73</f>
        <v>Колева</v>
      </c>
      <c r="G72" s="255">
        <f>'Програма-имена+кабинети'!K73</f>
        <v>202</v>
      </c>
      <c r="H72" s="286">
        <v>7</v>
      </c>
      <c r="I72" s="253" t="str">
        <f>'Програма-имена+кабинети'!J128</f>
        <v>Сапунджиева</v>
      </c>
      <c r="J72" s="278">
        <f>'Програма-имена+кабинети'!K128</f>
        <v>104</v>
      </c>
      <c r="K72" s="276">
        <v>7</v>
      </c>
      <c r="L72" s="253">
        <f>'Програма-имена+кабинети'!J183</f>
        <v>0</v>
      </c>
      <c r="M72" s="255" t="str">
        <f>'Програма-имена+кабинети'!K183</f>
        <v/>
      </c>
      <c r="N72" s="276">
        <v>7</v>
      </c>
      <c r="O72" s="253">
        <f>'Програма-имена+кабинети'!J237</f>
        <v>0</v>
      </c>
      <c r="P72" s="255" t="str">
        <f>'Програма-имена+кабинети'!K237</f>
        <v/>
      </c>
    </row>
    <row r="73" spans="1:17" s="290" customFormat="1" ht="21" customHeight="1">
      <c r="D73" s="291"/>
      <c r="G73" s="291"/>
      <c r="H73" s="292"/>
      <c r="J73" s="293" t="s">
        <v>214</v>
      </c>
      <c r="M73" s="293" t="s">
        <v>214</v>
      </c>
      <c r="N73" s="292"/>
      <c r="P73" s="293" t="s">
        <v>214</v>
      </c>
    </row>
    <row r="74" spans="1:17" ht="21" customHeight="1">
      <c r="A74" s="387" t="s">
        <v>5</v>
      </c>
      <c r="B74" s="260"/>
      <c r="C74" s="261" t="s">
        <v>24</v>
      </c>
      <c r="D74" s="262"/>
      <c r="E74" s="261"/>
      <c r="F74" s="261" t="s">
        <v>25</v>
      </c>
      <c r="G74" s="263" t="s">
        <v>214</v>
      </c>
      <c r="H74" s="264"/>
      <c r="I74" s="265" t="s">
        <v>26</v>
      </c>
      <c r="J74" s="263" t="s">
        <v>214</v>
      </c>
      <c r="K74" s="266"/>
      <c r="L74" s="266" t="s">
        <v>27</v>
      </c>
      <c r="M74" s="263" t="s">
        <v>214</v>
      </c>
      <c r="N74" s="264"/>
      <c r="O74" s="265" t="s">
        <v>28</v>
      </c>
      <c r="P74" s="305" t="s">
        <v>214</v>
      </c>
    </row>
    <row r="75" spans="1:17" ht="21" customHeight="1">
      <c r="A75" s="387"/>
      <c r="B75" s="285">
        <v>1</v>
      </c>
      <c r="C75" s="283" t="str">
        <f>'Програма-имена+кабинети'!B21</f>
        <v>Никова</v>
      </c>
      <c r="D75" s="284">
        <f>'Програма-имена+кабинети'!C21</f>
        <v>111</v>
      </c>
      <c r="E75" s="269">
        <v>1</v>
      </c>
      <c r="F75" s="283" t="str">
        <f>'Програма-имена+кабинети'!B76</f>
        <v>Краева</v>
      </c>
      <c r="G75" s="284">
        <f>'Програма-имена+кабинети'!C76</f>
        <v>306</v>
      </c>
      <c r="H75" s="285">
        <v>1</v>
      </c>
      <c r="I75" s="283" t="str">
        <f>'Програма-имена+кабинети'!B131</f>
        <v>Влашинска</v>
      </c>
      <c r="J75" s="271" t="str">
        <f>'Програма-имена+кабинети'!C131</f>
        <v>212/214/215/217</v>
      </c>
      <c r="K75" s="269">
        <v>1</v>
      </c>
      <c r="L75" s="283" t="str">
        <f>'Програма-имена+кабинети'!B186</f>
        <v>Иванова</v>
      </c>
      <c r="M75" s="284" t="str">
        <f>'Програма-имена+кабинети'!C186</f>
        <v>104/107/202/205/206/304</v>
      </c>
      <c r="N75" s="285">
        <v>1</v>
      </c>
      <c r="O75" s="283" t="str">
        <f>'Програма-имена+кабинети'!B240</f>
        <v>Никова</v>
      </c>
      <c r="P75" s="271">
        <f>'Програма-имена+кабинети'!C240</f>
        <v>111</v>
      </c>
    </row>
    <row r="76" spans="1:17" ht="21" customHeight="1">
      <c r="A76" s="387"/>
      <c r="B76" s="285">
        <v>2</v>
      </c>
      <c r="C76" s="252" t="str">
        <f>'Програма-имена+кабинети'!B22</f>
        <v>Иванова</v>
      </c>
      <c r="D76" s="254" t="str">
        <f>'Програма-имена+кабинети'!C22</f>
        <v>104/107/202/205/206/304</v>
      </c>
      <c r="E76" s="269">
        <v>2</v>
      </c>
      <c r="F76" s="252" t="str">
        <f>'Програма-имена+кабинети'!B77</f>
        <v>Влашинска</v>
      </c>
      <c r="G76" s="254" t="str">
        <f>'Програма-имена+кабинети'!C77</f>
        <v>212/214/215/217</v>
      </c>
      <c r="H76" s="285">
        <v>2</v>
      </c>
      <c r="I76" s="252" t="str">
        <f>'Програма-имена+кабинети'!B132</f>
        <v>Христонова/Янева</v>
      </c>
      <c r="J76" s="275" t="str">
        <f>'Програма-имена+кабинети'!C132</f>
        <v>КК7/КК8</v>
      </c>
      <c r="K76" s="269">
        <v>2</v>
      </c>
      <c r="L76" s="252" t="str">
        <f>'Програма-имена+кабинети'!B187</f>
        <v>Иванова</v>
      </c>
      <c r="M76" s="254" t="str">
        <f>'Програма-имена+кабинети'!C187</f>
        <v>104/107/202/205/206/304</v>
      </c>
      <c r="N76" s="285">
        <v>2</v>
      </c>
      <c r="O76" s="252" t="str">
        <f>'Програма-имена+кабинети'!B241</f>
        <v>Влашинска</v>
      </c>
      <c r="P76" s="275" t="str">
        <f>'Програма-имена+кабинети'!C241</f>
        <v>212/214/215/217</v>
      </c>
    </row>
    <row r="77" spans="1:17" ht="21" customHeight="1">
      <c r="A77" s="387"/>
      <c r="B77" s="285">
        <v>3</v>
      </c>
      <c r="C77" s="252" t="str">
        <f>'Програма-имена+кабинети'!B23</f>
        <v>Латева</v>
      </c>
      <c r="D77" s="254">
        <f>'Програма-имена+кабинети'!C23</f>
        <v>110</v>
      </c>
      <c r="E77" s="269">
        <v>3</v>
      </c>
      <c r="F77" s="252" t="str">
        <f>'Програма-имена+кабинети'!B78</f>
        <v>Никова</v>
      </c>
      <c r="G77" s="254">
        <f>'Програма-имена+кабинети'!C78</f>
        <v>111</v>
      </c>
      <c r="H77" s="285">
        <v>3</v>
      </c>
      <c r="I77" s="252" t="str">
        <f>'Програма-имена+кабинети'!B133</f>
        <v>Никова</v>
      </c>
      <c r="J77" s="275">
        <f>'Програма-имена+кабинети'!C133</f>
        <v>111</v>
      </c>
      <c r="K77" s="269">
        <v>3</v>
      </c>
      <c r="L77" s="252" t="str">
        <f>'Програма-имена+кабинети'!B188</f>
        <v>Кирилова/Тодорова</v>
      </c>
      <c r="M77" s="254" t="str">
        <f>'Програма-имена+кабинети'!C188</f>
        <v>108/101-105</v>
      </c>
      <c r="N77" s="285">
        <v>3</v>
      </c>
      <c r="O77" s="252" t="str">
        <f>'Програма-имена+кабинети'!B242</f>
        <v>Минчева</v>
      </c>
      <c r="P77" s="275" t="str">
        <f>'Програма-имена+кабинети'!C242</f>
        <v>212/214/215/217</v>
      </c>
    </row>
    <row r="78" spans="1:17" ht="21" customHeight="1">
      <c r="A78" s="387"/>
      <c r="B78" s="285">
        <v>4</v>
      </c>
      <c r="C78" s="252" t="str">
        <f>'Програма-имена+кабинети'!B24</f>
        <v>Гюлева</v>
      </c>
      <c r="D78" s="254">
        <f>'Програма-имена+кабинети'!C24</f>
        <v>204</v>
      </c>
      <c r="E78" s="269">
        <v>4</v>
      </c>
      <c r="F78" s="252" t="str">
        <f>'Програма-имена+кабинети'!B79</f>
        <v>Иванова</v>
      </c>
      <c r="G78" s="254" t="str">
        <f>'Програма-имена+кабинети'!C79</f>
        <v>104/107/202/205/206/304</v>
      </c>
      <c r="H78" s="285">
        <v>4</v>
      </c>
      <c r="I78" s="252" t="str">
        <f>'Програма-имена+кабинети'!B134</f>
        <v>Тонева</v>
      </c>
      <c r="J78" s="275" t="str">
        <f>'Програма-имена+кабинети'!C134</f>
        <v>ФС</v>
      </c>
      <c r="K78" s="269">
        <v>4</v>
      </c>
      <c r="L78" s="252" t="str">
        <f>'Програма-имена+кабинети'!B189</f>
        <v>Кирилова/Тодорова</v>
      </c>
      <c r="M78" s="254" t="str">
        <f>'Програма-имена+кабинети'!C189</f>
        <v>108/101-105</v>
      </c>
      <c r="N78" s="285">
        <v>4</v>
      </c>
      <c r="O78" s="252" t="str">
        <f>'Програма-имена+кабинети'!B243</f>
        <v>Тонева</v>
      </c>
      <c r="P78" s="275" t="str">
        <f>'Програма-имена+кабинети'!C243</f>
        <v>ФС</v>
      </c>
    </row>
    <row r="79" spans="1:17" s="268" customFormat="1" ht="21" customHeight="1">
      <c r="A79" s="387"/>
      <c r="B79" s="285">
        <v>5</v>
      </c>
      <c r="C79" s="252" t="str">
        <f>'Програма-имена+кабинети'!B25</f>
        <v>Гюлева</v>
      </c>
      <c r="D79" s="254">
        <f>'Програма-имена+кабинети'!C25</f>
        <v>204</v>
      </c>
      <c r="E79" s="269">
        <v>5</v>
      </c>
      <c r="F79" s="252" t="str">
        <f>'Програма-имена+кабинети'!B80</f>
        <v>Минчева</v>
      </c>
      <c r="G79" s="254" t="str">
        <f>'Програма-имена+кабинети'!C80</f>
        <v>212/214/215/217</v>
      </c>
      <c r="H79" s="285">
        <v>5</v>
      </c>
      <c r="I79" s="252" t="str">
        <f>'Програма-имена+кабинети'!B135</f>
        <v>Минчева</v>
      </c>
      <c r="J79" s="275" t="str">
        <f>'Програма-имена+кабинети'!C135</f>
        <v>212/214/215/217</v>
      </c>
      <c r="K79" s="269">
        <v>5</v>
      </c>
      <c r="L79" s="252" t="str">
        <f>'Програма-имена+кабинети'!B190</f>
        <v>Латева</v>
      </c>
      <c r="M79" s="254">
        <f>'Програма-имена+кабинети'!C190</f>
        <v>110</v>
      </c>
      <c r="N79" s="285">
        <v>5</v>
      </c>
      <c r="O79" s="252" t="str">
        <f>'Програма-имена+кабинети'!B244</f>
        <v>Краева</v>
      </c>
      <c r="P79" s="275">
        <f>'Програма-имена+кабинети'!C244</f>
        <v>306</v>
      </c>
      <c r="Q79" s="267"/>
    </row>
    <row r="80" spans="1:17" ht="21" customHeight="1">
      <c r="A80" s="387"/>
      <c r="B80" s="285">
        <v>6</v>
      </c>
      <c r="C80" s="252" t="str">
        <f>'Програма-имена+кабинети'!B26</f>
        <v>Козалиева</v>
      </c>
      <c r="D80" s="254" t="str">
        <f>'Програма-имена+кабинети'!C26</f>
        <v>212/214/215/217</v>
      </c>
      <c r="E80" s="269">
        <v>6</v>
      </c>
      <c r="F80" s="252" t="str">
        <f>'Програма-имена+кабинети'!B81</f>
        <v>Филипова</v>
      </c>
      <c r="G80" s="254" t="str">
        <f>'Програма-имена+кабинети'!C81</f>
        <v>109/110/301/302/306</v>
      </c>
      <c r="H80" s="285">
        <v>6</v>
      </c>
      <c r="I80" s="252" t="str">
        <f>'Програма-имена+кабинети'!B136</f>
        <v>Краева</v>
      </c>
      <c r="J80" s="275">
        <f>'Програма-имена+кабинети'!C136</f>
        <v>306</v>
      </c>
      <c r="K80" s="269">
        <v>6</v>
      </c>
      <c r="L80" s="252" t="str">
        <f>'Програма-имена+кабинети'!B191</f>
        <v>Козалиева</v>
      </c>
      <c r="M80" s="254" t="str">
        <f>'Програма-имена+кабинети'!C191</f>
        <v>212/214/215/217</v>
      </c>
      <c r="N80" s="285">
        <v>6</v>
      </c>
      <c r="O80" s="252" t="str">
        <f>'Програма-имена+кабинети'!B245</f>
        <v>Гюлева</v>
      </c>
      <c r="P80" s="275">
        <f>'Програма-имена+кабинети'!C245</f>
        <v>204</v>
      </c>
    </row>
    <row r="81" spans="1:17" ht="21" customHeight="1">
      <c r="A81" s="387"/>
      <c r="B81" s="286">
        <v>7</v>
      </c>
      <c r="C81" s="253" t="str">
        <f>'Програма-имена+кабинети'!B27</f>
        <v>Пецова</v>
      </c>
      <c r="D81" s="255" t="str">
        <f>'Програма-имена+кабинети'!C27</f>
        <v>102/105/111/112</v>
      </c>
      <c r="E81" s="276">
        <v>7</v>
      </c>
      <c r="F81" s="253" t="str">
        <f>'Програма-имена+кабинети'!B82</f>
        <v>К. Петрова/Димитрова</v>
      </c>
      <c r="G81" s="255" t="str">
        <f>'Програма-имена+кабинети'!C82</f>
        <v>КК1/КК8</v>
      </c>
      <c r="H81" s="286">
        <v>7</v>
      </c>
      <c r="I81" s="253" t="str">
        <f>'Програма-имена+кабинети'!B137</f>
        <v>Гюлева</v>
      </c>
      <c r="J81" s="278">
        <f>'Програма-имена+кабинети'!C137</f>
        <v>204</v>
      </c>
      <c r="K81" s="276">
        <v>7</v>
      </c>
      <c r="L81" s="253">
        <f>'Програма-имена+кабинети'!B192</f>
        <v>0</v>
      </c>
      <c r="M81" s="255" t="str">
        <f>'Програма-имена+кабинети'!C192</f>
        <v/>
      </c>
      <c r="N81" s="286">
        <v>7</v>
      </c>
      <c r="O81" s="253">
        <f>'Програма-имена+кабинети'!B246</f>
        <v>0</v>
      </c>
      <c r="P81" s="278" t="str">
        <f>'Програма-имена+кабинети'!C246</f>
        <v/>
      </c>
    </row>
    <row r="83" spans="1:17" ht="21" customHeight="1">
      <c r="A83" s="387" t="s">
        <v>6</v>
      </c>
      <c r="B83" s="260"/>
      <c r="C83" s="261" t="s">
        <v>24</v>
      </c>
      <c r="D83" s="262"/>
      <c r="E83" s="261"/>
      <c r="F83" s="261" t="s">
        <v>25</v>
      </c>
      <c r="G83" s="263" t="s">
        <v>214</v>
      </c>
      <c r="H83" s="264"/>
      <c r="I83" s="265" t="s">
        <v>26</v>
      </c>
      <c r="J83" s="263" t="s">
        <v>214</v>
      </c>
      <c r="K83" s="266"/>
      <c r="L83" s="266" t="s">
        <v>27</v>
      </c>
      <c r="M83" s="263" t="s">
        <v>214</v>
      </c>
      <c r="N83" s="264"/>
      <c r="O83" s="265" t="s">
        <v>28</v>
      </c>
      <c r="P83" s="305" t="s">
        <v>214</v>
      </c>
    </row>
    <row r="84" spans="1:17" ht="21" customHeight="1">
      <c r="A84" s="387"/>
      <c r="B84" s="285">
        <v>1</v>
      </c>
      <c r="C84" s="283" t="str">
        <f>'Програма-имена+кабинети'!D21</f>
        <v>Гюлева</v>
      </c>
      <c r="D84" s="284">
        <f>'Програма-имена+кабинети'!E21</f>
        <v>204</v>
      </c>
      <c r="E84" s="269">
        <v>1</v>
      </c>
      <c r="F84" s="283" t="str">
        <f>'Програма-имена+кабинети'!D76</f>
        <v>Никова</v>
      </c>
      <c r="G84" s="284">
        <f>'Програма-имена+кабинети'!E76</f>
        <v>111</v>
      </c>
      <c r="H84" s="269">
        <v>1</v>
      </c>
      <c r="I84" s="283" t="str">
        <f>'Програма-имена+кабинети'!D131</f>
        <v>Христонова/Янева</v>
      </c>
      <c r="J84" s="284" t="str">
        <f>'Програма-имена+кабинети'!E131</f>
        <v>КК7/КК8</v>
      </c>
      <c r="K84" s="269">
        <v>1</v>
      </c>
      <c r="L84" s="283" t="str">
        <f>'Програма-имена+кабинети'!D186</f>
        <v>Тонева</v>
      </c>
      <c r="M84" s="284" t="str">
        <f>'Програма-имена+кабинети'!E186</f>
        <v>ФС</v>
      </c>
      <c r="N84" s="269">
        <v>1</v>
      </c>
      <c r="O84" s="283" t="str">
        <f>'Програма-имена+кабинети'!D240</f>
        <v>Пецова</v>
      </c>
      <c r="P84" s="284" t="str">
        <f>'Програма-имена+кабинети'!E240</f>
        <v>102/105/111/112</v>
      </c>
      <c r="Q84" s="268"/>
    </row>
    <row r="85" spans="1:17" ht="21" customHeight="1">
      <c r="A85" s="387"/>
      <c r="B85" s="285">
        <v>2</v>
      </c>
      <c r="C85" s="252" t="str">
        <f>'Програма-имена+кабинети'!D22</f>
        <v>Гюлева</v>
      </c>
      <c r="D85" s="254">
        <f>'Програма-имена+кабинети'!E22</f>
        <v>204</v>
      </c>
      <c r="E85" s="269">
        <v>2</v>
      </c>
      <c r="F85" s="252" t="str">
        <f>'Програма-имена+кабинети'!D77</f>
        <v>Мерджанова</v>
      </c>
      <c r="G85" s="254">
        <f>'Програма-имена+кабинети'!E77</f>
        <v>304</v>
      </c>
      <c r="H85" s="269">
        <v>2</v>
      </c>
      <c r="I85" s="252" t="str">
        <f>'Програма-имена+кабинети'!D132</f>
        <v>Никова</v>
      </c>
      <c r="J85" s="254">
        <f>'Програма-имена+кабинети'!E132</f>
        <v>111</v>
      </c>
      <c r="K85" s="269">
        <v>2</v>
      </c>
      <c r="L85" s="252" t="str">
        <f>'Програма-имена+кабинети'!D187</f>
        <v>Влашинска</v>
      </c>
      <c r="M85" s="254" t="str">
        <f>'Програма-имена+кабинети'!E187</f>
        <v>212/214/215/217</v>
      </c>
      <c r="N85" s="269">
        <v>2</v>
      </c>
      <c r="O85" s="252" t="str">
        <f>'Програма-имена+кабинети'!D241</f>
        <v>Филипова</v>
      </c>
      <c r="P85" s="254" t="str">
        <f>'Програма-имена+кабинети'!E241</f>
        <v>109/110/301/302/306</v>
      </c>
    </row>
    <row r="86" spans="1:17" ht="21" customHeight="1">
      <c r="A86" s="387"/>
      <c r="B86" s="285">
        <v>3</v>
      </c>
      <c r="C86" s="252" t="str">
        <f>'Програма-имена+кабинети'!D23</f>
        <v>Козалиева</v>
      </c>
      <c r="D86" s="254" t="str">
        <f>'Програма-имена+кабинети'!E23</f>
        <v>212/214/215/217</v>
      </c>
      <c r="E86" s="269">
        <v>3</v>
      </c>
      <c r="F86" s="252" t="str">
        <f>'Програма-имена+кабинети'!D78</f>
        <v>Мерджанова</v>
      </c>
      <c r="G86" s="254">
        <f>'Програма-имена+кабинети'!E78</f>
        <v>304</v>
      </c>
      <c r="H86" s="269">
        <v>3</v>
      </c>
      <c r="I86" s="252" t="str">
        <f>'Програма-имена+кабинети'!D133</f>
        <v>Мерджанова</v>
      </c>
      <c r="J86" s="254">
        <f>'Програма-имена+кабинети'!E133</f>
        <v>304</v>
      </c>
      <c r="K86" s="269">
        <v>3</v>
      </c>
      <c r="L86" s="252" t="str">
        <f>'Програма-имена+кабинети'!D188</f>
        <v>Козалиева</v>
      </c>
      <c r="M86" s="254" t="str">
        <f>'Програма-имена+кабинети'!E188</f>
        <v>212/214/215/217</v>
      </c>
      <c r="N86" s="269">
        <v>3</v>
      </c>
      <c r="O86" s="252" t="str">
        <f>'Програма-имена+кабинети'!D242</f>
        <v>Гюлева</v>
      </c>
      <c r="P86" s="254">
        <f>'Програма-имена+кабинети'!E242</f>
        <v>204</v>
      </c>
    </row>
    <row r="87" spans="1:17" ht="21" customHeight="1">
      <c r="A87" s="387"/>
      <c r="B87" s="285">
        <v>4</v>
      </c>
      <c r="C87" s="252" t="str">
        <f>'Програма-имена+кабинети'!D24</f>
        <v>Латева</v>
      </c>
      <c r="D87" s="254">
        <f>'Програма-имена+кабинети'!E24</f>
        <v>110</v>
      </c>
      <c r="E87" s="269">
        <v>4</v>
      </c>
      <c r="F87" s="252" t="str">
        <f>'Програма-имена+кабинети'!D79</f>
        <v>Минчева</v>
      </c>
      <c r="G87" s="254" t="str">
        <f>'Програма-имена+кабинети'!E79</f>
        <v>212/214/215/217</v>
      </c>
      <c r="H87" s="269">
        <v>4</v>
      </c>
      <c r="I87" s="252" t="str">
        <f>'Програма-имена+кабинети'!D134</f>
        <v>Иванова</v>
      </c>
      <c r="J87" s="254" t="str">
        <f>'Програма-имена+кабинети'!E134</f>
        <v>104/107/202/205/206/304</v>
      </c>
      <c r="K87" s="269">
        <v>4</v>
      </c>
      <c r="L87" s="252" t="str">
        <f>'Програма-имена+кабинети'!D189</f>
        <v>Латева</v>
      </c>
      <c r="M87" s="254">
        <f>'Програма-имена+кабинети'!E189</f>
        <v>110</v>
      </c>
      <c r="N87" s="269">
        <v>4</v>
      </c>
      <c r="O87" s="252" t="str">
        <f>'Програма-имена+кабинети'!D243</f>
        <v>Иванова</v>
      </c>
      <c r="P87" s="254" t="str">
        <f>'Програма-имена+кабинети'!E243</f>
        <v>104/107/202/205/206/304</v>
      </c>
    </row>
    <row r="88" spans="1:17" s="268" customFormat="1" ht="21" customHeight="1">
      <c r="A88" s="387"/>
      <c r="B88" s="285">
        <v>5</v>
      </c>
      <c r="C88" s="252" t="str">
        <f>'Програма-имена+кабинети'!D25</f>
        <v>Никова</v>
      </c>
      <c r="D88" s="254">
        <f>'Програма-имена+кабинети'!E25</f>
        <v>111</v>
      </c>
      <c r="E88" s="269">
        <v>5</v>
      </c>
      <c r="F88" s="252" t="str">
        <f>'Програма-имена+кабинети'!D80</f>
        <v>Иванова</v>
      </c>
      <c r="G88" s="254" t="str">
        <f>'Програма-имена+кабинети'!E80</f>
        <v>104/107/202/205/206/304</v>
      </c>
      <c r="H88" s="269">
        <v>5</v>
      </c>
      <c r="I88" s="252" t="str">
        <f>'Програма-имена+кабинети'!D135</f>
        <v>Иванова</v>
      </c>
      <c r="J88" s="254" t="str">
        <f>'Програма-имена+кабинети'!E135</f>
        <v>104/107/202/205/206/304</v>
      </c>
      <c r="K88" s="269">
        <v>5</v>
      </c>
      <c r="L88" s="252" t="str">
        <f>'Програма-имена+кабинети'!D190</f>
        <v>Минчева</v>
      </c>
      <c r="M88" s="254" t="str">
        <f>'Програма-имена+кабинети'!E190</f>
        <v>212/214/215/217</v>
      </c>
      <c r="N88" s="269">
        <v>5</v>
      </c>
      <c r="O88" s="252" t="str">
        <f>'Програма-имена+кабинети'!D244</f>
        <v>Минчева</v>
      </c>
      <c r="P88" s="254" t="str">
        <f>'Програма-имена+кабинети'!E244</f>
        <v>212/214/215/217</v>
      </c>
      <c r="Q88" s="267"/>
    </row>
    <row r="89" spans="1:17" ht="24" customHeight="1">
      <c r="A89" s="387"/>
      <c r="B89" s="285">
        <v>6</v>
      </c>
      <c r="C89" s="256" t="str">
        <f>'Програма-имена+кабинети'!D26</f>
        <v>Кирилова/Даскалова/Тодорова/Филипова</v>
      </c>
      <c r="D89" s="257" t="str">
        <f>'Програма-имена+кабинети'!E26</f>
        <v>108/107/106/105</v>
      </c>
      <c r="E89" s="269">
        <v>6</v>
      </c>
      <c r="F89" s="252" t="str">
        <f>'Програма-имена+кабинети'!D81</f>
        <v>Влашинска</v>
      </c>
      <c r="G89" s="254" t="str">
        <f>'Програма-имена+кабинети'!E81</f>
        <v>212/214/215/217</v>
      </c>
      <c r="H89" s="269">
        <v>6</v>
      </c>
      <c r="I89" s="252" t="str">
        <f>'Програма-имена+кабинети'!D136</f>
        <v>Влашинска</v>
      </c>
      <c r="J89" s="254" t="str">
        <f>'Програма-имена+кабинети'!E136</f>
        <v>212/214/215/217</v>
      </c>
      <c r="K89" s="269">
        <v>6</v>
      </c>
      <c r="L89" s="252" t="str">
        <f>'Програма-имена+кабинети'!D191</f>
        <v>Мерджанова</v>
      </c>
      <c r="M89" s="254">
        <f>'Програма-имена+кабинети'!E191</f>
        <v>304</v>
      </c>
      <c r="N89" s="269">
        <v>6</v>
      </c>
      <c r="O89" s="252" t="str">
        <f>'Програма-имена+кабинети'!D245</f>
        <v>Никова</v>
      </c>
      <c r="P89" s="254">
        <f>'Програма-имена+кабинети'!E245</f>
        <v>111</v>
      </c>
    </row>
    <row r="90" spans="1:17" ht="24.75" customHeight="1">
      <c r="A90" s="387"/>
      <c r="B90" s="286">
        <v>7</v>
      </c>
      <c r="C90" s="258" t="str">
        <f>'Програма-имена+кабинети'!D27</f>
        <v>Кирилова/Даскалова/Тодорова/Филипова</v>
      </c>
      <c r="D90" s="259" t="str">
        <f>'Програма-имена+кабинети'!E27</f>
        <v>108/107/106/105</v>
      </c>
      <c r="E90" s="276">
        <v>7</v>
      </c>
      <c r="F90" s="253" t="str">
        <f>'Програма-имена+кабинети'!D82</f>
        <v>Тонева</v>
      </c>
      <c r="G90" s="255" t="str">
        <f>'Програма-имена+кабинети'!E82</f>
        <v>ФС</v>
      </c>
      <c r="H90" s="276">
        <v>7</v>
      </c>
      <c r="I90" s="253" t="str">
        <f>'Програма-имена+кабинети'!D137</f>
        <v>Мерджанова</v>
      </c>
      <c r="J90" s="255">
        <f>'Програма-имена+кабинети'!E137</f>
        <v>304</v>
      </c>
      <c r="K90" s="276">
        <v>7</v>
      </c>
      <c r="L90" s="253">
        <f>'Програма-имена+кабинети'!D192</f>
        <v>0</v>
      </c>
      <c r="M90" s="255" t="str">
        <f>'Програма-имена+кабинети'!E192</f>
        <v/>
      </c>
      <c r="N90" s="276">
        <v>7</v>
      </c>
      <c r="O90" s="253">
        <f>'Програма-имена+кабинети'!D246</f>
        <v>0</v>
      </c>
      <c r="P90" s="255" t="str">
        <f>'Програма-имена+кабинети'!E246</f>
        <v/>
      </c>
    </row>
    <row r="92" spans="1:17" ht="21" customHeight="1">
      <c r="A92" s="387" t="s">
        <v>7</v>
      </c>
      <c r="B92" s="260"/>
      <c r="C92" s="261" t="s">
        <v>24</v>
      </c>
      <c r="D92" s="262"/>
      <c r="E92" s="261"/>
      <c r="F92" s="261" t="s">
        <v>25</v>
      </c>
      <c r="G92" s="263" t="s">
        <v>214</v>
      </c>
      <c r="H92" s="264"/>
      <c r="I92" s="265" t="s">
        <v>26</v>
      </c>
      <c r="J92" s="263" t="s">
        <v>214</v>
      </c>
      <c r="K92" s="266"/>
      <c r="L92" s="266" t="s">
        <v>27</v>
      </c>
      <c r="M92" s="263" t="s">
        <v>214</v>
      </c>
      <c r="N92" s="264"/>
      <c r="O92" s="265" t="s">
        <v>28</v>
      </c>
      <c r="P92" s="305" t="s">
        <v>214</v>
      </c>
      <c r="Q92" s="268"/>
    </row>
    <row r="93" spans="1:17" ht="21" customHeight="1">
      <c r="A93" s="387"/>
      <c r="B93" s="285">
        <v>1</v>
      </c>
      <c r="C93" s="283" t="str">
        <f>'Програма-имена+кабинети'!F21</f>
        <v>Латева</v>
      </c>
      <c r="D93" s="284">
        <f>'Програма-имена+кабинети'!G21</f>
        <v>110</v>
      </c>
      <c r="E93" s="269">
        <v>1</v>
      </c>
      <c r="F93" s="283" t="str">
        <f>'Програма-имена+кабинети'!F76</f>
        <v>Минчева</v>
      </c>
      <c r="G93" s="284" t="str">
        <f>'Програма-имена+кабинети'!G76</f>
        <v>212/214/215/217</v>
      </c>
      <c r="H93" s="269">
        <v>1</v>
      </c>
      <c r="I93" s="283" t="str">
        <f>'Програма-имена+кабинети'!F131</f>
        <v>Филипова</v>
      </c>
      <c r="J93" s="284" t="str">
        <f>'Програма-имена+кабинети'!G131</f>
        <v>109/110/301/302/306</v>
      </c>
      <c r="K93" s="269">
        <v>1</v>
      </c>
      <c r="L93" s="283" t="str">
        <f>'Програма-имена+кабинети'!F186</f>
        <v>Влашинска</v>
      </c>
      <c r="M93" s="284" t="str">
        <f>'Програма-имена+кабинети'!G186</f>
        <v>212/214/215/217</v>
      </c>
      <c r="N93" s="269">
        <v>1</v>
      </c>
      <c r="O93" s="283" t="str">
        <f>'Програма-имена+кабинети'!F240</f>
        <v>Латева</v>
      </c>
      <c r="P93" s="284">
        <f>'Програма-имена+кабинети'!G240</f>
        <v>110</v>
      </c>
    </row>
    <row r="94" spans="1:17" ht="21" customHeight="1">
      <c r="A94" s="387"/>
      <c r="B94" s="285">
        <v>2</v>
      </c>
      <c r="C94" s="252" t="str">
        <f>'Програма-имена+кабинети'!F22</f>
        <v>Мерджанова</v>
      </c>
      <c r="D94" s="254">
        <f>'Програма-имена+кабинети'!G22</f>
        <v>304</v>
      </c>
      <c r="E94" s="269">
        <v>2</v>
      </c>
      <c r="F94" s="252" t="str">
        <f>'Програма-имена+кабинети'!F77</f>
        <v>Никова</v>
      </c>
      <c r="G94" s="254">
        <f>'Програма-имена+кабинети'!G77</f>
        <v>111</v>
      </c>
      <c r="H94" s="269">
        <v>2</v>
      </c>
      <c r="I94" s="252" t="str">
        <f>'Програма-имена+кабинети'!F132</f>
        <v>Влашинска</v>
      </c>
      <c r="J94" s="254" t="str">
        <f>'Програма-имена+кабинети'!G132</f>
        <v>212/214/215/217</v>
      </c>
      <c r="K94" s="269">
        <v>2</v>
      </c>
      <c r="L94" s="252" t="str">
        <f>'Програма-имена+кабинети'!F187</f>
        <v>Козалиева</v>
      </c>
      <c r="M94" s="254" t="str">
        <f>'Програма-имена+кабинети'!G187</f>
        <v>212/214/215/217</v>
      </c>
      <c r="N94" s="269">
        <v>2</v>
      </c>
      <c r="O94" s="252" t="str">
        <f>'Програма-имена+кабинети'!F241</f>
        <v>Гюлева</v>
      </c>
      <c r="P94" s="254">
        <f>'Програма-имена+кабинети'!G241</f>
        <v>204</v>
      </c>
    </row>
    <row r="95" spans="1:17" ht="21" customHeight="1">
      <c r="A95" s="387"/>
      <c r="B95" s="285">
        <v>3</v>
      </c>
      <c r="C95" s="252" t="str">
        <f>'Програма-имена+кабинети'!F23</f>
        <v>Иванова</v>
      </c>
      <c r="D95" s="254" t="str">
        <f>'Програма-имена+кабинети'!G23</f>
        <v>104/107/202/205/206/304</v>
      </c>
      <c r="E95" s="269">
        <v>3</v>
      </c>
      <c r="F95" s="252" t="str">
        <f>'Програма-имена+кабинети'!F78</f>
        <v>Конгалов</v>
      </c>
      <c r="G95" s="254" t="str">
        <f>'Програма-имена+кабинети'!G78</f>
        <v>ФС</v>
      </c>
      <c r="H95" s="269">
        <v>3</v>
      </c>
      <c r="I95" s="252" t="str">
        <f>'Програма-имена+кабинети'!F133</f>
        <v>Иванова</v>
      </c>
      <c r="J95" s="254" t="str">
        <f>'Програма-имена+кабинети'!G133</f>
        <v>104/107/202/205/206/304</v>
      </c>
      <c r="K95" s="269">
        <v>3</v>
      </c>
      <c r="L95" s="252" t="str">
        <f>'Програма-имена+кабинети'!F188</f>
        <v>Пецова</v>
      </c>
      <c r="M95" s="254" t="str">
        <f>'Програма-имена+кабинети'!G188</f>
        <v>102/105/111/112</v>
      </c>
      <c r="N95" s="269">
        <v>3</v>
      </c>
      <c r="O95" s="252" t="str">
        <f>'Програма-имена+кабинети'!F242</f>
        <v>Никова</v>
      </c>
      <c r="P95" s="254">
        <f>'Програма-имена+кабинети'!G242</f>
        <v>111</v>
      </c>
    </row>
    <row r="96" spans="1:17" s="268" customFormat="1" ht="21" customHeight="1">
      <c r="A96" s="387"/>
      <c r="B96" s="285">
        <v>4</v>
      </c>
      <c r="C96" s="252" t="str">
        <f>'Програма-имена+кабинети'!F24</f>
        <v>Никова</v>
      </c>
      <c r="D96" s="254">
        <f>'Програма-имена+кабинети'!G24</f>
        <v>111</v>
      </c>
      <c r="E96" s="269">
        <v>4</v>
      </c>
      <c r="F96" s="252" t="str">
        <f>'Програма-имена+кабинети'!F79</f>
        <v>Влашинска</v>
      </c>
      <c r="G96" s="254" t="str">
        <f>'Програма-имена+кабинети'!G79</f>
        <v>212/214/215/217</v>
      </c>
      <c r="H96" s="269">
        <v>4</v>
      </c>
      <c r="I96" s="252" t="str">
        <f>'Програма-имена+кабинети'!F134</f>
        <v>Никова</v>
      </c>
      <c r="J96" s="254">
        <f>'Програма-имена+кабинети'!G134</f>
        <v>111</v>
      </c>
      <c r="K96" s="269">
        <v>4</v>
      </c>
      <c r="L96" s="252" t="str">
        <f>'Програма-имена+кабинети'!F189</f>
        <v>Иванова</v>
      </c>
      <c r="M96" s="254" t="str">
        <f>'Програма-имена+кабинети'!G189</f>
        <v>104/107/202/205/206/304</v>
      </c>
      <c r="N96" s="269">
        <v>4</v>
      </c>
      <c r="O96" s="252" t="str">
        <f>'Програма-имена+кабинети'!F243</f>
        <v>Конгалов</v>
      </c>
      <c r="P96" s="254" t="str">
        <f>'Програма-имена+кабинети'!G243</f>
        <v>ФС</v>
      </c>
      <c r="Q96" s="267"/>
    </row>
    <row r="97" spans="1:17" ht="21" customHeight="1">
      <c r="A97" s="387"/>
      <c r="B97" s="285">
        <v>5</v>
      </c>
      <c r="C97" s="252" t="str">
        <f>'Програма-имена+кабинети'!F25</f>
        <v>Козалиева</v>
      </c>
      <c r="D97" s="254" t="str">
        <f>'Програма-имена+кабинети'!G25</f>
        <v>212/214/215/217</v>
      </c>
      <c r="E97" s="269">
        <v>5</v>
      </c>
      <c r="F97" s="252" t="str">
        <f>'Програма-имена+кабинети'!F80</f>
        <v>К. Петрова/Димитрова</v>
      </c>
      <c r="G97" s="254" t="str">
        <f>'Програма-имена+кабинети'!G80</f>
        <v>КК1/КК8</v>
      </c>
      <c r="H97" s="269">
        <v>5</v>
      </c>
      <c r="I97" s="252" t="str">
        <f>'Програма-имена+кабинети'!F135</f>
        <v>Мерджанова</v>
      </c>
      <c r="J97" s="254">
        <f>'Програма-имена+кабинети'!G135</f>
        <v>304</v>
      </c>
      <c r="K97" s="269">
        <v>5</v>
      </c>
      <c r="L97" s="252" t="str">
        <f>'Програма-имена+кабинети'!F190</f>
        <v>Иванова</v>
      </c>
      <c r="M97" s="254" t="str">
        <f>'Програма-имена+кабинети'!G190</f>
        <v>104/107/202/205/206/304</v>
      </c>
      <c r="N97" s="269">
        <v>5</v>
      </c>
      <c r="O97" s="252" t="str">
        <f>'Програма-имена+кабинети'!F244</f>
        <v>Христонова/Янева</v>
      </c>
      <c r="P97" s="254" t="str">
        <f>'Програма-имена+кабинети'!G244</f>
        <v>КК7/КК8</v>
      </c>
    </row>
    <row r="98" spans="1:17" ht="21" customHeight="1">
      <c r="A98" s="387"/>
      <c r="B98" s="285">
        <v>6</v>
      </c>
      <c r="C98" s="256" t="s">
        <v>325</v>
      </c>
      <c r="D98" s="257" t="s">
        <v>365</v>
      </c>
      <c r="E98" s="269">
        <v>6</v>
      </c>
      <c r="F98" s="252" t="str">
        <f>'Програма-имена+кабинети'!F81</f>
        <v>Гюлева</v>
      </c>
      <c r="G98" s="254">
        <f>'Програма-имена+кабинети'!G81</f>
        <v>204</v>
      </c>
      <c r="H98" s="269">
        <v>6</v>
      </c>
      <c r="I98" s="252" t="str">
        <f>'Програма-имена+кабинети'!F136</f>
        <v>Мерджанова</v>
      </c>
      <c r="J98" s="254">
        <f>'Програма-имена+кабинети'!G136</f>
        <v>304</v>
      </c>
      <c r="K98" s="269">
        <v>6</v>
      </c>
      <c r="L98" s="252" t="str">
        <f>'Програма-имена+кабинети'!F191</f>
        <v>Минчева</v>
      </c>
      <c r="M98" s="254" t="str">
        <f>'Програма-имена+кабинети'!G191</f>
        <v>212/214/215/217</v>
      </c>
      <c r="N98" s="269">
        <v>6</v>
      </c>
      <c r="O98" s="252" t="str">
        <f>'Програма-имена+кабинети'!F245</f>
        <v>Минчева</v>
      </c>
      <c r="P98" s="254" t="str">
        <f>'Програма-имена+кабинети'!G245</f>
        <v>212/214/215/217</v>
      </c>
    </row>
    <row r="99" spans="1:17" ht="21" customHeight="1">
      <c r="A99" s="387"/>
      <c r="B99" s="286">
        <v>7</v>
      </c>
      <c r="C99" s="258" t="s">
        <v>325</v>
      </c>
      <c r="D99" s="259" t="s">
        <v>365</v>
      </c>
      <c r="E99" s="276">
        <v>7</v>
      </c>
      <c r="F99" s="253" t="str">
        <f>'Програма-имена+кабинети'!F82</f>
        <v>Гюлева</v>
      </c>
      <c r="G99" s="255">
        <f>'Програма-имена+кабинети'!G82</f>
        <v>204</v>
      </c>
      <c r="H99" s="276">
        <v>7</v>
      </c>
      <c r="I99" s="253" t="str">
        <f>'Програма-имена+кабинети'!F137</f>
        <v>Влашинска</v>
      </c>
      <c r="J99" s="255" t="str">
        <f>'Програма-имена+кабинети'!G137</f>
        <v>212/214/215/217</v>
      </c>
      <c r="K99" s="276">
        <v>7</v>
      </c>
      <c r="L99" s="253">
        <f>'Програма-имена+кабинети'!F192</f>
        <v>0</v>
      </c>
      <c r="M99" s="255" t="str">
        <f>'Програма-имена+кабинети'!G192</f>
        <v/>
      </c>
      <c r="N99" s="276">
        <v>7</v>
      </c>
      <c r="O99" s="253">
        <f>'Програма-имена+кабинети'!F246</f>
        <v>0</v>
      </c>
      <c r="P99" s="255" t="str">
        <f>'Програма-имена+кабинети'!G246</f>
        <v/>
      </c>
    </row>
    <row r="100" spans="1:17" ht="21" customHeight="1">
      <c r="Q100" s="268"/>
    </row>
    <row r="101" spans="1:17" ht="21" customHeight="1">
      <c r="A101" s="387" t="s">
        <v>8</v>
      </c>
      <c r="B101" s="260"/>
      <c r="C101" s="261" t="s">
        <v>24</v>
      </c>
      <c r="D101" s="262"/>
      <c r="E101" s="261"/>
      <c r="F101" s="261" t="s">
        <v>25</v>
      </c>
      <c r="G101" s="263" t="s">
        <v>214</v>
      </c>
      <c r="H101" s="264"/>
      <c r="I101" s="265" t="s">
        <v>26</v>
      </c>
      <c r="J101" s="263" t="s">
        <v>214</v>
      </c>
      <c r="K101" s="266"/>
      <c r="L101" s="266" t="s">
        <v>27</v>
      </c>
      <c r="M101" s="263" t="s">
        <v>214</v>
      </c>
      <c r="N101" s="264"/>
      <c r="O101" s="265" t="s">
        <v>28</v>
      </c>
      <c r="P101" s="305" t="s">
        <v>214</v>
      </c>
    </row>
    <row r="102" spans="1:17" ht="21" customHeight="1">
      <c r="A102" s="387"/>
      <c r="B102" s="285">
        <v>1</v>
      </c>
      <c r="C102" s="283" t="str">
        <f>'Програма-имена+кабинети'!H21</f>
        <v>Иванова</v>
      </c>
      <c r="D102" s="284" t="str">
        <f>'Програма-имена+кабинети'!I21</f>
        <v>104/107/202/205/206/304</v>
      </c>
      <c r="E102" s="269">
        <v>1</v>
      </c>
      <c r="F102" s="283" t="str">
        <f>'Програма-имена+кабинети'!H76</f>
        <v>Конгалов</v>
      </c>
      <c r="G102" s="284" t="str">
        <f>'Програма-имена+кабинети'!I76</f>
        <v>ФС</v>
      </c>
      <c r="H102" s="269">
        <v>1</v>
      </c>
      <c r="I102" s="283" t="str">
        <f>'Програма-имена+кабинети'!H131</f>
        <v>Краева</v>
      </c>
      <c r="J102" s="284">
        <f>'Програма-имена+кабинети'!I131</f>
        <v>306</v>
      </c>
      <c r="K102" s="269">
        <v>1</v>
      </c>
      <c r="L102" s="283" t="str">
        <f>'Програма-имена+кабинети'!H186</f>
        <v>Гюлева</v>
      </c>
      <c r="M102" s="284">
        <f>'Програма-имена+кабинети'!I186</f>
        <v>204</v>
      </c>
      <c r="N102" s="269">
        <v>1</v>
      </c>
      <c r="O102" s="283" t="str">
        <f>'Програма-имена+кабинети'!H240</f>
        <v>Иванова</v>
      </c>
      <c r="P102" s="284" t="str">
        <f>'Програма-имена+кабинети'!I240</f>
        <v>104/107/202/205/206/304</v>
      </c>
    </row>
    <row r="103" spans="1:17" ht="21" customHeight="1">
      <c r="A103" s="387"/>
      <c r="B103" s="285">
        <v>2</v>
      </c>
      <c r="C103" s="252" t="str">
        <f>'Програма-имена+кабинети'!H22</f>
        <v>Минчева</v>
      </c>
      <c r="D103" s="254" t="str">
        <f>'Програма-имена+кабинети'!I22</f>
        <v>212/214/215/217</v>
      </c>
      <c r="E103" s="269">
        <v>2</v>
      </c>
      <c r="F103" s="252" t="str">
        <f>'Програма-имена+кабинети'!H77</f>
        <v>Минчева</v>
      </c>
      <c r="G103" s="254" t="str">
        <f>'Програма-имена+кабинети'!I77</f>
        <v>212/214/215/217</v>
      </c>
      <c r="H103" s="269">
        <v>2</v>
      </c>
      <c r="I103" s="252" t="str">
        <f>'Програма-имена+кабинети'!H132</f>
        <v>Иванова</v>
      </c>
      <c r="J103" s="254" t="str">
        <f>'Програма-имена+кабинети'!I132</f>
        <v>104/107/202/205/206/304</v>
      </c>
      <c r="K103" s="269">
        <v>2</v>
      </c>
      <c r="L103" s="252" t="str">
        <f>'Програма-имена+кабинети'!H187</f>
        <v>Конгалов</v>
      </c>
      <c r="M103" s="254" t="str">
        <f>'Програма-имена+кабинети'!I187</f>
        <v>ФС</v>
      </c>
      <c r="N103" s="269">
        <v>2</v>
      </c>
      <c r="O103" s="252" t="str">
        <f>'Програма-имена+кабинети'!H241</f>
        <v>Иванова</v>
      </c>
      <c r="P103" s="254" t="str">
        <f>'Програма-имена+кабинети'!I241</f>
        <v>104/107/202/205/206/304</v>
      </c>
    </row>
    <row r="104" spans="1:17" ht="21" customHeight="1">
      <c r="A104" s="387"/>
      <c r="B104" s="285">
        <v>3</v>
      </c>
      <c r="C104" s="252" t="str">
        <f>'Програма-имена+кабинети'!H23</f>
        <v>Влашинска</v>
      </c>
      <c r="D104" s="254" t="str">
        <f>'Програма-имена+кабинети'!I23</f>
        <v>212/214/215/217</v>
      </c>
      <c r="E104" s="269">
        <v>3</v>
      </c>
      <c r="F104" s="252" t="str">
        <f>'Програма-имена+кабинети'!H78</f>
        <v>Гюлева</v>
      </c>
      <c r="G104" s="254">
        <f>'Програма-имена+кабинети'!I78</f>
        <v>204</v>
      </c>
      <c r="H104" s="269">
        <v>3</v>
      </c>
      <c r="I104" s="252" t="str">
        <f>'Програма-имена+кабинети'!H133</f>
        <v>Филипова</v>
      </c>
      <c r="J104" s="254" t="str">
        <f>'Програма-имена+кабинети'!I133</f>
        <v>109/110/301/302/306</v>
      </c>
      <c r="K104" s="269">
        <v>3</v>
      </c>
      <c r="L104" s="252" t="str">
        <f>'Програма-имена+кабинети'!H188</f>
        <v>Латева</v>
      </c>
      <c r="M104" s="254">
        <f>'Програма-имена+кабинети'!I188</f>
        <v>110</v>
      </c>
      <c r="N104" s="269">
        <v>3</v>
      </c>
      <c r="O104" s="252" t="str">
        <f>'Програма-имена+кабинети'!H242</f>
        <v>Латева</v>
      </c>
      <c r="P104" s="254">
        <f>'Програма-имена+кабинети'!I242</f>
        <v>110</v>
      </c>
    </row>
    <row r="105" spans="1:17" s="268" customFormat="1" ht="21" customHeight="1">
      <c r="A105" s="387"/>
      <c r="B105" s="285">
        <v>4</v>
      </c>
      <c r="C105" s="252" t="str">
        <f>'Програма-имена+кабинети'!H24</f>
        <v>Краева</v>
      </c>
      <c r="D105" s="254">
        <f>'Програма-имена+кабинети'!I24</f>
        <v>306</v>
      </c>
      <c r="E105" s="269">
        <v>4</v>
      </c>
      <c r="F105" s="252" t="str">
        <f>'Програма-имена+кабинети'!H79</f>
        <v>Гюлева</v>
      </c>
      <c r="G105" s="254">
        <f>'Програма-имена+кабинети'!I79</f>
        <v>204</v>
      </c>
      <c r="H105" s="269">
        <v>4</v>
      </c>
      <c r="I105" s="252" t="str">
        <f>'Програма-имена+кабинети'!H134</f>
        <v>Латева</v>
      </c>
      <c r="J105" s="254">
        <f>'Програма-имена+кабинети'!I134</f>
        <v>110</v>
      </c>
      <c r="K105" s="269">
        <v>4</v>
      </c>
      <c r="L105" s="252" t="str">
        <f>'Програма-имена+кабинети'!H189</f>
        <v>Минчева</v>
      </c>
      <c r="M105" s="254" t="str">
        <f>'Програма-имена+кабинети'!I189</f>
        <v>212/214/215/217</v>
      </c>
      <c r="N105" s="269">
        <v>4</v>
      </c>
      <c r="O105" s="252" t="str">
        <f>'Програма-имена+кабинети'!H243</f>
        <v>Латева</v>
      </c>
      <c r="P105" s="254">
        <f>'Програма-имена+кабинети'!I243</f>
        <v>110</v>
      </c>
      <c r="Q105" s="267"/>
    </row>
    <row r="106" spans="1:17" ht="21" customHeight="1">
      <c r="A106" s="387"/>
      <c r="B106" s="285">
        <v>5</v>
      </c>
      <c r="C106" s="252" t="str">
        <f>'Програма-имена+кабинети'!H25</f>
        <v>Латева</v>
      </c>
      <c r="D106" s="254">
        <f>'Програма-имена+кабинети'!I25</f>
        <v>110</v>
      </c>
      <c r="E106" s="269">
        <v>5</v>
      </c>
      <c r="F106" s="252" t="str">
        <f>'Програма-имена+кабинети'!H80</f>
        <v>Влашинска</v>
      </c>
      <c r="G106" s="254" t="str">
        <f>'Програма-имена+кабинети'!I80</f>
        <v>212/214/215/217</v>
      </c>
      <c r="H106" s="269">
        <v>5</v>
      </c>
      <c r="I106" s="252" t="str">
        <f>'Програма-имена+кабинети'!H135</f>
        <v>Козалиева</v>
      </c>
      <c r="J106" s="254" t="str">
        <f>'Програма-имена+кабинети'!I135</f>
        <v>212/214/215/217</v>
      </c>
      <c r="K106" s="269">
        <v>5</v>
      </c>
      <c r="L106" s="252" t="str">
        <f>'Програма-имена+кабинети'!H190</f>
        <v>Козалиева</v>
      </c>
      <c r="M106" s="254" t="str">
        <f>'Програма-имена+кабинети'!I190</f>
        <v>212/214/215/217</v>
      </c>
      <c r="N106" s="269">
        <v>5</v>
      </c>
      <c r="O106" s="252" t="str">
        <f>'Програма-имена+кабинети'!H244</f>
        <v>Влашинска</v>
      </c>
      <c r="P106" s="254" t="str">
        <f>'Програма-имена+кабинети'!I244</f>
        <v>212/214/215/217</v>
      </c>
    </row>
    <row r="107" spans="1:17" ht="21" customHeight="1">
      <c r="A107" s="387"/>
      <c r="B107" s="285">
        <v>6</v>
      </c>
      <c r="C107" s="252" t="s">
        <v>325</v>
      </c>
      <c r="D107" s="254" t="s">
        <v>365</v>
      </c>
      <c r="E107" s="269">
        <v>6</v>
      </c>
      <c r="F107" s="252" t="str">
        <f>'Програма-имена+кабинети'!H81</f>
        <v>К. Петрова/Димитрова</v>
      </c>
      <c r="G107" s="254" t="str">
        <f>'Програма-имена+кабинети'!I81</f>
        <v>КК1/КК8</v>
      </c>
      <c r="H107" s="269">
        <v>6</v>
      </c>
      <c r="I107" s="252" t="str">
        <f>'Програма-имена+кабинети'!H136</f>
        <v>Пецова</v>
      </c>
      <c r="J107" s="254" t="str">
        <f>'Програма-имена+кабинети'!I136</f>
        <v>102/105/111/112</v>
      </c>
      <c r="K107" s="269">
        <v>6</v>
      </c>
      <c r="L107" s="252" t="str">
        <f>'Програма-имена+кабинети'!H191</f>
        <v>Краева</v>
      </c>
      <c r="M107" s="254">
        <f>'Програма-имена+кабинети'!I191</f>
        <v>306</v>
      </c>
      <c r="N107" s="269">
        <v>6</v>
      </c>
      <c r="O107" s="252" t="str">
        <f>'Програма-имена+кабинети'!H245</f>
        <v>Христонова/Янева</v>
      </c>
      <c r="P107" s="254" t="str">
        <f>'Програма-имена+кабинети'!I245</f>
        <v>КК7/КК8</v>
      </c>
    </row>
    <row r="108" spans="1:17" ht="21" customHeight="1">
      <c r="A108" s="387"/>
      <c r="B108" s="286">
        <v>7</v>
      </c>
      <c r="C108" s="253" t="s">
        <v>325</v>
      </c>
      <c r="D108" s="255" t="s">
        <v>365</v>
      </c>
      <c r="E108" s="276">
        <v>7</v>
      </c>
      <c r="F108" s="253" t="str">
        <f>'Програма-имена+кабинети'!H82</f>
        <v>Латева</v>
      </c>
      <c r="G108" s="255">
        <f>'Програма-имена+кабинети'!I82</f>
        <v>110</v>
      </c>
      <c r="H108" s="276">
        <v>7</v>
      </c>
      <c r="I108" s="253" t="str">
        <f>'Програма-имена+кабинети'!H137</f>
        <v>Краева</v>
      </c>
      <c r="J108" s="255">
        <f>'Програма-имена+кабинети'!I137</f>
        <v>306</v>
      </c>
      <c r="K108" s="276">
        <v>7</v>
      </c>
      <c r="L108" s="253">
        <f>'Програма-имена+кабинети'!H192</f>
        <v>0</v>
      </c>
      <c r="M108" s="255" t="str">
        <f>'Програма-имена+кабинети'!I192</f>
        <v/>
      </c>
      <c r="N108" s="276">
        <v>7</v>
      </c>
      <c r="O108" s="253">
        <f>'Програма-имена+кабинети'!H246</f>
        <v>0</v>
      </c>
      <c r="P108" s="255" t="str">
        <f>'Програма-имена+кабинети'!I246</f>
        <v/>
      </c>
    </row>
    <row r="110" spans="1:17" ht="21" customHeight="1">
      <c r="A110" s="387" t="s">
        <v>9</v>
      </c>
      <c r="B110" s="260"/>
      <c r="C110" s="261" t="s">
        <v>24</v>
      </c>
      <c r="D110" s="262"/>
      <c r="E110" s="261"/>
      <c r="F110" s="261" t="s">
        <v>25</v>
      </c>
      <c r="G110" s="263" t="s">
        <v>214</v>
      </c>
      <c r="H110" s="264"/>
      <c r="I110" s="265" t="s">
        <v>26</v>
      </c>
      <c r="J110" s="263" t="s">
        <v>214</v>
      </c>
      <c r="K110" s="266"/>
      <c r="L110" s="266" t="s">
        <v>27</v>
      </c>
      <c r="M110" s="263" t="s">
        <v>214</v>
      </c>
      <c r="N110" s="264"/>
      <c r="O110" s="265" t="s">
        <v>28</v>
      </c>
      <c r="P110" s="305" t="s">
        <v>214</v>
      </c>
    </row>
    <row r="111" spans="1:17" ht="21" customHeight="1">
      <c r="A111" s="387"/>
      <c r="B111" s="285">
        <v>1</v>
      </c>
      <c r="C111" s="283" t="str">
        <f>'Програма-имена+кабинети'!J21</f>
        <v>Конгалов</v>
      </c>
      <c r="D111" s="284" t="str">
        <f>'Програма-имена+кабинети'!K21</f>
        <v>ФС</v>
      </c>
      <c r="E111" s="269">
        <v>1</v>
      </c>
      <c r="F111" s="283" t="str">
        <f>'Програма-имена+кабинети'!J76</f>
        <v>Влашинска</v>
      </c>
      <c r="G111" s="284" t="str">
        <f>'Програма-имена+кабинети'!K76</f>
        <v>212/214/215/217</v>
      </c>
      <c r="H111" s="269">
        <v>1</v>
      </c>
      <c r="I111" s="283" t="str">
        <f>'Програма-имена+кабинети'!J131</f>
        <v>Иванова</v>
      </c>
      <c r="J111" s="284" t="str">
        <f>'Програма-имена+кабинети'!K131</f>
        <v>104/107/202/205/206/304</v>
      </c>
      <c r="K111" s="269">
        <v>1</v>
      </c>
      <c r="L111" s="283" t="str">
        <f>'Програма-имена+кабинети'!J186</f>
        <v>Козалиева</v>
      </c>
      <c r="M111" s="284" t="str">
        <f>'Програма-имена+кабинети'!K186</f>
        <v>212/214/215/217</v>
      </c>
      <c r="N111" s="269">
        <v>1</v>
      </c>
      <c r="O111" s="283" t="str">
        <f>'Програма-имена+кабинети'!J240</f>
        <v>Гюлева</v>
      </c>
      <c r="P111" s="284">
        <f>'Програма-имена+кабинети'!K240</f>
        <v>204</v>
      </c>
    </row>
    <row r="112" spans="1:17" ht="21" customHeight="1">
      <c r="A112" s="387"/>
      <c r="B112" s="285">
        <v>2</v>
      </c>
      <c r="C112" s="252" t="str">
        <f>'Програма-имена+кабинети'!J22</f>
        <v>Латева</v>
      </c>
      <c r="D112" s="254">
        <f>'Програма-имена+кабинети'!K22</f>
        <v>110</v>
      </c>
      <c r="E112" s="269">
        <v>2</v>
      </c>
      <c r="F112" s="252" t="str">
        <f>'Програма-имена+кабинети'!J77</f>
        <v>Конгалов</v>
      </c>
      <c r="G112" s="254" t="str">
        <f>'Програма-имена+кабинети'!K77</f>
        <v>ФС</v>
      </c>
      <c r="H112" s="269">
        <v>2</v>
      </c>
      <c r="I112" s="252" t="str">
        <f>'Програма-имена+кабинети'!J132</f>
        <v>Филипова</v>
      </c>
      <c r="J112" s="254" t="str">
        <f>'Програма-имена+кабинети'!K132</f>
        <v>109/110/301/302/306</v>
      </c>
      <c r="K112" s="269">
        <v>2</v>
      </c>
      <c r="L112" s="252" t="str">
        <f>'Програма-имена+кабинети'!J187</f>
        <v>Кръстева</v>
      </c>
      <c r="M112" s="254">
        <f>'Програма-имена+кабинети'!K187</f>
        <v>302</v>
      </c>
      <c r="N112" s="269">
        <v>2</v>
      </c>
      <c r="O112" s="252" t="str">
        <f>'Програма-имена+кабинети'!J241</f>
        <v>Латева</v>
      </c>
      <c r="P112" s="254">
        <f>'Програма-имена+кабинети'!K241</f>
        <v>110</v>
      </c>
    </row>
    <row r="113" spans="1:17" ht="21" customHeight="1">
      <c r="A113" s="387"/>
      <c r="B113" s="285">
        <v>3</v>
      </c>
      <c r="C113" s="252" t="str">
        <f>'Програма-имена+кабинети'!J23</f>
        <v>Коларова</v>
      </c>
      <c r="D113" s="254" t="str">
        <f>'Програма-имена+кабинети'!K23</f>
        <v>212/214/215/217</v>
      </c>
      <c r="E113" s="269">
        <v>3</v>
      </c>
      <c r="F113" s="252" t="str">
        <f>'Програма-имена+кабинети'!J78</f>
        <v>Козалиева</v>
      </c>
      <c r="G113" s="254" t="str">
        <f>'Програма-имена+кабинети'!K78</f>
        <v>212/214/215/217</v>
      </c>
      <c r="H113" s="269">
        <v>3</v>
      </c>
      <c r="I113" s="252" t="str">
        <f>'Програма-имена+кабинети'!J133</f>
        <v>Влашинска</v>
      </c>
      <c r="J113" s="254" t="str">
        <f>'Програма-имена+кабинети'!K133</f>
        <v>212/214/215/217</v>
      </c>
      <c r="K113" s="269">
        <v>3</v>
      </c>
      <c r="L113" s="252" t="str">
        <f>'Програма-имена+кабинети'!J188</f>
        <v>Кирилова/Тодорова</v>
      </c>
      <c r="M113" s="254" t="str">
        <f>'Програма-имена+кабинети'!K188</f>
        <v>108/101-105</v>
      </c>
      <c r="N113" s="269">
        <v>3</v>
      </c>
      <c r="O113" s="252" t="str">
        <f>'Програма-имена+кабинети'!J242</f>
        <v>Влашинска</v>
      </c>
      <c r="P113" s="254" t="str">
        <f>'Програма-имена+кабинети'!K242</f>
        <v>212/214/215/217</v>
      </c>
    </row>
    <row r="114" spans="1:17" ht="21" customHeight="1">
      <c r="A114" s="387"/>
      <c r="B114" s="285">
        <v>4</v>
      </c>
      <c r="C114" s="252" t="str">
        <f>'Програма-имена+кабинети'!J24</f>
        <v>Козалиева</v>
      </c>
      <c r="D114" s="254" t="str">
        <f>'Програма-имена+кабинети'!K24</f>
        <v>212/214/215/217</v>
      </c>
      <c r="E114" s="269">
        <v>4</v>
      </c>
      <c r="F114" s="252" t="str">
        <f>'Програма-имена+кабинети'!J79</f>
        <v>Латева</v>
      </c>
      <c r="G114" s="254">
        <f>'Програма-имена+кабинети'!K79</f>
        <v>110</v>
      </c>
      <c r="H114" s="269">
        <v>4</v>
      </c>
      <c r="I114" s="252" t="str">
        <f>'Програма-имена+кабинети'!J134</f>
        <v>Кръстева</v>
      </c>
      <c r="J114" s="254">
        <f>'Програма-имена+кабинети'!K134</f>
        <v>302</v>
      </c>
      <c r="K114" s="269">
        <v>4</v>
      </c>
      <c r="L114" s="252" t="str">
        <f>'Програма-имена+кабинети'!J189</f>
        <v>Кирилова/Тодорова</v>
      </c>
      <c r="M114" s="254" t="str">
        <f>'Програма-имена+кабинети'!K189</f>
        <v>108/101-105</v>
      </c>
      <c r="N114" s="269">
        <v>4</v>
      </c>
      <c r="O114" s="252" t="str">
        <f>'Програма-имена+кабинети'!J243</f>
        <v>Христонова/Янева</v>
      </c>
      <c r="P114" s="254" t="str">
        <f>'Програма-имена+кабинети'!K243</f>
        <v>КК7/КК8</v>
      </c>
    </row>
    <row r="115" spans="1:17" ht="21" customHeight="1">
      <c r="A115" s="387"/>
      <c r="B115" s="285">
        <v>5</v>
      </c>
      <c r="C115" s="252" t="str">
        <f>'Програма-имена+кабинети'!J25</f>
        <v>Кръстева</v>
      </c>
      <c r="D115" s="254">
        <f>'Програма-имена+кабинети'!K25</f>
        <v>302</v>
      </c>
      <c r="E115" s="269">
        <v>5</v>
      </c>
      <c r="F115" s="252" t="str">
        <f>'Програма-имена+кабинети'!J80</f>
        <v>Латева</v>
      </c>
      <c r="G115" s="254">
        <f>'Програма-имена+кабинети'!K80</f>
        <v>110</v>
      </c>
      <c r="H115" s="269">
        <v>5</v>
      </c>
      <c r="I115" s="252" t="str">
        <f>'Програма-имена+кабинети'!J135</f>
        <v>Пецова</v>
      </c>
      <c r="J115" s="254" t="str">
        <f>'Програма-имена+кабинети'!K135</f>
        <v>102/105/111/112</v>
      </c>
      <c r="K115" s="269">
        <v>5</v>
      </c>
      <c r="L115" s="252" t="str">
        <f>'Програма-имена+кабинети'!J190</f>
        <v>Коларова</v>
      </c>
      <c r="M115" s="254" t="str">
        <f>'Програма-имена+кабинети'!K190</f>
        <v>212/214/215/217</v>
      </c>
      <c r="N115" s="269">
        <v>5</v>
      </c>
      <c r="O115" s="252" t="str">
        <f>'Програма-имена+кабинети'!J244</f>
        <v>Иванова</v>
      </c>
      <c r="P115" s="254" t="str">
        <f>'Програма-имена+кабинети'!K244</f>
        <v>104/107/202/205/206/304</v>
      </c>
    </row>
    <row r="116" spans="1:17" ht="21" customHeight="1">
      <c r="A116" s="387"/>
      <c r="B116" s="285">
        <v>6</v>
      </c>
      <c r="C116" s="252" t="str">
        <f>'Програма-имена+кабинети'!J26</f>
        <v>Гюлева</v>
      </c>
      <c r="D116" s="254">
        <f>'Програма-имена+кабинети'!K26</f>
        <v>204</v>
      </c>
      <c r="E116" s="269">
        <v>6</v>
      </c>
      <c r="F116" s="252" t="str">
        <f>'Програма-имена+кабинети'!J81</f>
        <v>Иванова</v>
      </c>
      <c r="G116" s="254" t="str">
        <f>'Програма-имена+кабинети'!K81</f>
        <v>104/107/202/205/206/304</v>
      </c>
      <c r="H116" s="269">
        <v>6</v>
      </c>
      <c r="I116" s="252" t="str">
        <f>'Програма-имена+кабинети'!J136</f>
        <v>Латева</v>
      </c>
      <c r="J116" s="254">
        <f>'Програма-имена+кабинети'!K136</f>
        <v>110</v>
      </c>
      <c r="K116" s="269">
        <v>6</v>
      </c>
      <c r="L116" s="252" t="str">
        <f>'Програма-имена+кабинети'!J191</f>
        <v>Латева</v>
      </c>
      <c r="M116" s="254">
        <f>'Програма-имена+кабинети'!K191</f>
        <v>110</v>
      </c>
      <c r="N116" s="269">
        <v>6</v>
      </c>
      <c r="O116" s="252" t="str">
        <f>'Програма-имена+кабинети'!J245</f>
        <v>Иванова</v>
      </c>
      <c r="P116" s="254" t="str">
        <f>'Програма-имена+кабинети'!K245</f>
        <v>104/107/202/205/206/304</v>
      </c>
    </row>
    <row r="117" spans="1:17" ht="21" customHeight="1">
      <c r="A117" s="387"/>
      <c r="B117" s="286">
        <v>7</v>
      </c>
      <c r="C117" s="253" t="str">
        <f>'Програма-имена+кабинети'!J27</f>
        <v>Гюлева</v>
      </c>
      <c r="D117" s="255">
        <f>'Програма-имена+кабинети'!K27</f>
        <v>204</v>
      </c>
      <c r="E117" s="276">
        <v>7</v>
      </c>
      <c r="F117" s="253" t="str">
        <f>'Програма-имена+кабинети'!J82</f>
        <v>Кръстева</v>
      </c>
      <c r="G117" s="255">
        <f>'Програма-имена+кабинети'!K82</f>
        <v>302</v>
      </c>
      <c r="H117" s="276">
        <v>7</v>
      </c>
      <c r="I117" s="253" t="str">
        <f>'Програма-имена+кабинети'!J137</f>
        <v>Иванова</v>
      </c>
      <c r="J117" s="255" t="str">
        <f>'Програма-имена+кабинети'!K137</f>
        <v>104/107/202/205/206/304</v>
      </c>
      <c r="K117" s="276">
        <v>7</v>
      </c>
      <c r="L117" s="253">
        <f>'Програма-имена+кабинети'!J192</f>
        <v>0</v>
      </c>
      <c r="M117" s="255" t="str">
        <f>'Програма-имена+кабинети'!K192</f>
        <v/>
      </c>
      <c r="N117" s="276">
        <v>7</v>
      </c>
      <c r="O117" s="253">
        <f>'Програма-имена+кабинети'!J246</f>
        <v>0</v>
      </c>
      <c r="P117" s="255" t="str">
        <f>'Програма-имена+кабинети'!K246</f>
        <v/>
      </c>
      <c r="Q117" s="268"/>
    </row>
    <row r="119" spans="1:17" ht="21" customHeight="1">
      <c r="A119" s="387" t="s">
        <v>10</v>
      </c>
      <c r="B119" s="260"/>
      <c r="C119" s="261" t="s">
        <v>24</v>
      </c>
      <c r="D119" s="262"/>
      <c r="E119" s="261"/>
      <c r="F119" s="261" t="s">
        <v>25</v>
      </c>
      <c r="G119" s="263" t="s">
        <v>214</v>
      </c>
      <c r="H119" s="264"/>
      <c r="I119" s="265" t="s">
        <v>26</v>
      </c>
      <c r="J119" s="263" t="s">
        <v>214</v>
      </c>
      <c r="K119" s="266"/>
      <c r="L119" s="266" t="s">
        <v>27</v>
      </c>
      <c r="M119" s="263" t="s">
        <v>214</v>
      </c>
      <c r="N119" s="264"/>
      <c r="O119" s="265" t="s">
        <v>28</v>
      </c>
      <c r="P119" s="305" t="s">
        <v>214</v>
      </c>
    </row>
    <row r="120" spans="1:17" ht="21" customHeight="1">
      <c r="A120" s="387"/>
      <c r="B120" s="285">
        <v>1</v>
      </c>
      <c r="C120" s="283" t="str">
        <f>'Програма-имена+кабинети'!B30</f>
        <v>Киркова/К. Петрова</v>
      </c>
      <c r="D120" s="284" t="str">
        <f>'Програма-имена+кабинети'!C30</f>
        <v>КК7/КК1</v>
      </c>
      <c r="E120" s="269">
        <v>1</v>
      </c>
      <c r="F120" s="283" t="str">
        <f>'Програма-имена+кабинети'!B85</f>
        <v>Клисарова</v>
      </c>
      <c r="G120" s="284">
        <f>'Програма-имена+кабинети'!C85</f>
        <v>305</v>
      </c>
      <c r="H120" s="285">
        <v>1</v>
      </c>
      <c r="I120" s="283" t="str">
        <f>'Програма-имена+кабинети'!B140</f>
        <v>Коларова</v>
      </c>
      <c r="J120" s="271" t="str">
        <f>'Програма-имена+кабинети'!C140</f>
        <v>212/214/215/217</v>
      </c>
      <c r="K120" s="269">
        <v>1</v>
      </c>
      <c r="L120" s="283" t="str">
        <f>'Програма-имена+кабинети'!B195</f>
        <v>Клисарова</v>
      </c>
      <c r="M120" s="284">
        <f>'Програма-имена+кабинети'!C195</f>
        <v>305</v>
      </c>
      <c r="N120" s="285">
        <v>1</v>
      </c>
      <c r="O120" s="283" t="str">
        <f>'Програма-имена+кабинети'!B249</f>
        <v>Данева</v>
      </c>
      <c r="P120" s="271">
        <f>'Програма-имена+кабинети'!C249</f>
        <v>101</v>
      </c>
    </row>
    <row r="121" spans="1:17" s="268" customFormat="1" ht="21" customHeight="1">
      <c r="A121" s="387"/>
      <c r="B121" s="285">
        <v>2</v>
      </c>
      <c r="C121" s="252" t="str">
        <f>'Програма-имена+кабинети'!B31</f>
        <v>Клисарова</v>
      </c>
      <c r="D121" s="254">
        <f>'Програма-имена+кабинети'!C31</f>
        <v>305</v>
      </c>
      <c r="E121" s="269">
        <v>2</v>
      </c>
      <c r="F121" s="252" t="str">
        <f>'Програма-имена+кабинети'!B86</f>
        <v>Киркова/К. Петрова</v>
      </c>
      <c r="G121" s="254" t="str">
        <f>'Програма-имена+кабинети'!C86</f>
        <v>КК7/КК1</v>
      </c>
      <c r="H121" s="285">
        <v>2</v>
      </c>
      <c r="I121" s="252" t="str">
        <f>'Програма-имена+кабинети'!B141</f>
        <v>Киров</v>
      </c>
      <c r="J121" s="275" t="str">
        <f>'Програма-имена+кабинети'!C141</f>
        <v>109/110/111/114/102/302</v>
      </c>
      <c r="K121" s="269">
        <v>2</v>
      </c>
      <c r="L121" s="252" t="str">
        <f>'Програма-имена+кабинети'!B196</f>
        <v>Киркова/К. Петрова</v>
      </c>
      <c r="M121" s="254" t="str">
        <f>'Програма-имена+кабинети'!C196</f>
        <v>КК7/КК1</v>
      </c>
      <c r="N121" s="285">
        <v>2</v>
      </c>
      <c r="O121" s="252" t="str">
        <f>'Програма-имена+кабинети'!B250</f>
        <v>Паронова</v>
      </c>
      <c r="P121" s="275" t="str">
        <f>'Програма-имена+кабинети'!C250</f>
        <v>212/214/215/217</v>
      </c>
      <c r="Q121" s="267"/>
    </row>
    <row r="122" spans="1:17" ht="21" customHeight="1">
      <c r="A122" s="387"/>
      <c r="B122" s="285">
        <v>3</v>
      </c>
      <c r="C122" s="252" t="str">
        <f>'Програма-имена+кабинети'!B32</f>
        <v>Клисарова</v>
      </c>
      <c r="D122" s="254">
        <f>'Програма-имена+кабинети'!C32</f>
        <v>305</v>
      </c>
      <c r="E122" s="269">
        <v>3</v>
      </c>
      <c r="F122" s="252" t="str">
        <f>'Програма-имена+кабинети'!B87</f>
        <v>Паронова</v>
      </c>
      <c r="G122" s="254" t="str">
        <f>'Програма-имена+кабинети'!C87</f>
        <v>212/214/215/217</v>
      </c>
      <c r="H122" s="285">
        <v>3</v>
      </c>
      <c r="I122" s="252" t="str">
        <f>'Програма-имена+кабинети'!B142</f>
        <v>Клисарова</v>
      </c>
      <c r="J122" s="275">
        <f>'Програма-имена+кабинети'!C142</f>
        <v>305</v>
      </c>
      <c r="K122" s="269">
        <v>3</v>
      </c>
      <c r="L122" s="252" t="str">
        <f>'Програма-имена+кабинети'!B197</f>
        <v>Киров</v>
      </c>
      <c r="M122" s="254" t="str">
        <f>'Програма-имена+кабинети'!C197</f>
        <v>109/110/111/114/102/302</v>
      </c>
      <c r="N122" s="285">
        <v>3</v>
      </c>
      <c r="O122" s="252" t="str">
        <f>'Програма-имена+кабинети'!B251</f>
        <v>Трандев</v>
      </c>
      <c r="P122" s="275" t="str">
        <f>'Програма-имена+кабинети'!C251</f>
        <v>ФС</v>
      </c>
    </row>
    <row r="123" spans="1:17" ht="21" customHeight="1">
      <c r="A123" s="387"/>
      <c r="B123" s="285">
        <v>4</v>
      </c>
      <c r="C123" s="252" t="str">
        <f>'Програма-имена+кабинети'!B33</f>
        <v>Данева</v>
      </c>
      <c r="D123" s="254">
        <f>'Програма-имена+кабинети'!C33</f>
        <v>101</v>
      </c>
      <c r="E123" s="269">
        <v>4</v>
      </c>
      <c r="F123" s="252" t="str">
        <f>'Програма-имена+кабинети'!B88</f>
        <v>Вълчева</v>
      </c>
      <c r="G123" s="254">
        <f>'Програма-имена+кабинети'!C88</f>
        <v>201</v>
      </c>
      <c r="H123" s="285">
        <v>4</v>
      </c>
      <c r="I123" s="252" t="str">
        <f>'Програма-имена+кабинети'!B143</f>
        <v>Киркова/К. Петрова</v>
      </c>
      <c r="J123" s="275" t="str">
        <f>'Програма-имена+кабинети'!C143</f>
        <v>КК7/КК1</v>
      </c>
      <c r="K123" s="269">
        <v>4</v>
      </c>
      <c r="L123" s="252" t="str">
        <f>'Програма-имена+кабинети'!B198</f>
        <v>Коларова</v>
      </c>
      <c r="M123" s="254" t="str">
        <f>'Програма-имена+кабинети'!C198</f>
        <v>212/214/215/217</v>
      </c>
      <c r="N123" s="285">
        <v>4</v>
      </c>
      <c r="O123" s="252" t="str">
        <f>'Програма-имена+кабинети'!B252</f>
        <v>Клисарова</v>
      </c>
      <c r="P123" s="275">
        <f>'Програма-имена+кабинети'!C252</f>
        <v>305</v>
      </c>
    </row>
    <row r="124" spans="1:17" ht="21" customHeight="1">
      <c r="A124" s="387"/>
      <c r="B124" s="285">
        <v>5</v>
      </c>
      <c r="C124" s="252" t="str">
        <f>'Програма-имена+кабинети'!B34</f>
        <v>Данева</v>
      </c>
      <c r="D124" s="254">
        <f>'Програма-имена+кабинети'!C34</f>
        <v>101</v>
      </c>
      <c r="E124" s="269">
        <v>5</v>
      </c>
      <c r="F124" s="252" t="str">
        <f>'Програма-имена+кабинети'!B89</f>
        <v>Вълчева</v>
      </c>
      <c r="G124" s="254">
        <f>'Програма-имена+кабинети'!C89</f>
        <v>201</v>
      </c>
      <c r="H124" s="285">
        <v>5</v>
      </c>
      <c r="I124" s="252" t="str">
        <f>'Програма-имена+кабинети'!B144</f>
        <v>В. Иванова</v>
      </c>
      <c r="J124" s="275">
        <f>'Програма-имена+кабинети'!C144</f>
        <v>109</v>
      </c>
      <c r="K124" s="269">
        <v>5</v>
      </c>
      <c r="L124" s="252" t="str">
        <f>'Програма-имена+кабинети'!B199</f>
        <v>Кирилова/Тодорова</v>
      </c>
      <c r="M124" s="254" t="str">
        <f>'Програма-имена+кабинети'!C199</f>
        <v>108/101-105</v>
      </c>
      <c r="N124" s="285">
        <v>5</v>
      </c>
      <c r="O124" s="252" t="str">
        <f>'Програма-имена+кабинети'!B253</f>
        <v>Вълчева</v>
      </c>
      <c r="P124" s="275">
        <f>'Програма-имена+кабинети'!C253</f>
        <v>201</v>
      </c>
    </row>
    <row r="125" spans="1:17" ht="21" customHeight="1">
      <c r="A125" s="387"/>
      <c r="B125" s="285">
        <v>6</v>
      </c>
      <c r="C125" s="252" t="str">
        <f>'Програма-имена+кабинети'!B35</f>
        <v>Киров</v>
      </c>
      <c r="D125" s="254" t="str">
        <f>'Програма-имена+кабинети'!C35</f>
        <v>109/110/111/114/102/302</v>
      </c>
      <c r="E125" s="269">
        <v>6</v>
      </c>
      <c r="F125" s="252" t="str">
        <f>'Програма-имена+кабинети'!B90</f>
        <v>Трандев</v>
      </c>
      <c r="G125" s="254" t="str">
        <f>'Програма-имена+кабинети'!C90</f>
        <v>ФС</v>
      </c>
      <c r="H125" s="285">
        <v>6</v>
      </c>
      <c r="I125" s="252" t="str">
        <f>'Програма-имена+кабинети'!B145</f>
        <v>Данева</v>
      </c>
      <c r="J125" s="275">
        <f>'Програма-имена+кабинети'!C145</f>
        <v>101</v>
      </c>
      <c r="K125" s="269">
        <v>6</v>
      </c>
      <c r="L125" s="252" t="str">
        <f>'Програма-имена+кабинети'!B200</f>
        <v>Кирилова/Тодорова</v>
      </c>
      <c r="M125" s="254" t="str">
        <f>'Програма-имена+кабинети'!C200</f>
        <v>108/101-105</v>
      </c>
      <c r="N125" s="285">
        <v>6</v>
      </c>
      <c r="O125" s="252" t="str">
        <f>'Програма-имена+кабинети'!B254</f>
        <v>Костова</v>
      </c>
      <c r="P125" s="275" t="str">
        <f>'Програма-имена+кабинети'!C254</f>
        <v>212/214/215/217</v>
      </c>
      <c r="Q125" s="268"/>
    </row>
    <row r="126" spans="1:17" ht="21" customHeight="1">
      <c r="A126" s="387"/>
      <c r="B126" s="286">
        <v>7</v>
      </c>
      <c r="C126" s="253" t="str">
        <f>'Програма-имена+кабинети'!B36</f>
        <v>Костова</v>
      </c>
      <c r="D126" s="255" t="str">
        <f>'Програма-имена+кабинети'!C36</f>
        <v>212/214/215/217</v>
      </c>
      <c r="E126" s="276">
        <v>7</v>
      </c>
      <c r="F126" s="253" t="str">
        <f>'Програма-имена+кабинети'!B91</f>
        <v>В. Иванова</v>
      </c>
      <c r="G126" s="255">
        <f>'Програма-имена+кабинети'!C91</f>
        <v>109</v>
      </c>
      <c r="H126" s="286">
        <v>7</v>
      </c>
      <c r="I126" s="253" t="str">
        <f>'Програма-имена+кабинети'!B146</f>
        <v>Киров</v>
      </c>
      <c r="J126" s="278" t="str">
        <f>'Програма-имена+кабинети'!C146</f>
        <v>109/110/111/114/102/302</v>
      </c>
      <c r="K126" s="276">
        <v>7</v>
      </c>
      <c r="L126" s="253">
        <f>'Програма-имена+кабинети'!B201</f>
        <v>0</v>
      </c>
      <c r="M126" s="255" t="str">
        <f>'Програма-имена+кабинети'!C201</f>
        <v/>
      </c>
      <c r="N126" s="286">
        <v>7</v>
      </c>
      <c r="O126" s="253">
        <f>'Програма-имена+кабинети'!B255</f>
        <v>0</v>
      </c>
      <c r="P126" s="278" t="str">
        <f>'Програма-имена+кабинети'!C255</f>
        <v/>
      </c>
    </row>
    <row r="127" spans="1:17" ht="21" customHeight="1">
      <c r="E127" s="294"/>
      <c r="F127" s="252"/>
      <c r="G127" s="295" t="s">
        <v>214</v>
      </c>
    </row>
    <row r="128" spans="1:17" ht="21" customHeight="1">
      <c r="A128" s="387" t="s">
        <v>11</v>
      </c>
      <c r="B128" s="260"/>
      <c r="C128" s="261" t="s">
        <v>24</v>
      </c>
      <c r="D128" s="262"/>
      <c r="E128" s="261"/>
      <c r="F128" s="261" t="s">
        <v>25</v>
      </c>
      <c r="G128" s="263" t="s">
        <v>214</v>
      </c>
      <c r="H128" s="264"/>
      <c r="I128" s="265" t="s">
        <v>26</v>
      </c>
      <c r="J128" s="263" t="s">
        <v>214</v>
      </c>
      <c r="K128" s="266"/>
      <c r="L128" s="266" t="s">
        <v>27</v>
      </c>
      <c r="M128" s="263" t="s">
        <v>214</v>
      </c>
      <c r="N128" s="264"/>
      <c r="O128" s="265" t="s">
        <v>28</v>
      </c>
      <c r="P128" s="305" t="s">
        <v>214</v>
      </c>
    </row>
    <row r="129" spans="1:17" s="268" customFormat="1" ht="21" customHeight="1">
      <c r="A129" s="387"/>
      <c r="B129" s="285">
        <v>1</v>
      </c>
      <c r="C129" s="283" t="str">
        <f>'Програма-имена+кабинети'!D30</f>
        <v>Славова</v>
      </c>
      <c r="D129" s="284">
        <f>'Програма-имена+кабинети'!E30</f>
        <v>114</v>
      </c>
      <c r="E129" s="269">
        <v>1</v>
      </c>
      <c r="F129" s="283" t="str">
        <f>'Програма-имена+кабинети'!D85</f>
        <v>Габарова</v>
      </c>
      <c r="G129" s="284">
        <f>'Програма-имена+кабинети'!E85</f>
        <v>206</v>
      </c>
      <c r="H129" s="269">
        <v>1</v>
      </c>
      <c r="I129" s="283" t="str">
        <f>'Програма-имена+кабинети'!D140</f>
        <v>Габарова</v>
      </c>
      <c r="J129" s="284">
        <f>'Програма-имена+кабинети'!E140</f>
        <v>206</v>
      </c>
      <c r="K129" s="269">
        <v>1</v>
      </c>
      <c r="L129" s="283" t="str">
        <f>'Програма-имена+кабинети'!D195</f>
        <v>Даскалова/Тодорова</v>
      </c>
      <c r="M129" s="284" t="str">
        <f>'Програма-имена+кабинети'!E195</f>
        <v>107-108/101-105</v>
      </c>
      <c r="N129" s="269">
        <v>1</v>
      </c>
      <c r="O129" s="283" t="str">
        <f>'Програма-имена+кабинети'!D249</f>
        <v>Киркова/К. Петрова</v>
      </c>
      <c r="P129" s="284" t="str">
        <f>'Програма-имена+кабинети'!E249</f>
        <v>КК7/КК1</v>
      </c>
      <c r="Q129" s="267"/>
    </row>
    <row r="130" spans="1:17" ht="21" customHeight="1">
      <c r="A130" s="387"/>
      <c r="B130" s="285">
        <v>2</v>
      </c>
      <c r="C130" s="252" t="str">
        <f>'Програма-имена+кабинети'!D31</f>
        <v>Вълчева</v>
      </c>
      <c r="D130" s="254">
        <f>'Програма-имена+кабинети'!E31</f>
        <v>201</v>
      </c>
      <c r="E130" s="269">
        <v>2</v>
      </c>
      <c r="F130" s="252" t="str">
        <f>'Програма-имена+кабинети'!D86</f>
        <v>Габарова</v>
      </c>
      <c r="G130" s="254">
        <f>'Програма-имена+кабинети'!E86</f>
        <v>206</v>
      </c>
      <c r="H130" s="269">
        <v>2</v>
      </c>
      <c r="I130" s="252" t="str">
        <f>'Програма-имена+кабинети'!D141</f>
        <v>Славова</v>
      </c>
      <c r="J130" s="254">
        <f>'Програма-имена+кабинети'!E141</f>
        <v>114</v>
      </c>
      <c r="K130" s="269">
        <v>2</v>
      </c>
      <c r="L130" s="252" t="str">
        <f>'Програма-имена+кабинети'!D196</f>
        <v>Даскалова/Тодорова</v>
      </c>
      <c r="M130" s="254" t="str">
        <f>'Програма-имена+кабинети'!E196</f>
        <v>107-108/101-105</v>
      </c>
      <c r="N130" s="269">
        <v>2</v>
      </c>
      <c r="O130" s="252" t="str">
        <f>'Програма-имена+кабинети'!D250</f>
        <v>Кръстева</v>
      </c>
      <c r="P130" s="254">
        <f>'Програма-имена+кабинети'!E250</f>
        <v>302</v>
      </c>
    </row>
    <row r="131" spans="1:17" ht="21" customHeight="1">
      <c r="A131" s="387"/>
      <c r="B131" s="285">
        <v>3</v>
      </c>
      <c r="C131" s="252" t="str">
        <f>'Програма-имена+кабинети'!D32</f>
        <v>Вълчева</v>
      </c>
      <c r="D131" s="254">
        <f>'Програма-имена+кабинети'!E32</f>
        <v>201</v>
      </c>
      <c r="E131" s="269">
        <v>3</v>
      </c>
      <c r="F131" s="252" t="str">
        <f>'Програма-имена+кабинети'!D87</f>
        <v>Киркова/К. Петрова</v>
      </c>
      <c r="G131" s="254" t="str">
        <f>'Програма-имена+кабинети'!E87</f>
        <v>КК7/КК1</v>
      </c>
      <c r="H131" s="269">
        <v>3</v>
      </c>
      <c r="I131" s="252" t="str">
        <f>'Програма-имена+кабинети'!D142</f>
        <v>Киркова/К. Петрова</v>
      </c>
      <c r="J131" s="254" t="str">
        <f>'Програма-имена+кабинети'!E142</f>
        <v>КК7/КК1</v>
      </c>
      <c r="K131" s="269">
        <v>3</v>
      </c>
      <c r="L131" s="252" t="str">
        <f>'Програма-имена+кабинети'!D197</f>
        <v>Киркова/К. Петрова</v>
      </c>
      <c r="M131" s="254" t="str">
        <f>'Програма-имена+кабинети'!E197</f>
        <v>КК7/КК1</v>
      </c>
      <c r="N131" s="269">
        <v>3</v>
      </c>
      <c r="O131" s="252" t="str">
        <f>'Програма-имена+кабинети'!D251</f>
        <v>Габарова</v>
      </c>
      <c r="P131" s="254">
        <f>'Програма-имена+кабинети'!E251</f>
        <v>206</v>
      </c>
    </row>
    <row r="132" spans="1:17" ht="21" customHeight="1">
      <c r="A132" s="387"/>
      <c r="B132" s="285">
        <v>4</v>
      </c>
      <c r="C132" s="252" t="str">
        <f>'Програма-имена+кабинети'!D33</f>
        <v>Коларова</v>
      </c>
      <c r="D132" s="254" t="str">
        <f>'Програма-имена+кабинети'!E33</f>
        <v>212/214/215/217</v>
      </c>
      <c r="E132" s="269">
        <v>4</v>
      </c>
      <c r="F132" s="252" t="str">
        <f>'Програма-имена+кабинети'!D88</f>
        <v>Трандев</v>
      </c>
      <c r="G132" s="254" t="str">
        <f>'Програма-имена+кабинети'!E88</f>
        <v>ФС</v>
      </c>
      <c r="H132" s="269">
        <v>4</v>
      </c>
      <c r="I132" s="252" t="str">
        <f>'Програма-имена+кабинети'!D143</f>
        <v>Влашинска</v>
      </c>
      <c r="J132" s="254" t="str">
        <f>'Програма-имена+кабинети'!E143</f>
        <v>212/214/215/217</v>
      </c>
      <c r="K132" s="269">
        <v>4</v>
      </c>
      <c r="L132" s="252" t="str">
        <f>'Програма-имена+кабинети'!D198</f>
        <v>В. Иванова</v>
      </c>
      <c r="M132" s="254">
        <f>'Програма-имена+кабинети'!E198</f>
        <v>109</v>
      </c>
      <c r="N132" s="269">
        <v>4</v>
      </c>
      <c r="O132" s="252" t="str">
        <f>'Програма-имена+кабинети'!D252</f>
        <v>Влашинска</v>
      </c>
      <c r="P132" s="254" t="str">
        <f>'Програма-имена+кабинети'!E252</f>
        <v>212/214/215/217</v>
      </c>
    </row>
    <row r="133" spans="1:17" ht="21" customHeight="1">
      <c r="A133" s="387"/>
      <c r="B133" s="285">
        <v>5</v>
      </c>
      <c r="C133" s="252" t="str">
        <f>'Програма-имена+кабинети'!D34</f>
        <v>Киркова/К. Петрова</v>
      </c>
      <c r="D133" s="254" t="str">
        <f>'Програма-имена+кабинети'!E34</f>
        <v>КК7/КК1</v>
      </c>
      <c r="E133" s="269">
        <v>5</v>
      </c>
      <c r="F133" s="252" t="str">
        <f>'Програма-имена+кабинети'!D89</f>
        <v>Кръстева</v>
      </c>
      <c r="G133" s="254">
        <f>'Програма-имена+кабинети'!E89</f>
        <v>302</v>
      </c>
      <c r="H133" s="269">
        <v>5</v>
      </c>
      <c r="I133" s="252" t="str">
        <f>'Програма-имена+кабинети'!D144</f>
        <v>Кръстева</v>
      </c>
      <c r="J133" s="254">
        <f>'Програма-имена+кабинети'!E144</f>
        <v>302</v>
      </c>
      <c r="K133" s="269">
        <v>5</v>
      </c>
      <c r="L133" s="252" t="str">
        <f>'Програма-имена+кабинети'!D199</f>
        <v>Вълчева</v>
      </c>
      <c r="M133" s="254">
        <f>'Програма-имена+кабинети'!E199</f>
        <v>201</v>
      </c>
      <c r="N133" s="269">
        <v>5</v>
      </c>
      <c r="O133" s="252" t="str">
        <f>'Програма-имена+кабинети'!D253</f>
        <v>В. Иванова</v>
      </c>
      <c r="P133" s="254">
        <f>'Програма-имена+кабинети'!E253</f>
        <v>109</v>
      </c>
    </row>
    <row r="134" spans="1:17" ht="21" customHeight="1">
      <c r="A134" s="387"/>
      <c r="B134" s="285">
        <v>6</v>
      </c>
      <c r="C134" s="252" t="str">
        <f>'Програма-имена+кабинети'!D35</f>
        <v>Трандев</v>
      </c>
      <c r="D134" s="254" t="str">
        <f>'Програма-имена+кабинети'!E35</f>
        <v>ФС</v>
      </c>
      <c r="E134" s="269">
        <v>6</v>
      </c>
      <c r="F134" s="252" t="str">
        <f>'Програма-имена+кабинети'!D90</f>
        <v>Коларова</v>
      </c>
      <c r="G134" s="254" t="str">
        <f>'Програма-имена+кабинети'!E90</f>
        <v>212/214/215/217</v>
      </c>
      <c r="H134" s="269">
        <v>6</v>
      </c>
      <c r="I134" s="252" t="str">
        <f>'Програма-имена+кабинети'!D145</f>
        <v>Кръстева</v>
      </c>
      <c r="J134" s="254">
        <f>'Програма-имена+кабинети'!E145</f>
        <v>302</v>
      </c>
      <c r="K134" s="269">
        <v>6</v>
      </c>
      <c r="L134" s="252" t="str">
        <f>'Програма-имена+кабинети'!D200</f>
        <v>Костова</v>
      </c>
      <c r="M134" s="254" t="str">
        <f>'Програма-имена+кабинети'!E200</f>
        <v>212/214/215/217</v>
      </c>
      <c r="N134" s="269">
        <v>6</v>
      </c>
      <c r="O134" s="252" t="str">
        <f>'Програма-имена+кабинети'!D254</f>
        <v>Киров</v>
      </c>
      <c r="P134" s="254" t="str">
        <f>'Програма-имена+кабинети'!E254</f>
        <v>109/110/111/114/102/302</v>
      </c>
      <c r="Q134" s="268"/>
    </row>
    <row r="135" spans="1:17" ht="21" customHeight="1">
      <c r="A135" s="387"/>
      <c r="B135" s="286">
        <v>7</v>
      </c>
      <c r="C135" s="253" t="str">
        <f>'Програма-имена+кабинети'!D36</f>
        <v>Кръстева</v>
      </c>
      <c r="D135" s="255">
        <f>'Програма-имена+кабинети'!E36</f>
        <v>302</v>
      </c>
      <c r="E135" s="276">
        <v>7</v>
      </c>
      <c r="F135" s="253" t="str">
        <f>'Програма-имена+кабинети'!D91</f>
        <v>Костова</v>
      </c>
      <c r="G135" s="255" t="str">
        <f>'Програма-имена+кабинети'!E91</f>
        <v>212/214/215/217</v>
      </c>
      <c r="H135" s="276">
        <v>7</v>
      </c>
      <c r="I135" s="253" t="str">
        <f>'Програма-имена+кабинети'!D146</f>
        <v>Кръстева</v>
      </c>
      <c r="J135" s="255">
        <f>'Програма-имена+кабинети'!E146</f>
        <v>302</v>
      </c>
      <c r="K135" s="276">
        <v>7</v>
      </c>
      <c r="L135" s="253">
        <f>'Програма-имена+кабинети'!D201</f>
        <v>0</v>
      </c>
      <c r="M135" s="255" t="str">
        <f>'Програма-имена+кабинети'!E201</f>
        <v/>
      </c>
      <c r="N135" s="285">
        <v>7</v>
      </c>
      <c r="O135" s="253">
        <f>'Програма-имена+кабинети'!D255</f>
        <v>0</v>
      </c>
      <c r="P135" s="255" t="str">
        <f>'Програма-имена+кабинети'!E255</f>
        <v/>
      </c>
    </row>
    <row r="136" spans="1:17" s="268" customFormat="1" ht="21" customHeight="1">
      <c r="D136" s="296"/>
      <c r="G136" s="296"/>
      <c r="J136" s="296"/>
      <c r="M136" s="296"/>
      <c r="P136" s="296"/>
      <c r="Q136" s="267"/>
    </row>
    <row r="137" spans="1:17" ht="21" customHeight="1">
      <c r="A137" s="387" t="s">
        <v>12</v>
      </c>
      <c r="B137" s="260"/>
      <c r="C137" s="261" t="s">
        <v>24</v>
      </c>
      <c r="D137" s="262"/>
      <c r="E137" s="261"/>
      <c r="F137" s="261" t="s">
        <v>25</v>
      </c>
      <c r="G137" s="263" t="s">
        <v>214</v>
      </c>
      <c r="H137" s="264"/>
      <c r="I137" s="265" t="s">
        <v>26</v>
      </c>
      <c r="J137" s="263" t="s">
        <v>214</v>
      </c>
      <c r="K137" s="266"/>
      <c r="L137" s="266" t="s">
        <v>27</v>
      </c>
      <c r="M137" s="263" t="s">
        <v>214</v>
      </c>
      <c r="N137" s="264"/>
      <c r="O137" s="265" t="s">
        <v>28</v>
      </c>
      <c r="P137" s="305" t="s">
        <v>214</v>
      </c>
    </row>
    <row r="138" spans="1:17" ht="21" customHeight="1">
      <c r="A138" s="387"/>
      <c r="B138" s="285">
        <v>1</v>
      </c>
      <c r="C138" s="283" t="str">
        <f>'Програма-имена+кабинети'!F30</f>
        <v>Петров ФВС</v>
      </c>
      <c r="D138" s="284" t="str">
        <f>'Програма-имена+кабинети'!G30</f>
        <v>ФС</v>
      </c>
      <c r="E138" s="269">
        <v>1</v>
      </c>
      <c r="F138" s="283" t="str">
        <f>'Програма-имена+кабинети'!F85</f>
        <v>Кръстева</v>
      </c>
      <c r="G138" s="284">
        <f>'Програма-имена+кабинети'!G85</f>
        <v>302</v>
      </c>
      <c r="H138" s="269">
        <v>1</v>
      </c>
      <c r="I138" s="283" t="str">
        <f>'Програма-имена+кабинети'!F140</f>
        <v>Киркова/К. Петрова</v>
      </c>
      <c r="J138" s="284" t="str">
        <f>'Програма-имена+кабинети'!G140</f>
        <v>КК7/КК1</v>
      </c>
      <c r="K138" s="269">
        <v>1</v>
      </c>
      <c r="L138" s="283" t="str">
        <f>'Програма-имена+кабинети'!F195</f>
        <v>Кирилова/Тодорова</v>
      </c>
      <c r="M138" s="284" t="str">
        <f>'Програма-имена+кабинети'!G195</f>
        <v>108/101-105</v>
      </c>
      <c r="N138" s="269">
        <v>1</v>
      </c>
      <c r="O138" s="283" t="str">
        <f>'Програма-имена+кабинети'!F249</f>
        <v>Влашинска</v>
      </c>
      <c r="P138" s="284" t="str">
        <f>'Програма-имена+кабинети'!G249</f>
        <v>212/214/215/217</v>
      </c>
    </row>
    <row r="139" spans="1:17" ht="21" customHeight="1">
      <c r="A139" s="387"/>
      <c r="B139" s="285">
        <v>2</v>
      </c>
      <c r="C139" s="252" t="str">
        <f>'Програма-имена+кабинети'!F31</f>
        <v>Киркова/К. Петрова</v>
      </c>
      <c r="D139" s="254" t="str">
        <f>'Програма-имена+кабинети'!G31</f>
        <v>КК7/КК1</v>
      </c>
      <c r="E139" s="269">
        <v>2</v>
      </c>
      <c r="F139" s="252" t="str">
        <f>'Програма-имена+кабинети'!F86</f>
        <v>Кръстева</v>
      </c>
      <c r="G139" s="254">
        <f>'Програма-имена+кабинети'!G86</f>
        <v>302</v>
      </c>
      <c r="H139" s="269">
        <v>2</v>
      </c>
      <c r="I139" s="252" t="str">
        <f>'Програма-имена+кабинети'!F141</f>
        <v>Кръстева</v>
      </c>
      <c r="J139" s="254">
        <f>'Програма-имена+кабинети'!G141</f>
        <v>302</v>
      </c>
      <c r="K139" s="269">
        <v>2</v>
      </c>
      <c r="L139" s="252" t="str">
        <f>'Програма-имена+кабинети'!F196</f>
        <v>Кирилова/Тодорова</v>
      </c>
      <c r="M139" s="254" t="str">
        <f>'Програма-имена+кабинети'!G196</f>
        <v>108/101-105</v>
      </c>
      <c r="N139" s="269">
        <v>2</v>
      </c>
      <c r="O139" s="252" t="str">
        <f>'Програма-имена+кабинети'!F250</f>
        <v>Киркова/К. Петрова</v>
      </c>
      <c r="P139" s="254" t="str">
        <f>'Програма-имена+кабинети'!G250</f>
        <v>КК7/КК1</v>
      </c>
    </row>
    <row r="140" spans="1:17" ht="21" customHeight="1">
      <c r="A140" s="387"/>
      <c r="B140" s="285">
        <v>3</v>
      </c>
      <c r="C140" s="252" t="str">
        <f>'Програма-имена+кабинети'!F32</f>
        <v>Данева</v>
      </c>
      <c r="D140" s="254">
        <f>'Програма-имена+кабинети'!G32</f>
        <v>101</v>
      </c>
      <c r="E140" s="269">
        <v>3</v>
      </c>
      <c r="F140" s="252" t="str">
        <f>'Програма-имена+кабинети'!F87</f>
        <v>Влашинска</v>
      </c>
      <c r="G140" s="254" t="str">
        <f>'Програма-имена+кабинети'!G87</f>
        <v>212/214/215/217</v>
      </c>
      <c r="H140" s="269">
        <v>3</v>
      </c>
      <c r="I140" s="252" t="str">
        <f>'Програма-имена+кабинети'!F142</f>
        <v>Славова</v>
      </c>
      <c r="J140" s="254">
        <f>'Програма-имена+кабинети'!G142</f>
        <v>114</v>
      </c>
      <c r="K140" s="269">
        <v>3</v>
      </c>
      <c r="L140" s="252" t="str">
        <f>'Програма-имена+кабинети'!F197</f>
        <v>Данева</v>
      </c>
      <c r="M140" s="254">
        <f>'Програма-имена+кабинети'!G197</f>
        <v>101</v>
      </c>
      <c r="N140" s="269">
        <v>3</v>
      </c>
      <c r="O140" s="252" t="str">
        <f>'Програма-имена+кабинети'!F251</f>
        <v>Кръстева</v>
      </c>
      <c r="P140" s="254">
        <f>'Програма-имена+кабинети'!G251</f>
        <v>302</v>
      </c>
    </row>
    <row r="141" spans="1:17" ht="21" customHeight="1">
      <c r="A141" s="387"/>
      <c r="B141" s="285">
        <v>4</v>
      </c>
      <c r="C141" s="252" t="str">
        <f>'Програма-имена+кабинети'!F33</f>
        <v>Костова</v>
      </c>
      <c r="D141" s="254" t="str">
        <f>'Програма-имена+кабинети'!G33</f>
        <v>212/214/215/217</v>
      </c>
      <c r="E141" s="269">
        <v>4</v>
      </c>
      <c r="F141" s="252" t="str">
        <f>'Програма-имена+кабинети'!F88</f>
        <v>Киркова/К. Петрова</v>
      </c>
      <c r="G141" s="254" t="str">
        <f>'Програма-имена+кабинети'!G88</f>
        <v>КК7/КК1</v>
      </c>
      <c r="H141" s="269">
        <v>4</v>
      </c>
      <c r="I141" s="252" t="str">
        <f>'Програма-имена+кабинети'!F143</f>
        <v>Петров ФВС</v>
      </c>
      <c r="J141" s="254" t="str">
        <f>'Програма-имена+кабинети'!G143</f>
        <v>ФС</v>
      </c>
      <c r="K141" s="269">
        <v>4</v>
      </c>
      <c r="L141" s="252" t="str">
        <f>'Програма-имена+кабинети'!F198</f>
        <v>Киркова/К. Петрова</v>
      </c>
      <c r="M141" s="254" t="str">
        <f>'Програма-имена+кабинети'!G198</f>
        <v>КК7/КК1</v>
      </c>
      <c r="N141" s="269">
        <v>4</v>
      </c>
      <c r="O141" s="252" t="str">
        <f>'Програма-имена+кабинети'!F252</f>
        <v>Костова</v>
      </c>
      <c r="P141" s="254" t="str">
        <f>'Програма-имена+кабинети'!G252</f>
        <v>212/214/215/217</v>
      </c>
      <c r="Q141" s="268"/>
    </row>
    <row r="142" spans="1:17" ht="21" customHeight="1">
      <c r="A142" s="387"/>
      <c r="B142" s="285">
        <v>5</v>
      </c>
      <c r="C142" s="252" t="str">
        <f>'Програма-имена+кабинети'!F34</f>
        <v>Коларова</v>
      </c>
      <c r="D142" s="254" t="str">
        <f>'Програма-имена+кабинети'!G34</f>
        <v>212/214/215/217</v>
      </c>
      <c r="E142" s="269">
        <v>5</v>
      </c>
      <c r="F142" s="252" t="str">
        <f>'Програма-имена+кабинети'!F89</f>
        <v>В. Иванова</v>
      </c>
      <c r="G142" s="254">
        <f>'Програма-имена+кабинети'!G89</f>
        <v>109</v>
      </c>
      <c r="H142" s="269">
        <v>5</v>
      </c>
      <c r="I142" s="252" t="str">
        <f>'Програма-имена+кабинети'!F144</f>
        <v>Вълчева</v>
      </c>
      <c r="J142" s="254">
        <f>'Програма-имена+кабинети'!G144</f>
        <v>201</v>
      </c>
      <c r="K142" s="269">
        <v>5</v>
      </c>
      <c r="L142" s="252" t="str">
        <f>'Програма-имена+кабинети'!F199</f>
        <v>В. Иванова</v>
      </c>
      <c r="M142" s="254">
        <f>'Програма-имена+кабинети'!G199</f>
        <v>109</v>
      </c>
      <c r="N142" s="269">
        <v>5</v>
      </c>
      <c r="O142" s="252" t="str">
        <f>'Програма-имена+кабинети'!F253</f>
        <v>Коларова</v>
      </c>
      <c r="P142" s="254" t="str">
        <f>'Програма-имена+кабинети'!G253</f>
        <v>212/214/215/217</v>
      </c>
    </row>
    <row r="143" spans="1:17" ht="21" customHeight="1">
      <c r="A143" s="387"/>
      <c r="B143" s="285">
        <v>6</v>
      </c>
      <c r="C143" s="252" t="str">
        <f>'Програма-имена+кабинети'!F35</f>
        <v>Кръстева</v>
      </c>
      <c r="D143" s="254">
        <f>'Програма-имена+кабинети'!G35</f>
        <v>302</v>
      </c>
      <c r="E143" s="269">
        <v>6</v>
      </c>
      <c r="F143" s="252" t="str">
        <f>'Програма-имена+кабинети'!F90</f>
        <v>Данева</v>
      </c>
      <c r="G143" s="254">
        <f>'Програма-имена+кабинети'!G90</f>
        <v>101</v>
      </c>
      <c r="H143" s="269">
        <v>6</v>
      </c>
      <c r="I143" s="252" t="str">
        <f>'Програма-имена+кабинети'!F145</f>
        <v>Вълчева</v>
      </c>
      <c r="J143" s="254">
        <f>'Програма-имена+кабинети'!G145</f>
        <v>201</v>
      </c>
      <c r="K143" s="269">
        <v>6</v>
      </c>
      <c r="L143" s="252" t="str">
        <f>'Програма-имена+кабинети'!F200</f>
        <v>Киров</v>
      </c>
      <c r="M143" s="254" t="str">
        <f>'Програма-имена+кабинети'!G200</f>
        <v>109/110/111/114/102/302</v>
      </c>
      <c r="N143" s="269">
        <v>6</v>
      </c>
      <c r="O143" s="252" t="str">
        <f>'Програма-имена+кабинети'!F254</f>
        <v>Вълчева</v>
      </c>
      <c r="P143" s="254">
        <f>'Програма-имена+кабинети'!G254</f>
        <v>201</v>
      </c>
    </row>
    <row r="144" spans="1:17" ht="21" customHeight="1">
      <c r="A144" s="387"/>
      <c r="B144" s="286">
        <v>7</v>
      </c>
      <c r="C144" s="253" t="str">
        <f>'Програма-имена+кабинети'!F36</f>
        <v>Славова</v>
      </c>
      <c r="D144" s="255">
        <f>'Програма-имена+кабинети'!G36</f>
        <v>114</v>
      </c>
      <c r="E144" s="276">
        <v>7</v>
      </c>
      <c r="F144" s="253" t="str">
        <f>'Програма-имена+кабинети'!F91</f>
        <v>Данева</v>
      </c>
      <c r="G144" s="255">
        <f>'Програма-имена+кабинети'!G91</f>
        <v>101</v>
      </c>
      <c r="H144" s="276">
        <v>7</v>
      </c>
      <c r="I144" s="253" t="str">
        <f>'Програма-имена+кабинети'!F146</f>
        <v>Данева</v>
      </c>
      <c r="J144" s="255">
        <f>'Програма-имена+кабинети'!G146</f>
        <v>101</v>
      </c>
      <c r="K144" s="276">
        <v>7</v>
      </c>
      <c r="L144" s="253">
        <f>'Програма-имена+кабинети'!F201</f>
        <v>0</v>
      </c>
      <c r="M144" s="255" t="str">
        <f>'Програма-имена+кабинети'!G201</f>
        <v/>
      </c>
      <c r="N144" s="276">
        <v>7</v>
      </c>
      <c r="O144" s="253">
        <f>'Програма-имена+кабинети'!F255</f>
        <v>0</v>
      </c>
      <c r="P144" s="255" t="str">
        <f>'Програма-имена+кабинети'!G255</f>
        <v/>
      </c>
    </row>
    <row r="145" spans="1:17" ht="21" customHeight="1">
      <c r="E145" s="294"/>
      <c r="F145" s="252"/>
      <c r="G145" s="295" t="s">
        <v>214</v>
      </c>
    </row>
    <row r="146" spans="1:17" ht="21" customHeight="1">
      <c r="A146" s="387" t="s">
        <v>13</v>
      </c>
      <c r="B146" s="260"/>
      <c r="C146" s="261" t="s">
        <v>24</v>
      </c>
      <c r="D146" s="262"/>
      <c r="E146" s="261"/>
      <c r="F146" s="261" t="s">
        <v>25</v>
      </c>
      <c r="G146" s="263" t="s">
        <v>214</v>
      </c>
      <c r="H146" s="264"/>
      <c r="I146" s="265" t="s">
        <v>26</v>
      </c>
      <c r="J146" s="263" t="s">
        <v>214</v>
      </c>
      <c r="K146" s="266"/>
      <c r="L146" s="266" t="s">
        <v>27</v>
      </c>
      <c r="M146" s="263" t="s">
        <v>214</v>
      </c>
      <c r="N146" s="264"/>
      <c r="O146" s="265" t="s">
        <v>28</v>
      </c>
      <c r="P146" s="305" t="s">
        <v>214</v>
      </c>
    </row>
    <row r="147" spans="1:17" ht="21" customHeight="1">
      <c r="A147" s="387"/>
      <c r="B147" s="285">
        <v>1</v>
      </c>
      <c r="C147" s="283" t="str">
        <f>'Програма-имена+кабинети'!H30</f>
        <v>Данева</v>
      </c>
      <c r="D147" s="284">
        <f>'Програма-имена+кабинети'!I30</f>
        <v>101</v>
      </c>
      <c r="E147" s="269">
        <v>1</v>
      </c>
      <c r="F147" s="283" t="str">
        <f>'Програма-имена+кабинети'!H85</f>
        <v>Киркова/К. Петрова</v>
      </c>
      <c r="G147" s="284" t="str">
        <f>'Програма-имена+кабинети'!I85</f>
        <v>КК7/КК1</v>
      </c>
      <c r="H147" s="269">
        <v>1</v>
      </c>
      <c r="I147" s="283" t="str">
        <f>'Програма-имена+кабинети'!H140</f>
        <v>Костова</v>
      </c>
      <c r="J147" s="284" t="str">
        <f>'Програма-имена+кабинети'!I140</f>
        <v>212/214/215/217</v>
      </c>
      <c r="K147" s="269">
        <v>1</v>
      </c>
      <c r="L147" s="283" t="str">
        <f>'Програма-имена+кабинети'!H195</f>
        <v>Данева</v>
      </c>
      <c r="M147" s="284">
        <f>'Програма-имена+кабинети'!I195</f>
        <v>101</v>
      </c>
      <c r="N147" s="269">
        <v>1</v>
      </c>
      <c r="O147" s="283" t="str">
        <f>'Програма-имена+кабинети'!H249</f>
        <v>Петров ФВС</v>
      </c>
      <c r="P147" s="284" t="str">
        <f>'Програма-имена+кабинети'!I249</f>
        <v>ФС</v>
      </c>
    </row>
    <row r="148" spans="1:17" ht="21" customHeight="1">
      <c r="A148" s="387"/>
      <c r="B148" s="285">
        <v>2</v>
      </c>
      <c r="C148" s="252" t="str">
        <f>'Програма-имена+кабинети'!H31</f>
        <v>Данева</v>
      </c>
      <c r="D148" s="254">
        <f>'Програма-имена+кабинети'!I31</f>
        <v>101</v>
      </c>
      <c r="E148" s="269">
        <v>2</v>
      </c>
      <c r="F148" s="252" t="str">
        <f>'Програма-имена+кабинети'!H86</f>
        <v>Киров</v>
      </c>
      <c r="G148" s="254" t="str">
        <f>'Програма-имена+кабинети'!I86</f>
        <v>109/110/111/114/102/302</v>
      </c>
      <c r="H148" s="269">
        <v>2</v>
      </c>
      <c r="I148" s="252" t="str">
        <f>'Програма-имена+кабинети'!H141</f>
        <v>Киркова/К. Петрова</v>
      </c>
      <c r="J148" s="254" t="str">
        <f>'Програма-имена+кабинети'!I141</f>
        <v>КК7/КК1</v>
      </c>
      <c r="K148" s="269">
        <v>2</v>
      </c>
      <c r="L148" s="252" t="str">
        <f>'Програма-имена+кабинети'!H196</f>
        <v>В. Иванова</v>
      </c>
      <c r="M148" s="254">
        <f>'Програма-имена+кабинети'!I196</f>
        <v>109</v>
      </c>
      <c r="N148" s="269">
        <v>2</v>
      </c>
      <c r="O148" s="252" t="str">
        <f>'Програма-имена+кабинети'!H250</f>
        <v>Данева</v>
      </c>
      <c r="P148" s="254">
        <f>'Програма-имена+кабинети'!I250</f>
        <v>101</v>
      </c>
    </row>
    <row r="149" spans="1:17" ht="21" customHeight="1">
      <c r="A149" s="387"/>
      <c r="B149" s="285">
        <v>3</v>
      </c>
      <c r="C149" s="252" t="str">
        <f>'Програма-имена+кабинети'!H32</f>
        <v>Никова</v>
      </c>
      <c r="D149" s="254">
        <f>'Програма-имена+кабинети'!I32</f>
        <v>111</v>
      </c>
      <c r="E149" s="269">
        <v>3</v>
      </c>
      <c r="F149" s="252" t="str">
        <f>'Програма-имена+кабинети'!H87</f>
        <v>Петров ФВС</v>
      </c>
      <c r="G149" s="254" t="str">
        <f>'Програма-имена+кабинети'!I87</f>
        <v>ФС</v>
      </c>
      <c r="H149" s="269">
        <v>3</v>
      </c>
      <c r="I149" s="252" t="str">
        <f>'Програма-имена+кабинети'!H142</f>
        <v>Кръстева</v>
      </c>
      <c r="J149" s="254">
        <f>'Програма-имена+кабинети'!I142</f>
        <v>302</v>
      </c>
      <c r="K149" s="269">
        <v>3</v>
      </c>
      <c r="L149" s="252" t="str">
        <f>'Програма-имена+кабинети'!H197</f>
        <v>Кръстева</v>
      </c>
      <c r="M149" s="254">
        <f>'Програма-имена+кабинети'!I197</f>
        <v>302</v>
      </c>
      <c r="N149" s="269">
        <v>3</v>
      </c>
      <c r="O149" s="252" t="str">
        <f>'Програма-имена+кабинети'!H251</f>
        <v>Кирилова</v>
      </c>
      <c r="P149" s="254">
        <f>'Програма-имена+кабинети'!I251</f>
        <v>108</v>
      </c>
    </row>
    <row r="150" spans="1:17" ht="21" customHeight="1">
      <c r="A150" s="387"/>
      <c r="B150" s="285">
        <v>4</v>
      </c>
      <c r="C150" s="252" t="str">
        <f>'Програма-имена+кабинети'!H33</f>
        <v>Киркова/К. Петрова</v>
      </c>
      <c r="D150" s="254" t="str">
        <f>'Програма-имена+кабинети'!I33</f>
        <v>КК7/КК1</v>
      </c>
      <c r="E150" s="269">
        <v>4</v>
      </c>
      <c r="F150" s="252" t="str">
        <f>'Програма-имена+кабинети'!H88</f>
        <v>Кирилова</v>
      </c>
      <c r="G150" s="254">
        <f>'Програма-имена+кабинети'!I88</f>
        <v>108</v>
      </c>
      <c r="H150" s="269">
        <v>4</v>
      </c>
      <c r="I150" s="252" t="str">
        <f>'Програма-имена+кабинети'!H143</f>
        <v>Паронова</v>
      </c>
      <c r="J150" s="254" t="str">
        <f>'Програма-имена+кабинети'!I143</f>
        <v>212/214/215/217</v>
      </c>
      <c r="K150" s="269">
        <v>4</v>
      </c>
      <c r="L150" s="252" t="str">
        <f>'Програма-имена+кабинети'!H198</f>
        <v>Кръстева</v>
      </c>
      <c r="M150" s="254">
        <f>'Програма-имена+кабинети'!I198</f>
        <v>302</v>
      </c>
      <c r="N150" s="269">
        <v>4</v>
      </c>
      <c r="O150" s="252" t="str">
        <f>'Програма-имена+кабинети'!H252</f>
        <v>Кирилова</v>
      </c>
      <c r="P150" s="254">
        <f>'Програма-имена+кабинети'!I252</f>
        <v>108</v>
      </c>
      <c r="Q150" s="268"/>
    </row>
    <row r="151" spans="1:17" ht="21" customHeight="1">
      <c r="A151" s="387"/>
      <c r="B151" s="285">
        <v>5</v>
      </c>
      <c r="C151" s="252" t="str">
        <f>'Програма-имена+кабинети'!H34</f>
        <v>Костова</v>
      </c>
      <c r="D151" s="254" t="str">
        <f>'Програма-имена+кабинети'!I34</f>
        <v>212/214/215/217</v>
      </c>
      <c r="E151" s="269">
        <v>5</v>
      </c>
      <c r="F151" s="252" t="str">
        <f>'Програма-имена+кабинети'!H89</f>
        <v>Кирилова</v>
      </c>
      <c r="G151" s="254">
        <f>'Програма-имена+кабинети'!I89</f>
        <v>108</v>
      </c>
      <c r="H151" s="269">
        <v>5</v>
      </c>
      <c r="I151" s="252" t="str">
        <f>'Програма-имена+кабинети'!H144</f>
        <v>Никова</v>
      </c>
      <c r="J151" s="254">
        <f>'Програма-имена+кабинети'!I144</f>
        <v>111</v>
      </c>
      <c r="K151" s="269">
        <v>5</v>
      </c>
      <c r="L151" s="252" t="str">
        <f>'Програма-имена+кабинети'!H199</f>
        <v>Киркова/К. Петрова</v>
      </c>
      <c r="M151" s="254" t="str">
        <f>'Програма-имена+кабинети'!I199</f>
        <v>КК7/КК1</v>
      </c>
      <c r="N151" s="269">
        <v>5</v>
      </c>
      <c r="O151" s="252" t="str">
        <f>'Програма-имена+кабинети'!H253</f>
        <v>Паронова</v>
      </c>
      <c r="P151" s="254" t="str">
        <f>'Програма-имена+кабинети'!I253</f>
        <v>212/214/215/217</v>
      </c>
    </row>
    <row r="152" spans="1:17" s="297" customFormat="1" ht="21" customHeight="1">
      <c r="A152" s="387"/>
      <c r="B152" s="285">
        <v>6</v>
      </c>
      <c r="C152" s="252" t="str">
        <f>'Програма-имена+кабинети'!H35</f>
        <v>Вълчева</v>
      </c>
      <c r="D152" s="254">
        <f>'Програма-имена+кабинети'!I35</f>
        <v>201</v>
      </c>
      <c r="E152" s="269">
        <v>6</v>
      </c>
      <c r="F152" s="252" t="str">
        <f>'Програма-имена+кабинети'!H90</f>
        <v>Кръстева</v>
      </c>
      <c r="G152" s="254">
        <f>'Програма-имена+кабинети'!I90</f>
        <v>302</v>
      </c>
      <c r="H152" s="269">
        <v>6</v>
      </c>
      <c r="I152" s="252" t="str">
        <f>'Програма-имена+кабинети'!H145</f>
        <v>В. Иванова</v>
      </c>
      <c r="J152" s="254">
        <f>'Програма-имена+кабинети'!I145</f>
        <v>109</v>
      </c>
      <c r="K152" s="269">
        <v>6</v>
      </c>
      <c r="L152" s="252" t="str">
        <f>'Програма-имена+кабинети'!H200</f>
        <v>Вълчева</v>
      </c>
      <c r="M152" s="254">
        <f>'Програма-имена+кабинети'!I200</f>
        <v>201</v>
      </c>
      <c r="N152" s="269">
        <v>6</v>
      </c>
      <c r="O152" s="252" t="str">
        <f>'Програма-имена+кабинети'!H254</f>
        <v>Коларова</v>
      </c>
      <c r="P152" s="254" t="str">
        <f>'Програма-имена+кабинети'!I254</f>
        <v>212/214/215/217</v>
      </c>
      <c r="Q152" s="267"/>
    </row>
    <row r="153" spans="1:17" ht="21" customHeight="1">
      <c r="A153" s="387"/>
      <c r="B153" s="286">
        <v>7</v>
      </c>
      <c r="C153" s="253" t="str">
        <f>'Програма-имена+кабинети'!H36</f>
        <v>Вълчева</v>
      </c>
      <c r="D153" s="255">
        <f>'Програма-имена+кабинети'!I36</f>
        <v>201</v>
      </c>
      <c r="E153" s="276">
        <v>7</v>
      </c>
      <c r="F153" s="253" t="str">
        <f>'Програма-имена+кабинети'!H91</f>
        <v>Коларова</v>
      </c>
      <c r="G153" s="255" t="str">
        <f>'Програма-имена+кабинети'!I91</f>
        <v>212/214/215/217</v>
      </c>
      <c r="H153" s="276">
        <v>7</v>
      </c>
      <c r="I153" s="253" t="str">
        <f>'Програма-имена+кабинети'!H146</f>
        <v>Паронова</v>
      </c>
      <c r="J153" s="255" t="str">
        <f>'Програма-имена+кабинети'!I146</f>
        <v>212/214/215/217</v>
      </c>
      <c r="K153" s="276">
        <v>7</v>
      </c>
      <c r="L153" s="253">
        <f>'Програма-имена+кабинети'!H201</f>
        <v>0</v>
      </c>
      <c r="M153" s="255" t="str">
        <f>'Програма-имена+кабинети'!I201</f>
        <v/>
      </c>
      <c r="N153" s="285">
        <v>7</v>
      </c>
      <c r="O153" s="253">
        <f>'Програма-имена+кабинети'!H255</f>
        <v>0</v>
      </c>
      <c r="P153" s="255" t="str">
        <f>'Програма-имена+кабинети'!I255</f>
        <v/>
      </c>
    </row>
    <row r="154" spans="1:17" ht="21" customHeight="1">
      <c r="E154" s="294"/>
      <c r="F154" s="252"/>
      <c r="G154" s="295" t="s">
        <v>214</v>
      </c>
    </row>
    <row r="155" spans="1:17" ht="21" customHeight="1">
      <c r="A155" s="387" t="s">
        <v>14</v>
      </c>
      <c r="B155" s="260"/>
      <c r="C155" s="261" t="s">
        <v>24</v>
      </c>
      <c r="D155" s="262"/>
      <c r="E155" s="261"/>
      <c r="F155" s="261" t="s">
        <v>25</v>
      </c>
      <c r="G155" s="263" t="s">
        <v>214</v>
      </c>
      <c r="H155" s="264"/>
      <c r="I155" s="265" t="s">
        <v>26</v>
      </c>
      <c r="J155" s="263" t="s">
        <v>214</v>
      </c>
      <c r="K155" s="266"/>
      <c r="L155" s="266" t="s">
        <v>27</v>
      </c>
      <c r="M155" s="263" t="s">
        <v>214</v>
      </c>
      <c r="N155" s="264"/>
      <c r="O155" s="265" t="s">
        <v>28</v>
      </c>
      <c r="P155" s="305" t="s">
        <v>214</v>
      </c>
    </row>
    <row r="156" spans="1:17" ht="21" customHeight="1">
      <c r="A156" s="387"/>
      <c r="B156" s="285">
        <v>1</v>
      </c>
      <c r="C156" s="283" t="str">
        <f>'Програма-имена+кабинети'!J30</f>
        <v>Костова</v>
      </c>
      <c r="D156" s="284" t="str">
        <f>'Програма-имена+кабинети'!K30</f>
        <v>212/214/215/217</v>
      </c>
      <c r="E156" s="269">
        <v>1</v>
      </c>
      <c r="F156" s="283" t="str">
        <f>'Програма-имена+кабинети'!J85</f>
        <v>В. Иванова</v>
      </c>
      <c r="G156" s="284">
        <f>'Програма-имена+кабинети'!K85</f>
        <v>109</v>
      </c>
      <c r="H156" s="269">
        <v>1</v>
      </c>
      <c r="I156" s="283" t="str">
        <f>'Програма-имена+кабинети'!J140</f>
        <v>Никова</v>
      </c>
      <c r="J156" s="284">
        <f>'Програма-имена+кабинети'!K140</f>
        <v>111</v>
      </c>
      <c r="K156" s="269">
        <v>1</v>
      </c>
      <c r="L156" s="283" t="str">
        <f>'Програма-имена+кабинети'!J195</f>
        <v>Коларова</v>
      </c>
      <c r="M156" s="284" t="str">
        <f>'Програма-имена+кабинети'!K195</f>
        <v>212/214/215/217</v>
      </c>
      <c r="N156" s="269">
        <v>1</v>
      </c>
      <c r="O156" s="283" t="str">
        <f>'Програма-имена+кабинети'!J249</f>
        <v>Паронова</v>
      </c>
      <c r="P156" s="284" t="str">
        <f>'Програма-имена+кабинети'!K249</f>
        <v>212/214/215/217</v>
      </c>
    </row>
    <row r="157" spans="1:17" ht="21" customHeight="1">
      <c r="A157" s="387"/>
      <c r="B157" s="285">
        <v>2</v>
      </c>
      <c r="C157" s="252" t="str">
        <f>'Програма-имена+кабинети'!J31</f>
        <v>Костова</v>
      </c>
      <c r="D157" s="254" t="str">
        <f>'Програма-имена+кабинети'!K31</f>
        <v>212/214/215/217</v>
      </c>
      <c r="E157" s="269">
        <v>2</v>
      </c>
      <c r="F157" s="252" t="str">
        <f>'Програма-имена+кабинети'!J86</f>
        <v>Вълчева</v>
      </c>
      <c r="G157" s="254">
        <f>'Програма-имена+кабинети'!K86</f>
        <v>201</v>
      </c>
      <c r="H157" s="269">
        <v>2</v>
      </c>
      <c r="I157" s="252" t="str">
        <f>'Програма-имена+кабинети'!J141</f>
        <v>Костова</v>
      </c>
      <c r="J157" s="254" t="str">
        <f>'Програма-имена+кабинети'!K141</f>
        <v>212/214/215/217</v>
      </c>
      <c r="K157" s="269">
        <v>2</v>
      </c>
      <c r="L157" s="252" t="str">
        <f>'Програма-имена+кабинети'!J196</f>
        <v>Данева</v>
      </c>
      <c r="M157" s="254">
        <f>'Програма-имена+кабинети'!K196</f>
        <v>101</v>
      </c>
      <c r="N157" s="269">
        <v>2</v>
      </c>
      <c r="O157" s="252" t="str">
        <f>'Програма-имена+кабинети'!J250</f>
        <v>Коларова</v>
      </c>
      <c r="P157" s="254" t="str">
        <f>'Програма-имена+кабинети'!K250</f>
        <v>212/214/215/217</v>
      </c>
    </row>
    <row r="158" spans="1:17" ht="21" customHeight="1">
      <c r="A158" s="387"/>
      <c r="B158" s="285">
        <v>3</v>
      </c>
      <c r="C158" s="252" t="str">
        <f>'Програма-имена+кабинети'!J32</f>
        <v>Киркова/К. Петрова</v>
      </c>
      <c r="D158" s="254" t="str">
        <f>'Програма-имена+кабинети'!K32</f>
        <v>КК7/КК1</v>
      </c>
      <c r="E158" s="269">
        <v>3</v>
      </c>
      <c r="F158" s="252" t="str">
        <f>'Програма-имена+кабинети'!J87</f>
        <v>Вълчева</v>
      </c>
      <c r="G158" s="254">
        <f>'Програма-имена+кабинети'!K87</f>
        <v>201</v>
      </c>
      <c r="H158" s="269">
        <v>3</v>
      </c>
      <c r="I158" s="252" t="str">
        <f>'Програма-имена+кабинети'!J142</f>
        <v>Данева</v>
      </c>
      <c r="J158" s="254">
        <f>'Програма-имена+кабинети'!K142</f>
        <v>101</v>
      </c>
      <c r="K158" s="269">
        <v>3</v>
      </c>
      <c r="L158" s="252" t="str">
        <f>'Програма-имена+кабинети'!J197</f>
        <v>Клисарова</v>
      </c>
      <c r="M158" s="254">
        <f>'Програма-имена+кабинети'!K197</f>
        <v>305</v>
      </c>
      <c r="N158" s="269">
        <v>3</v>
      </c>
      <c r="O158" s="252" t="str">
        <f>'Програма-имена+кабинети'!J251</f>
        <v>Коларова</v>
      </c>
      <c r="P158" s="254" t="str">
        <f>'Програма-имена+кабинети'!K251</f>
        <v>212/214/215/217</v>
      </c>
    </row>
    <row r="159" spans="1:17" ht="21" customHeight="1">
      <c r="A159" s="387"/>
      <c r="B159" s="285">
        <v>4</v>
      </c>
      <c r="C159" s="252" t="str">
        <f>'Програма-имена+кабинети'!J33</f>
        <v>Петров ФВС</v>
      </c>
      <c r="D159" s="254" t="str">
        <f>'Програма-имена+кабинети'!K33</f>
        <v>ФС</v>
      </c>
      <c r="E159" s="269">
        <v>4</v>
      </c>
      <c r="F159" s="252" t="str">
        <f>'Програма-имена+кабинети'!J88</f>
        <v>Костова</v>
      </c>
      <c r="G159" s="254" t="str">
        <f>'Програма-имена+кабинети'!K88</f>
        <v>212/214/215/217</v>
      </c>
      <c r="H159" s="269">
        <v>4</v>
      </c>
      <c r="I159" s="252" t="str">
        <f>'Програма-имена+кабинети'!J143</f>
        <v>Данева</v>
      </c>
      <c r="J159" s="254">
        <f>'Програма-имена+кабинети'!K143</f>
        <v>101</v>
      </c>
      <c r="K159" s="269">
        <v>4</v>
      </c>
      <c r="L159" s="252" t="str">
        <f>'Програма-имена+кабинети'!J198</f>
        <v>Петров ФВС</v>
      </c>
      <c r="M159" s="254" t="str">
        <f>'Програма-имена+кабинети'!K198</f>
        <v>ФС</v>
      </c>
      <c r="N159" s="269">
        <v>4</v>
      </c>
      <c r="O159" s="252" t="str">
        <f>'Програма-имена+кабинети'!J252</f>
        <v>Вълчева</v>
      </c>
      <c r="P159" s="254">
        <f>'Програма-имена+кабинети'!K252</f>
        <v>201</v>
      </c>
    </row>
    <row r="160" spans="1:17" ht="21" customHeight="1">
      <c r="A160" s="387"/>
      <c r="B160" s="285">
        <v>5</v>
      </c>
      <c r="C160" s="252" t="str">
        <f>'Програма-имена+кабинети'!J34</f>
        <v>Клисарова</v>
      </c>
      <c r="D160" s="254">
        <f>'Програма-имена+кабинети'!K34</f>
        <v>305</v>
      </c>
      <c r="E160" s="269">
        <v>5</v>
      </c>
      <c r="F160" s="252" t="str">
        <f>'Програма-имена+кабинети'!J89</f>
        <v>Коларова</v>
      </c>
      <c r="G160" s="254" t="str">
        <f>'Програма-имена+кабинети'!K89</f>
        <v>212/214/215/217</v>
      </c>
      <c r="H160" s="269">
        <v>5</v>
      </c>
      <c r="I160" s="252" t="str">
        <f>'Програма-имена+кабинети'!J144</f>
        <v>Киркова/К. Петрова</v>
      </c>
      <c r="J160" s="254" t="str">
        <f>'Програма-имена+кабинети'!K144</f>
        <v>КК7/КК1</v>
      </c>
      <c r="K160" s="269">
        <v>5</v>
      </c>
      <c r="L160" s="252" t="str">
        <f>'Програма-имена+кабинети'!J199</f>
        <v>Костова</v>
      </c>
      <c r="M160" s="254" t="str">
        <f>'Програма-имена+кабинети'!K199</f>
        <v>212/214/215/217</v>
      </c>
      <c r="N160" s="269">
        <v>5</v>
      </c>
      <c r="O160" s="252" t="str">
        <f>'Програма-имена+кабинети'!J253</f>
        <v>Киров</v>
      </c>
      <c r="P160" s="254" t="str">
        <f>'Програма-имена+кабинети'!K253</f>
        <v>109/110/111/114/102/302</v>
      </c>
    </row>
    <row r="161" spans="1:17" ht="21" customHeight="1">
      <c r="A161" s="387"/>
      <c r="B161" s="285">
        <v>6</v>
      </c>
      <c r="C161" s="252" t="str">
        <f>'Програма-имена+кабинети'!J35</f>
        <v>Данева</v>
      </c>
      <c r="D161" s="254">
        <f>'Програма-имена+кабинети'!K35</f>
        <v>101</v>
      </c>
      <c r="E161" s="269">
        <v>6</v>
      </c>
      <c r="F161" s="252" t="str">
        <f>'Програма-имена+кабинети'!J90</f>
        <v>Кирилова/Тодорова</v>
      </c>
      <c r="G161" s="254" t="str">
        <f>'Програма-имена+кабинети'!K90</f>
        <v>108/101-105</v>
      </c>
      <c r="H161" s="269">
        <v>6</v>
      </c>
      <c r="I161" s="252" t="str">
        <f>'Програма-имена+кабинети'!J145</f>
        <v>Паронова</v>
      </c>
      <c r="J161" s="254" t="str">
        <f>'Програма-имена+кабинети'!K145</f>
        <v>212/214/215/217</v>
      </c>
      <c r="K161" s="269">
        <v>6</v>
      </c>
      <c r="L161" s="252" t="str">
        <f>'Програма-имена+кабинети'!J200</f>
        <v>В. Иванова</v>
      </c>
      <c r="M161" s="254">
        <f>'Програма-имена+кабинети'!K200</f>
        <v>109</v>
      </c>
      <c r="N161" s="269">
        <v>6</v>
      </c>
      <c r="O161" s="252" t="str">
        <f>'Програма-имена+кабинети'!J254</f>
        <v>Клисарова</v>
      </c>
      <c r="P161" s="254">
        <f>'Програма-имена+кабинети'!K254</f>
        <v>305</v>
      </c>
    </row>
    <row r="162" spans="1:17" ht="21" customHeight="1">
      <c r="A162" s="387"/>
      <c r="B162" s="286">
        <v>7</v>
      </c>
      <c r="C162" s="253" t="str">
        <f>'Програма-имена+кабинети'!J36</f>
        <v>Никова</v>
      </c>
      <c r="D162" s="255">
        <f>'Програма-имена+кабинети'!K36</f>
        <v>111</v>
      </c>
      <c r="E162" s="276">
        <v>7</v>
      </c>
      <c r="F162" s="253" t="str">
        <f>'Програма-имена+кабинети'!J91</f>
        <v>Кирилова/Тодорова</v>
      </c>
      <c r="G162" s="255" t="str">
        <f>'Програма-имена+кабинети'!K91</f>
        <v>108/101-105</v>
      </c>
      <c r="H162" s="276">
        <v>7</v>
      </c>
      <c r="I162" s="253" t="str">
        <f>'Програма-имена+кабинети'!J146</f>
        <v>Костова</v>
      </c>
      <c r="J162" s="255" t="str">
        <f>'Програма-имена+кабинети'!K146</f>
        <v>212/214/215/217</v>
      </c>
      <c r="K162" s="276">
        <v>7</v>
      </c>
      <c r="L162" s="253">
        <f>'Програма-имена+кабинети'!J201</f>
        <v>0</v>
      </c>
      <c r="M162" s="255" t="str">
        <f>'Програма-имена+кабинети'!K201</f>
        <v/>
      </c>
      <c r="N162" s="285">
        <v>7</v>
      </c>
      <c r="O162" s="253">
        <f>'Програма-имена+кабинети'!J255</f>
        <v>0</v>
      </c>
      <c r="P162" s="255" t="str">
        <f>'Програма-имена+кабинети'!K255</f>
        <v/>
      </c>
    </row>
    <row r="163" spans="1:17" ht="21" customHeight="1">
      <c r="E163" s="294"/>
      <c r="F163" s="252"/>
      <c r="G163" s="298" t="s">
        <v>214</v>
      </c>
    </row>
    <row r="164" spans="1:17" ht="21" customHeight="1">
      <c r="A164" s="387" t="s">
        <v>15</v>
      </c>
      <c r="B164" s="260"/>
      <c r="C164" s="261" t="s">
        <v>24</v>
      </c>
      <c r="D164" s="262"/>
      <c r="E164" s="261"/>
      <c r="F164" s="261" t="s">
        <v>25</v>
      </c>
      <c r="G164" s="263" t="s">
        <v>214</v>
      </c>
      <c r="H164" s="264"/>
      <c r="I164" s="265" t="s">
        <v>26</v>
      </c>
      <c r="J164" s="263" t="s">
        <v>214</v>
      </c>
      <c r="K164" s="266"/>
      <c r="L164" s="266" t="s">
        <v>27</v>
      </c>
      <c r="M164" s="263" t="s">
        <v>214</v>
      </c>
      <c r="N164" s="264"/>
      <c r="O164" s="265" t="s">
        <v>28</v>
      </c>
      <c r="P164" s="305" t="s">
        <v>214</v>
      </c>
    </row>
    <row r="165" spans="1:17" ht="21" customHeight="1">
      <c r="A165" s="387"/>
      <c r="B165" s="285">
        <v>1</v>
      </c>
      <c r="C165" s="283" t="str">
        <f>'Програма-имена+кабинети'!B39</f>
        <v>Даскалова/Тодорова</v>
      </c>
      <c r="D165" s="284" t="str">
        <f>'Програма-имена+кабинети'!C39</f>
        <v>107-108/101-105</v>
      </c>
      <c r="E165" s="269">
        <v>1</v>
      </c>
      <c r="F165" s="283" t="str">
        <f>'Програма-имена+кабинети'!B94</f>
        <v>Христонова/Цветков</v>
      </c>
      <c r="G165" s="284" t="str">
        <f>'Програма-имена+кабинети'!C94</f>
        <v>КК4/КК6</v>
      </c>
      <c r="H165" s="285">
        <v>1</v>
      </c>
      <c r="I165" s="270" t="str">
        <f>'Програма-имена+кабинети'!B149</f>
        <v>Данева</v>
      </c>
      <c r="J165" s="271">
        <f>'Програма-имена+кабинети'!C149</f>
        <v>101</v>
      </c>
      <c r="K165" s="269">
        <v>1</v>
      </c>
      <c r="L165" s="283" t="str">
        <f>'Програма-имена+кабинети'!B204</f>
        <v>Конгалов</v>
      </c>
      <c r="M165" s="284" t="str">
        <f>'Програма-имена+кабинети'!C204</f>
        <v>ФС</v>
      </c>
      <c r="N165" s="285">
        <v>1</v>
      </c>
      <c r="O165" s="270" t="str">
        <f>'Програма-имена+кабинети'!B258</f>
        <v>Н. Николова</v>
      </c>
      <c r="P165" s="271" t="str">
        <f>'Програма-имена+кабинети'!C258</f>
        <v>201/202/203/205/206</v>
      </c>
    </row>
    <row r="166" spans="1:17" ht="21" customHeight="1">
      <c r="A166" s="387"/>
      <c r="B166" s="285">
        <v>2</v>
      </c>
      <c r="C166" s="252" t="str">
        <f>'Програма-имена+кабинети'!B40</f>
        <v>Даскалова/Тодорова</v>
      </c>
      <c r="D166" s="254" t="str">
        <f>'Програма-имена+кабинети'!C40</f>
        <v>107-108/101-105</v>
      </c>
      <c r="E166" s="269">
        <v>2</v>
      </c>
      <c r="F166" s="252" t="str">
        <f>'Програма-имена+кабинети'!B95</f>
        <v>Паронова</v>
      </c>
      <c r="G166" s="254" t="str">
        <f>'Програма-имена+кабинети'!C95</f>
        <v>212/214/215/217</v>
      </c>
      <c r="H166" s="285">
        <v>2</v>
      </c>
      <c r="I166" s="274" t="str">
        <f>'Програма-имена+кабинети'!B150</f>
        <v>Данева</v>
      </c>
      <c r="J166" s="275">
        <f>'Програма-имена+кабинети'!C150</f>
        <v>101</v>
      </c>
      <c r="K166" s="269">
        <v>2</v>
      </c>
      <c r="L166" s="252" t="str">
        <f>'Програма-имена+кабинети'!B205</f>
        <v>Паронова</v>
      </c>
      <c r="M166" s="254" t="str">
        <f>'Програма-имена+кабинети'!C205</f>
        <v>212/214/215/217</v>
      </c>
      <c r="N166" s="285">
        <v>2</v>
      </c>
      <c r="O166" s="274" t="str">
        <f>'Програма-имена+кабинети'!B259</f>
        <v>Н. Николова</v>
      </c>
      <c r="P166" s="275" t="str">
        <f>'Програма-имена+кабинети'!C259</f>
        <v>201/202/203/205/206</v>
      </c>
      <c r="Q166" s="268"/>
    </row>
    <row r="167" spans="1:17" ht="21" customHeight="1">
      <c r="A167" s="387"/>
      <c r="B167" s="285">
        <v>3</v>
      </c>
      <c r="C167" s="252" t="str">
        <f>'Програма-имена+кабинети'!B41</f>
        <v>Костова</v>
      </c>
      <c r="D167" s="254" t="str">
        <f>'Програма-имена+кабинети'!C41</f>
        <v>212/214/215/217</v>
      </c>
      <c r="E167" s="269">
        <v>3</v>
      </c>
      <c r="F167" s="252" t="str">
        <f>'Програма-имена+кабинети'!B96</f>
        <v>Киров</v>
      </c>
      <c r="G167" s="254" t="str">
        <f>'Програма-имена+кабинети'!C96</f>
        <v>109/110/111/114/102/302</v>
      </c>
      <c r="H167" s="285">
        <v>3</v>
      </c>
      <c r="I167" s="274" t="str">
        <f>'Програма-имена+кабинети'!B151</f>
        <v>Батимов</v>
      </c>
      <c r="J167" s="275">
        <f>'Програма-имена+кабинети'!C151</f>
        <v>303</v>
      </c>
      <c r="K167" s="269">
        <v>3</v>
      </c>
      <c r="L167" s="252" t="str">
        <f>'Програма-имена+кабинети'!B206</f>
        <v>Славова</v>
      </c>
      <c r="M167" s="254">
        <f>'Програма-имена+кабинети'!C206</f>
        <v>114</v>
      </c>
      <c r="N167" s="285">
        <v>3</v>
      </c>
      <c r="O167" s="274" t="str">
        <f>'Програма-имена+кабинети'!B260</f>
        <v>Данева</v>
      </c>
      <c r="P167" s="275">
        <f>'Програма-имена+кабинети'!C260</f>
        <v>101</v>
      </c>
    </row>
    <row r="168" spans="1:17" ht="21" customHeight="1">
      <c r="A168" s="387"/>
      <c r="B168" s="285">
        <v>4</v>
      </c>
      <c r="C168" s="252" t="str">
        <f>'Програма-имена+кабинети'!B42</f>
        <v>Славова</v>
      </c>
      <c r="D168" s="254">
        <f>'Програма-имена+кабинети'!C42</f>
        <v>114</v>
      </c>
      <c r="E168" s="269">
        <v>4</v>
      </c>
      <c r="F168" s="252" t="str">
        <f>'Програма-имена+кабинети'!B97</f>
        <v>Козалиева</v>
      </c>
      <c r="G168" s="254" t="str">
        <f>'Програма-имена+кабинети'!C97</f>
        <v>212/214/215/217</v>
      </c>
      <c r="H168" s="285">
        <v>4</v>
      </c>
      <c r="I168" s="274" t="str">
        <f>'Програма-имена+кабинети'!B152</f>
        <v>Христонова/Цветков</v>
      </c>
      <c r="J168" s="275" t="str">
        <f>'Програма-имена+кабинети'!C152</f>
        <v>КК4/КК6</v>
      </c>
      <c r="K168" s="269">
        <v>4</v>
      </c>
      <c r="L168" s="252" t="str">
        <f>'Програма-имена+кабинети'!B207</f>
        <v>Данева</v>
      </c>
      <c r="M168" s="254">
        <f>'Програма-имена+кабинети'!C207</f>
        <v>101</v>
      </c>
      <c r="N168" s="285">
        <v>4</v>
      </c>
      <c r="O168" s="274" t="str">
        <f>'Програма-имена+кабинети'!B261</f>
        <v>Козалиева</v>
      </c>
      <c r="P168" s="275" t="str">
        <f>'Програма-имена+кабинети'!C261</f>
        <v>212/214/215/217</v>
      </c>
    </row>
    <row r="169" spans="1:17" ht="21" customHeight="1">
      <c r="A169" s="387"/>
      <c r="B169" s="285">
        <v>5</v>
      </c>
      <c r="C169" s="252" t="str">
        <f>'Програма-имена+кабинети'!B43</f>
        <v>Батимов</v>
      </c>
      <c r="D169" s="254">
        <f>'Програма-имена+кабинети'!C43</f>
        <v>303</v>
      </c>
      <c r="E169" s="269">
        <v>5</v>
      </c>
      <c r="F169" s="252" t="str">
        <f>'Програма-имена+кабинети'!B98</f>
        <v>Н. Николова</v>
      </c>
      <c r="G169" s="254" t="str">
        <f>'Програма-имена+кабинети'!C98</f>
        <v>201/202/203/205/206</v>
      </c>
      <c r="H169" s="285">
        <v>5</v>
      </c>
      <c r="I169" s="274" t="str">
        <f>'Програма-имена+кабинети'!B153</f>
        <v>Костова</v>
      </c>
      <c r="J169" s="275" t="str">
        <f>'Програма-имена+кабинети'!C153</f>
        <v>212/214/215/217</v>
      </c>
      <c r="K169" s="269">
        <v>5</v>
      </c>
      <c r="L169" s="252" t="str">
        <f>'Програма-имена+кабинети'!B208</f>
        <v>Христонова/Цветков</v>
      </c>
      <c r="M169" s="254" t="str">
        <f>'Програма-имена+кабинети'!C208</f>
        <v>КК4/КК6</v>
      </c>
      <c r="N169" s="285">
        <v>5</v>
      </c>
      <c r="O169" s="274" t="str">
        <f>'Програма-имена+кабинети'!B262</f>
        <v>Конгалов</v>
      </c>
      <c r="P169" s="275" t="str">
        <f>'Програма-имена+кабинети'!C262</f>
        <v>ФС</v>
      </c>
    </row>
    <row r="170" spans="1:17" s="268" customFormat="1" ht="21" customHeight="1">
      <c r="A170" s="387"/>
      <c r="B170" s="285">
        <v>6</v>
      </c>
      <c r="C170" s="252" t="str">
        <f>'Програма-имена+кабинети'!B44</f>
        <v>Батимов</v>
      </c>
      <c r="D170" s="254">
        <f>'Програма-имена+кабинети'!C44</f>
        <v>303</v>
      </c>
      <c r="E170" s="269">
        <v>6</v>
      </c>
      <c r="F170" s="252" t="str">
        <f>'Програма-имена+кабинети'!B99</f>
        <v>Батимов</v>
      </c>
      <c r="G170" s="254">
        <f>'Програма-имена+кабинети'!C99</f>
        <v>303</v>
      </c>
      <c r="H170" s="285">
        <v>6</v>
      </c>
      <c r="I170" s="274" t="str">
        <f>'Програма-имена+кабинети'!B154</f>
        <v>Киров</v>
      </c>
      <c r="J170" s="275" t="str">
        <f>'Програма-имена+кабинети'!C154</f>
        <v>109/110/111/114/102/302</v>
      </c>
      <c r="K170" s="269">
        <v>6</v>
      </c>
      <c r="L170" s="252" t="str">
        <f>'Програма-имена+кабинети'!B209</f>
        <v>Батимов</v>
      </c>
      <c r="M170" s="254">
        <f>'Програма-имена+кабинети'!C209</f>
        <v>303</v>
      </c>
      <c r="N170" s="285">
        <v>6</v>
      </c>
      <c r="O170" s="274" t="str">
        <f>'Програма-имена+кабинети'!B263</f>
        <v>В. Иванова</v>
      </c>
      <c r="P170" s="275">
        <f>'Програма-имена+кабинети'!C263</f>
        <v>109</v>
      </c>
      <c r="Q170" s="267"/>
    </row>
    <row r="171" spans="1:17" ht="21" customHeight="1">
      <c r="A171" s="387"/>
      <c r="B171" s="286">
        <v>7</v>
      </c>
      <c r="C171" s="253" t="str">
        <f>'Програма-имена+кабинети'!B45</f>
        <v>Данева</v>
      </c>
      <c r="D171" s="255">
        <f>'Програма-имена+кабинети'!C45</f>
        <v>101</v>
      </c>
      <c r="E171" s="276">
        <v>7</v>
      </c>
      <c r="F171" s="253" t="str">
        <f>'Програма-имена+кабинети'!B100</f>
        <v>Батимов</v>
      </c>
      <c r="G171" s="255">
        <f>'Програма-имена+кабинети'!C100</f>
        <v>303</v>
      </c>
      <c r="H171" s="286">
        <v>7</v>
      </c>
      <c r="I171" s="277" t="str">
        <f>'Програма-имена+кабинети'!B155</f>
        <v>Тодорова</v>
      </c>
      <c r="J171" s="278" t="str">
        <f>'Програма-имена+кабинети'!C155</f>
        <v>107/108/206/301/302/305</v>
      </c>
      <c r="K171" s="276">
        <v>7</v>
      </c>
      <c r="L171" s="253">
        <f>'Програма-имена+кабинети'!B210</f>
        <v>0</v>
      </c>
      <c r="M171" s="255" t="str">
        <f>'Програма-имена+кабинети'!C210</f>
        <v/>
      </c>
      <c r="N171" s="286">
        <v>7</v>
      </c>
      <c r="O171" s="277">
        <f>'Програма-имена+кабинети'!B264</f>
        <v>0</v>
      </c>
      <c r="P171" s="278" t="str">
        <f>'Програма-имена+кабинети'!C264</f>
        <v/>
      </c>
    </row>
    <row r="173" spans="1:17" ht="21" customHeight="1">
      <c r="A173" s="387" t="s">
        <v>16</v>
      </c>
      <c r="B173" s="260"/>
      <c r="C173" s="261" t="s">
        <v>24</v>
      </c>
      <c r="D173" s="262"/>
      <c r="E173" s="261"/>
      <c r="F173" s="261" t="s">
        <v>25</v>
      </c>
      <c r="G173" s="263" t="s">
        <v>214</v>
      </c>
      <c r="H173" s="266"/>
      <c r="I173" s="265" t="s">
        <v>26</v>
      </c>
      <c r="J173" s="263" t="s">
        <v>214</v>
      </c>
      <c r="K173" s="266"/>
      <c r="L173" s="266" t="s">
        <v>27</v>
      </c>
      <c r="M173" s="263" t="s">
        <v>214</v>
      </c>
      <c r="N173" s="266"/>
      <c r="O173" s="265" t="s">
        <v>28</v>
      </c>
      <c r="P173" s="305" t="s">
        <v>214</v>
      </c>
    </row>
    <row r="174" spans="1:17" ht="21" customHeight="1">
      <c r="A174" s="387"/>
      <c r="B174" s="285">
        <v>1</v>
      </c>
      <c r="C174" s="283" t="str">
        <f>'Програма-имена+кабинети'!D39</f>
        <v>Чанкова</v>
      </c>
      <c r="D174" s="284">
        <f>'Програма-имена+кабинети'!E39</f>
        <v>105</v>
      </c>
      <c r="E174" s="269">
        <v>1</v>
      </c>
      <c r="F174" s="283" t="str">
        <f>'Програма-имена+кабинети'!D94</f>
        <v>Паронова</v>
      </c>
      <c r="G174" s="284" t="str">
        <f>'Програма-имена+кабинети'!E94</f>
        <v>212/214/215/217</v>
      </c>
      <c r="H174" s="269">
        <v>1</v>
      </c>
      <c r="I174" s="283" t="str">
        <f>'Програма-имена+кабинети'!D149</f>
        <v>Киров</v>
      </c>
      <c r="J174" s="284" t="str">
        <f>'Програма-имена+кабинети'!E149</f>
        <v>109/110/111/114/102/302</v>
      </c>
      <c r="K174" s="269">
        <v>1</v>
      </c>
      <c r="L174" s="283" t="str">
        <f>'Програма-имена+кабинети'!D204</f>
        <v>Гочева</v>
      </c>
      <c r="M174" s="284">
        <f>'Програма-имена+кабинети'!E204</f>
        <v>301</v>
      </c>
      <c r="N174" s="269">
        <v>1</v>
      </c>
      <c r="O174" s="283" t="str">
        <f>'Програма-имена+кабинети'!D258</f>
        <v>Конгалов</v>
      </c>
      <c r="P174" s="284" t="str">
        <f>'Програма-имена+кабинети'!E258</f>
        <v>ФС</v>
      </c>
      <c r="Q174" s="268"/>
    </row>
    <row r="175" spans="1:17" ht="21" customHeight="1">
      <c r="A175" s="387"/>
      <c r="B175" s="285">
        <v>2</v>
      </c>
      <c r="C175" s="252" t="str">
        <f>'Програма-имена+кабинети'!D40</f>
        <v>Гочева</v>
      </c>
      <c r="D175" s="254">
        <f>'Програма-имена+кабинети'!E40</f>
        <v>301</v>
      </c>
      <c r="E175" s="269">
        <v>2</v>
      </c>
      <c r="F175" s="252" t="str">
        <f>'Програма-имена+кабинети'!D95</f>
        <v>Ю. Делчева</v>
      </c>
      <c r="G175" s="254" t="str">
        <f>'Програма-имена+кабинети'!E95</f>
        <v>212/214/215/217</v>
      </c>
      <c r="H175" s="269">
        <v>2</v>
      </c>
      <c r="I175" s="252" t="str">
        <f>'Програма-имена+кабинети'!D150</f>
        <v>Конгалов</v>
      </c>
      <c r="J175" s="254" t="str">
        <f>'Програма-имена+кабинети'!E150</f>
        <v>ФС</v>
      </c>
      <c r="K175" s="269">
        <v>2</v>
      </c>
      <c r="L175" s="252" t="str">
        <f>'Програма-имена+кабинети'!D205</f>
        <v>Чанкова</v>
      </c>
      <c r="M175" s="254">
        <f>'Програма-имена+кабинети'!E205</f>
        <v>105</v>
      </c>
      <c r="N175" s="269">
        <v>2</v>
      </c>
      <c r="O175" s="252" t="str">
        <f>'Програма-имена+кабинети'!D259</f>
        <v>Чанкова</v>
      </c>
      <c r="P175" s="254">
        <f>'Програма-имена+кабинети'!E259</f>
        <v>105</v>
      </c>
    </row>
    <row r="176" spans="1:17" ht="21" customHeight="1">
      <c r="A176" s="387"/>
      <c r="B176" s="285">
        <v>3</v>
      </c>
      <c r="C176" s="252" t="str">
        <f>'Програма-имена+кабинети'!D41</f>
        <v>Славова</v>
      </c>
      <c r="D176" s="254">
        <f>'Програма-имена+кабинети'!E41</f>
        <v>114</v>
      </c>
      <c r="E176" s="269">
        <v>3</v>
      </c>
      <c r="F176" s="252" t="str">
        <f>'Програма-имена+кабинети'!D96</f>
        <v>Христонова/Цветков</v>
      </c>
      <c r="G176" s="254" t="str">
        <f>'Програма-имена+кабинети'!E96</f>
        <v>КК4/КК6</v>
      </c>
      <c r="H176" s="269">
        <v>3</v>
      </c>
      <c r="I176" s="252" t="str">
        <f>'Програма-имена+кабинети'!D151</f>
        <v>Христонова/Цветков</v>
      </c>
      <c r="J176" s="254" t="str">
        <f>'Програма-имена+кабинети'!E151</f>
        <v>КК4/КК6</v>
      </c>
      <c r="K176" s="269">
        <v>3</v>
      </c>
      <c r="L176" s="252" t="str">
        <f>'Програма-имена+кабинети'!D206</f>
        <v>Паронова</v>
      </c>
      <c r="M176" s="254" t="str">
        <f>'Програма-имена+кабинети'!E206</f>
        <v>212/214/215/217</v>
      </c>
      <c r="N176" s="269">
        <v>3</v>
      </c>
      <c r="O176" s="252" t="str">
        <f>'Програма-имена+кабинети'!D260</f>
        <v>В. Иванова</v>
      </c>
      <c r="P176" s="254">
        <f>'Програма-имена+кабинети'!E260</f>
        <v>109</v>
      </c>
    </row>
    <row r="177" spans="1:17" ht="21" customHeight="1">
      <c r="A177" s="387"/>
      <c r="B177" s="285">
        <v>4</v>
      </c>
      <c r="C177" s="252" t="str">
        <f>'Програма-имена+кабинети'!D42</f>
        <v>Кирилова/Тодорова</v>
      </c>
      <c r="D177" s="254" t="str">
        <f>'Програма-имена+кабинети'!E42</f>
        <v>108/101-105</v>
      </c>
      <c r="E177" s="269">
        <v>4</v>
      </c>
      <c r="F177" s="252" t="str">
        <f>'Програма-имена+кабинети'!D97</f>
        <v>Чанкова</v>
      </c>
      <c r="G177" s="254">
        <f>'Програма-имена+кабинети'!E97</f>
        <v>105</v>
      </c>
      <c r="H177" s="269">
        <v>4</v>
      </c>
      <c r="I177" s="252" t="str">
        <f>'Програма-имена+кабинети'!D152</f>
        <v>Гочева</v>
      </c>
      <c r="J177" s="254">
        <f>'Програма-имена+кабинети'!E152</f>
        <v>301</v>
      </c>
      <c r="K177" s="269">
        <v>4</v>
      </c>
      <c r="L177" s="252" t="str">
        <f>'Програма-имена+кабинети'!D207</f>
        <v>Костова</v>
      </c>
      <c r="M177" s="254" t="str">
        <f>'Програма-имена+кабинети'!E207</f>
        <v>212/214/215/217</v>
      </c>
      <c r="N177" s="269">
        <v>4</v>
      </c>
      <c r="O177" s="252" t="str">
        <f>'Програма-имена+кабинети'!D261</f>
        <v>Н. Николова</v>
      </c>
      <c r="P177" s="254" t="str">
        <f>'Програма-имена+кабинети'!E261</f>
        <v>201/202/203/205/206</v>
      </c>
    </row>
    <row r="178" spans="1:17" s="268" customFormat="1" ht="21" customHeight="1">
      <c r="A178" s="387"/>
      <c r="B178" s="285">
        <v>5</v>
      </c>
      <c r="C178" s="252" t="str">
        <f>'Програма-имена+кабинети'!D43</f>
        <v>Кирилова/Тодорова</v>
      </c>
      <c r="D178" s="254" t="str">
        <f>'Програма-имена+кабинети'!E43</f>
        <v>108/101-105</v>
      </c>
      <c r="E178" s="269">
        <v>5</v>
      </c>
      <c r="F178" s="252" t="str">
        <f>'Програма-имена+кабинети'!D98</f>
        <v>Чанкова</v>
      </c>
      <c r="G178" s="254">
        <f>'Програма-имена+кабинети'!E98</f>
        <v>105</v>
      </c>
      <c r="H178" s="269">
        <v>5</v>
      </c>
      <c r="I178" s="252" t="str">
        <f>'Програма-имена+кабинети'!D153</f>
        <v>Гочева</v>
      </c>
      <c r="J178" s="254">
        <f>'Програма-имена+кабинети'!E153</f>
        <v>301</v>
      </c>
      <c r="K178" s="269">
        <v>5</v>
      </c>
      <c r="L178" s="252" t="str">
        <f>'Програма-имена+кабинети'!D208</f>
        <v>Ю. Делчева</v>
      </c>
      <c r="M178" s="254" t="str">
        <f>'Програма-имена+кабинети'!E208</f>
        <v>212/214/215/217</v>
      </c>
      <c r="N178" s="269">
        <v>5</v>
      </c>
      <c r="O178" s="252" t="str">
        <f>'Програма-имена+кабинети'!D262</f>
        <v>Н. Николова</v>
      </c>
      <c r="P178" s="254" t="str">
        <f>'Програма-имена+кабинети'!E262</f>
        <v>201/202/203/205/206</v>
      </c>
      <c r="Q178" s="267"/>
    </row>
    <row r="179" spans="1:17" ht="21" customHeight="1">
      <c r="A179" s="387"/>
      <c r="B179" s="285">
        <v>6</v>
      </c>
      <c r="C179" s="252" t="str">
        <f>'Програма-имена+кабинети'!D44</f>
        <v>Христонова/Цветков</v>
      </c>
      <c r="D179" s="254" t="str">
        <f>'Програма-имена+кабинети'!E44</f>
        <v>КК4/КК6</v>
      </c>
      <c r="E179" s="269">
        <v>6</v>
      </c>
      <c r="F179" s="252" t="str">
        <f>'Програма-имена+кабинети'!D99</f>
        <v>Н. Николова</v>
      </c>
      <c r="G179" s="254" t="str">
        <f>'Програма-имена+кабинети'!E99</f>
        <v>201/202/203/205/206</v>
      </c>
      <c r="H179" s="269">
        <v>6</v>
      </c>
      <c r="I179" s="252" t="str">
        <f>'Програма-имена+кабинети'!D154</f>
        <v>Костова</v>
      </c>
      <c r="J179" s="254" t="str">
        <f>'Програма-имена+кабинети'!E154</f>
        <v>212/214/215/217</v>
      </c>
      <c r="K179" s="269">
        <v>6</v>
      </c>
      <c r="L179" s="252" t="str">
        <f>'Програма-имена+кабинети'!D209</f>
        <v>Христонова/Цветков</v>
      </c>
      <c r="M179" s="254" t="str">
        <f>'Програма-имена+кабинети'!E209</f>
        <v>КК4/КК6</v>
      </c>
      <c r="N179" s="269">
        <v>6</v>
      </c>
      <c r="O179" s="252" t="str">
        <f>'Програма-имена+кабинети'!D263</f>
        <v>Славова</v>
      </c>
      <c r="P179" s="254">
        <f>'Програма-имена+кабинети'!E263</f>
        <v>114</v>
      </c>
    </row>
    <row r="180" spans="1:17" ht="21" customHeight="1">
      <c r="A180" s="387"/>
      <c r="B180" s="286">
        <v>7</v>
      </c>
      <c r="C180" s="253" t="str">
        <f>'Програма-имена+кабинети'!D45</f>
        <v>Киров</v>
      </c>
      <c r="D180" s="255" t="str">
        <f>'Програма-имена+кабинети'!E45</f>
        <v>109/110/111/114/102/302</v>
      </c>
      <c r="E180" s="276">
        <v>7</v>
      </c>
      <c r="F180" s="253" t="str">
        <f>'Програма-имена+кабинети'!D100</f>
        <v>Гочева</v>
      </c>
      <c r="G180" s="255">
        <f>'Програма-имена+кабинети'!E100</f>
        <v>301</v>
      </c>
      <c r="H180" s="276">
        <v>7</v>
      </c>
      <c r="I180" s="253" t="str">
        <f>'Програма-имена+кабинети'!D155</f>
        <v>Гочева</v>
      </c>
      <c r="J180" s="255">
        <f>'Програма-имена+кабинети'!E155</f>
        <v>301</v>
      </c>
      <c r="K180" s="276">
        <v>7</v>
      </c>
      <c r="L180" s="253">
        <f>'Програма-имена+кабинети'!D210</f>
        <v>0</v>
      </c>
      <c r="M180" s="255" t="str">
        <f>'Програма-имена+кабинети'!E210</f>
        <v/>
      </c>
      <c r="N180" s="276">
        <v>7</v>
      </c>
      <c r="O180" s="253">
        <f>'Програма-имена+кабинети'!D264</f>
        <v>0</v>
      </c>
      <c r="P180" s="255" t="str">
        <f>'Програма-имена+кабинети'!E264</f>
        <v/>
      </c>
    </row>
    <row r="182" spans="1:17" ht="21" customHeight="1">
      <c r="A182" s="387" t="s">
        <v>17</v>
      </c>
      <c r="B182" s="260"/>
      <c r="C182" s="261" t="s">
        <v>24</v>
      </c>
      <c r="D182" s="262"/>
      <c r="E182" s="261"/>
      <c r="F182" s="261" t="s">
        <v>25</v>
      </c>
      <c r="G182" s="263" t="s">
        <v>214</v>
      </c>
      <c r="H182" s="266"/>
      <c r="I182" s="265" t="s">
        <v>26</v>
      </c>
      <c r="J182" s="263" t="s">
        <v>214</v>
      </c>
      <c r="K182" s="266"/>
      <c r="L182" s="266" t="s">
        <v>27</v>
      </c>
      <c r="M182" s="263" t="s">
        <v>214</v>
      </c>
      <c r="N182" s="266"/>
      <c r="O182" s="265" t="s">
        <v>28</v>
      </c>
      <c r="P182" s="305" t="s">
        <v>214</v>
      </c>
      <c r="Q182" s="268"/>
    </row>
    <row r="183" spans="1:17" ht="21" customHeight="1">
      <c r="A183" s="387"/>
      <c r="B183" s="285">
        <v>1</v>
      </c>
      <c r="C183" s="299" t="str">
        <f>'Програма-имена+кабинети'!F39</f>
        <v>Даскалова/Тодорова</v>
      </c>
      <c r="D183" s="300" t="str">
        <f>'Програма-имена+кабинети'!G39</f>
        <v>107-108/101-105</v>
      </c>
      <c r="E183" s="269">
        <v>1</v>
      </c>
      <c r="F183" s="283" t="str">
        <f>'Програма-имена+кабинети'!F94</f>
        <v>Чанкова</v>
      </c>
      <c r="G183" s="284">
        <f>'Програма-имена+кабинети'!G94</f>
        <v>105</v>
      </c>
      <c r="H183" s="269">
        <v>1</v>
      </c>
      <c r="I183" s="283" t="str">
        <f>'Програма-имена+кабинети'!F149</f>
        <v>Конгалов</v>
      </c>
      <c r="J183" s="284" t="str">
        <f>'Програма-имена+кабинети'!G149</f>
        <v>ФС</v>
      </c>
      <c r="K183" s="269">
        <v>1</v>
      </c>
      <c r="L183" s="283" t="str">
        <f>'Програма-имена+кабинети'!F204</f>
        <v>Чанкова</v>
      </c>
      <c r="M183" s="284">
        <f>'Програма-имена+кабинети'!G204</f>
        <v>105</v>
      </c>
      <c r="N183" s="269">
        <v>1</v>
      </c>
      <c r="O183" s="283" t="str">
        <f>'Програма-имена+кабинети'!F258</f>
        <v>Христонова/Цветков</v>
      </c>
      <c r="P183" s="284" t="str">
        <f>'Програма-имена+кабинети'!G258</f>
        <v>КК4/КК6</v>
      </c>
    </row>
    <row r="184" spans="1:17" ht="21" customHeight="1">
      <c r="A184" s="387"/>
      <c r="B184" s="285">
        <v>2</v>
      </c>
      <c r="C184" s="301" t="str">
        <f>'Програма-имена+кабинети'!F40</f>
        <v>Даскалова/Тодорова</v>
      </c>
      <c r="D184" s="302" t="str">
        <f>'Програма-имена+кабинети'!G40</f>
        <v>107-108/101-105</v>
      </c>
      <c r="E184" s="269">
        <v>2</v>
      </c>
      <c r="F184" s="252" t="str">
        <f>'Програма-имена+кабинети'!F95</f>
        <v>Чанкова</v>
      </c>
      <c r="G184" s="254">
        <f>'Програма-имена+кабинети'!G95</f>
        <v>105</v>
      </c>
      <c r="H184" s="269">
        <v>2</v>
      </c>
      <c r="I184" s="252" t="str">
        <f>'Програма-имена+кабинети'!F150</f>
        <v>Гочева</v>
      </c>
      <c r="J184" s="254">
        <f>'Програма-имена+кабинети'!G150</f>
        <v>301</v>
      </c>
      <c r="K184" s="269">
        <v>2</v>
      </c>
      <c r="L184" s="252" t="str">
        <f>'Програма-имена+кабинети'!F205</f>
        <v>Славова</v>
      </c>
      <c r="M184" s="254">
        <f>'Програма-имена+кабинети'!G205</f>
        <v>114</v>
      </c>
      <c r="N184" s="269">
        <v>2</v>
      </c>
      <c r="O184" s="252" t="str">
        <f>'Програма-имена+кабинети'!F259</f>
        <v>Конгалов</v>
      </c>
      <c r="P184" s="254" t="str">
        <f>'Програма-имена+кабинети'!G259</f>
        <v>ФС</v>
      </c>
    </row>
    <row r="185" spans="1:17" ht="21" customHeight="1">
      <c r="A185" s="387"/>
      <c r="B185" s="285">
        <v>3</v>
      </c>
      <c r="C185" s="301" t="str">
        <f>'Програма-имена+кабинети'!F41</f>
        <v>Гочева</v>
      </c>
      <c r="D185" s="302">
        <f>'Програма-имена+кабинети'!G41</f>
        <v>301</v>
      </c>
      <c r="E185" s="269">
        <v>3</v>
      </c>
      <c r="F185" s="252" t="str">
        <f>'Програма-имена+кабинети'!F96</f>
        <v>Ю. Делчева</v>
      </c>
      <c r="G185" s="254" t="str">
        <f>'Програма-имена+кабинети'!G96</f>
        <v>212/214/215/217</v>
      </c>
      <c r="H185" s="269">
        <v>3</v>
      </c>
      <c r="I185" s="252" t="str">
        <f>'Програма-имена+кабинети'!F151</f>
        <v>Гочева</v>
      </c>
      <c r="J185" s="254">
        <f>'Програма-имена+кабинети'!G151</f>
        <v>301</v>
      </c>
      <c r="K185" s="269">
        <v>3</v>
      </c>
      <c r="L185" s="252" t="str">
        <f>'Програма-имена+кабинети'!F206</f>
        <v>Н. Николова</v>
      </c>
      <c r="M185" s="254" t="str">
        <f>'Програма-имена+кабинети'!G206</f>
        <v>201/202/203/205/206</v>
      </c>
      <c r="N185" s="269">
        <v>3</v>
      </c>
      <c r="O185" s="252" t="str">
        <f>'Програма-имена+кабинети'!F260</f>
        <v>Чанкова</v>
      </c>
      <c r="P185" s="254">
        <f>'Програма-имена+кабинети'!G260</f>
        <v>105</v>
      </c>
    </row>
    <row r="186" spans="1:17" s="268" customFormat="1" ht="21" customHeight="1">
      <c r="A186" s="387"/>
      <c r="B186" s="285">
        <v>4</v>
      </c>
      <c r="C186" s="301" t="str">
        <f>'Програма-имена+кабинети'!F42</f>
        <v>Чанкова</v>
      </c>
      <c r="D186" s="302">
        <f>'Програма-имена+кабинети'!G42</f>
        <v>105</v>
      </c>
      <c r="E186" s="269">
        <v>4</v>
      </c>
      <c r="F186" s="252" t="str">
        <f>'Програма-имена+кабинети'!F97</f>
        <v>Христонова/Цветков</v>
      </c>
      <c r="G186" s="254" t="str">
        <f>'Програма-имена+кабинети'!G97</f>
        <v>КК4/КК6</v>
      </c>
      <c r="H186" s="269">
        <v>4</v>
      </c>
      <c r="I186" s="252" t="str">
        <f>'Програма-имена+кабинети'!F152</f>
        <v>Славова</v>
      </c>
      <c r="J186" s="254">
        <f>'Програма-имена+кабинети'!G152</f>
        <v>114</v>
      </c>
      <c r="K186" s="269">
        <v>4</v>
      </c>
      <c r="L186" s="252" t="str">
        <f>'Програма-имена+кабинети'!F207</f>
        <v>Н. Николова</v>
      </c>
      <c r="M186" s="254" t="str">
        <f>'Програма-имена+кабинети'!G207</f>
        <v>201/202/203/205/206</v>
      </c>
      <c r="N186" s="269">
        <v>4</v>
      </c>
      <c r="O186" s="252" t="str">
        <f>'Програма-имена+кабинети'!F261</f>
        <v>В. Иванова</v>
      </c>
      <c r="P186" s="254">
        <f>'Програма-имена+кабинети'!G261</f>
        <v>109</v>
      </c>
      <c r="Q186" s="267"/>
    </row>
    <row r="187" spans="1:17" ht="21" customHeight="1">
      <c r="A187" s="387"/>
      <c r="B187" s="285">
        <v>5</v>
      </c>
      <c r="C187" s="301" t="str">
        <f>'Програма-имена+кабинети'!F43</f>
        <v>Киров</v>
      </c>
      <c r="D187" s="302" t="str">
        <f>'Програма-имена+кабинети'!G43</f>
        <v>109/110/111/114/102/302</v>
      </c>
      <c r="E187" s="269">
        <v>5</v>
      </c>
      <c r="F187" s="252" t="str">
        <f>'Програма-имена+кабинети'!F98</f>
        <v>Костова</v>
      </c>
      <c r="G187" s="254" t="str">
        <f>'Програма-имена+кабинети'!G98</f>
        <v>212/214/215/217</v>
      </c>
      <c r="H187" s="269">
        <v>5</v>
      </c>
      <c r="I187" s="252" t="str">
        <f>'Програма-имена+кабинети'!F153</f>
        <v>Киров</v>
      </c>
      <c r="J187" s="254" t="str">
        <f>'Програма-имена+кабинети'!G153</f>
        <v>109/110/111/114/102/302</v>
      </c>
      <c r="K187" s="269">
        <v>5</v>
      </c>
      <c r="L187" s="252" t="str">
        <f>'Програма-имена+кабинети'!F208</f>
        <v>Паронова</v>
      </c>
      <c r="M187" s="254" t="str">
        <f>'Програма-имена+кабинети'!G208</f>
        <v>212/214/215/217</v>
      </c>
      <c r="N187" s="269">
        <v>5</v>
      </c>
      <c r="O187" s="252" t="str">
        <f>'Програма-имена+кабинети'!F262</f>
        <v>Костова</v>
      </c>
      <c r="P187" s="254" t="str">
        <f>'Програма-имена+кабинети'!G262</f>
        <v>212/214/215/217</v>
      </c>
    </row>
    <row r="188" spans="1:17" ht="21" customHeight="1">
      <c r="A188" s="387"/>
      <c r="B188" s="285">
        <v>6</v>
      </c>
      <c r="C188" s="301" t="str">
        <f>'Програма-имена+кабинети'!F44</f>
        <v>Н. Николова</v>
      </c>
      <c r="D188" s="302" t="str">
        <f>'Програма-имена+кабинети'!G44</f>
        <v>201/202/203/205/206</v>
      </c>
      <c r="E188" s="269">
        <v>6</v>
      </c>
      <c r="F188" s="252" t="str">
        <f>'Програма-имена+кабинети'!F99</f>
        <v>Гочева</v>
      </c>
      <c r="G188" s="254">
        <f>'Програма-имена+кабинети'!G99</f>
        <v>301</v>
      </c>
      <c r="H188" s="269">
        <v>6</v>
      </c>
      <c r="I188" s="252" t="str">
        <f>'Програма-имена+кабинети'!F154</f>
        <v>Христонова/Цветков</v>
      </c>
      <c r="J188" s="254" t="str">
        <f>'Програма-имена+кабинети'!G154</f>
        <v>КК4/КК6</v>
      </c>
      <c r="K188" s="269">
        <v>6</v>
      </c>
      <c r="L188" s="252" t="str">
        <f>'Програма-имена+кабинети'!F209</f>
        <v>Ю. Делчева</v>
      </c>
      <c r="M188" s="254" t="str">
        <f>'Програма-имена+кабинети'!G209</f>
        <v>212/214/215/217</v>
      </c>
      <c r="N188" s="269">
        <v>6</v>
      </c>
      <c r="O188" s="252" t="str">
        <f>'Програма-имена+кабинети'!F263</f>
        <v>Гочева</v>
      </c>
      <c r="P188" s="254">
        <f>'Програма-имена+кабинети'!G263</f>
        <v>301</v>
      </c>
    </row>
    <row r="189" spans="1:17" ht="21" customHeight="1">
      <c r="A189" s="387"/>
      <c r="B189" s="286">
        <v>7</v>
      </c>
      <c r="C189" s="303" t="str">
        <f>'Програма-имена+кабинети'!F45</f>
        <v>Христонова/Цветков</v>
      </c>
      <c r="D189" s="304" t="str">
        <f>'Програма-имена+кабинети'!G45</f>
        <v>КК4/КК6</v>
      </c>
      <c r="E189" s="276">
        <v>7</v>
      </c>
      <c r="F189" s="253" t="str">
        <f>'Програма-имена+кабинети'!F100</f>
        <v>Паронова</v>
      </c>
      <c r="G189" s="255" t="str">
        <f>'Програма-имена+кабинети'!G100</f>
        <v>212/214/215/217</v>
      </c>
      <c r="H189" s="276">
        <v>7</v>
      </c>
      <c r="I189" s="253" t="str">
        <f>'Програма-имена+кабинети'!F155</f>
        <v>Чанкова</v>
      </c>
      <c r="J189" s="255">
        <f>'Програма-имена+кабинети'!G155</f>
        <v>105</v>
      </c>
      <c r="K189" s="276">
        <v>7</v>
      </c>
      <c r="L189" s="253">
        <f>'Програма-имена+кабинети'!F210</f>
        <v>0</v>
      </c>
      <c r="M189" s="255" t="str">
        <f>'Програма-имена+кабинети'!G210</f>
        <v/>
      </c>
      <c r="N189" s="276">
        <v>7</v>
      </c>
      <c r="O189" s="253">
        <f>'Програма-имена+кабинети'!F264</f>
        <v>0</v>
      </c>
      <c r="P189" s="255" t="str">
        <f>'Програма-имена+кабинети'!G264</f>
        <v/>
      </c>
    </row>
    <row r="190" spans="1:17" ht="21" customHeight="1">
      <c r="Q190" s="268"/>
    </row>
    <row r="191" spans="1:17" ht="21" customHeight="1">
      <c r="A191" s="387" t="s">
        <v>46</v>
      </c>
      <c r="B191" s="260"/>
      <c r="C191" s="261" t="s">
        <v>24</v>
      </c>
      <c r="D191" s="262"/>
      <c r="E191" s="261"/>
      <c r="F191" s="261" t="s">
        <v>25</v>
      </c>
      <c r="G191" s="263" t="s">
        <v>214</v>
      </c>
      <c r="H191" s="266"/>
      <c r="I191" s="265" t="s">
        <v>26</v>
      </c>
      <c r="J191" s="263" t="s">
        <v>214</v>
      </c>
      <c r="K191" s="266"/>
      <c r="L191" s="266" t="s">
        <v>27</v>
      </c>
      <c r="M191" s="263" t="s">
        <v>214</v>
      </c>
      <c r="N191" s="266"/>
      <c r="O191" s="265" t="s">
        <v>28</v>
      </c>
      <c r="P191" s="305" t="s">
        <v>214</v>
      </c>
    </row>
    <row r="192" spans="1:17" ht="21" customHeight="1">
      <c r="A192" s="387"/>
      <c r="B192" s="285">
        <v>1</v>
      </c>
      <c r="C192" s="299" t="str">
        <f>'Програма-имена+кабинети'!H39</f>
        <v>Гочева</v>
      </c>
      <c r="D192" s="300">
        <f>'Програма-имена+кабинети'!I39</f>
        <v>301</v>
      </c>
      <c r="E192" s="269">
        <v>1</v>
      </c>
      <c r="F192" s="283" t="str">
        <f>'Програма-имена+кабинети'!H94</f>
        <v>Даскалова</v>
      </c>
      <c r="G192" s="284" t="str">
        <f>'Програма-имена+кабинети'!I94</f>
        <v>107/108</v>
      </c>
      <c r="H192" s="269">
        <v>1</v>
      </c>
      <c r="I192" s="283" t="str">
        <f>'Програма-имена+кабинети'!H149</f>
        <v>Даскалова</v>
      </c>
      <c r="J192" s="284" t="str">
        <f>'Програма-имена+кабинети'!I149</f>
        <v>107/108</v>
      </c>
      <c r="K192" s="269">
        <v>1</v>
      </c>
      <c r="L192" s="283" t="str">
        <f>'Програма-имена+кабинети'!H204</f>
        <v>Н. Николова</v>
      </c>
      <c r="M192" s="284" t="str">
        <f>'Програма-имена+кабинети'!I204</f>
        <v>201/202/203/205/206</v>
      </c>
      <c r="N192" s="269">
        <v>1</v>
      </c>
      <c r="O192" s="283" t="str">
        <f>'Програма-имена+кабинети'!H258</f>
        <v>Козалиева</v>
      </c>
      <c r="P192" s="284" t="str">
        <f>'Програма-имена+кабинети'!I258</f>
        <v>212/214/215/217</v>
      </c>
    </row>
    <row r="193" spans="1:17" ht="21" customHeight="1">
      <c r="A193" s="387"/>
      <c r="B193" s="285">
        <v>2</v>
      </c>
      <c r="C193" s="301" t="str">
        <f>'Програма-имена+кабинети'!H40</f>
        <v>Конгалов</v>
      </c>
      <c r="D193" s="302" t="str">
        <f>'Програма-имена+кабинети'!I40</f>
        <v>ФС</v>
      </c>
      <c r="E193" s="269">
        <v>2</v>
      </c>
      <c r="F193" s="252" t="str">
        <f>'Програма-имена+кабинети'!H95</f>
        <v>Христонова/Цветков</v>
      </c>
      <c r="G193" s="254" t="str">
        <f>'Програма-имена+кабинети'!I95</f>
        <v>КК4/КК6</v>
      </c>
      <c r="H193" s="269">
        <v>2</v>
      </c>
      <c r="I193" s="252" t="str">
        <f>'Програма-имена+кабинети'!H150</f>
        <v>Даскалова</v>
      </c>
      <c r="J193" s="254" t="str">
        <f>'Програма-имена+кабинети'!I150</f>
        <v>107/108</v>
      </c>
      <c r="K193" s="269">
        <v>2</v>
      </c>
      <c r="L193" s="252" t="str">
        <f>'Програма-имена+кабинети'!H205</f>
        <v>Н. Николова</v>
      </c>
      <c r="M193" s="254" t="str">
        <f>'Програма-имена+кабинети'!I205</f>
        <v>201/202/203/205/206</v>
      </c>
      <c r="N193" s="269">
        <v>2</v>
      </c>
      <c r="O193" s="252" t="str">
        <f>'Програма-имена+кабинети'!H259</f>
        <v>Христонова/Цветков</v>
      </c>
      <c r="P193" s="254" t="str">
        <f>'Програма-имена+кабинети'!I259</f>
        <v>КК4/КК6</v>
      </c>
    </row>
    <row r="194" spans="1:17" s="268" customFormat="1" ht="21" customHeight="1">
      <c r="A194" s="387"/>
      <c r="B194" s="285">
        <v>3</v>
      </c>
      <c r="C194" s="301" t="str">
        <f>'Програма-имена+кабинети'!H41</f>
        <v>Чанкова</v>
      </c>
      <c r="D194" s="302">
        <f>'Програма-имена+кабинети'!I41</f>
        <v>105</v>
      </c>
      <c r="E194" s="269">
        <v>3</v>
      </c>
      <c r="F194" s="252" t="str">
        <f>'Програма-имена+кабинети'!H96</f>
        <v>В. Иванова</v>
      </c>
      <c r="G194" s="254">
        <f>'Програма-имена+кабинети'!I96</f>
        <v>109</v>
      </c>
      <c r="H194" s="269">
        <v>3</v>
      </c>
      <c r="I194" s="252" t="str">
        <f>'Програма-имена+кабинети'!H151</f>
        <v>Конгалов</v>
      </c>
      <c r="J194" s="254" t="str">
        <f>'Програма-имена+кабинети'!I151</f>
        <v>ФС</v>
      </c>
      <c r="K194" s="269">
        <v>3</v>
      </c>
      <c r="L194" s="252" t="str">
        <f>'Програма-имена+кабинети'!H206</f>
        <v>Чанкова</v>
      </c>
      <c r="M194" s="254">
        <f>'Програма-имена+кабинети'!I206</f>
        <v>105</v>
      </c>
      <c r="N194" s="269">
        <v>3</v>
      </c>
      <c r="O194" s="252" t="str">
        <f>'Програма-имена+кабинети'!H260</f>
        <v>Даскалова</v>
      </c>
      <c r="P194" s="254" t="str">
        <f>'Програма-имена+кабинети'!I260</f>
        <v>107/108</v>
      </c>
      <c r="Q194" s="267"/>
    </row>
    <row r="195" spans="1:17" ht="21" customHeight="1">
      <c r="A195" s="387"/>
      <c r="B195" s="285">
        <v>4</v>
      </c>
      <c r="C195" s="301" t="str">
        <f>'Програма-имена+кабинети'!H42</f>
        <v>Киров</v>
      </c>
      <c r="D195" s="302" t="str">
        <f>'Програма-имена+кабинети'!I42</f>
        <v>109/110/111/114/102/302</v>
      </c>
      <c r="E195" s="269">
        <v>4</v>
      </c>
      <c r="F195" s="252" t="str">
        <f>'Програма-имена+кабинети'!H97</f>
        <v>Гочева</v>
      </c>
      <c r="G195" s="254">
        <f>'Програма-имена+кабинети'!I97</f>
        <v>301</v>
      </c>
      <c r="H195" s="269">
        <v>4</v>
      </c>
      <c r="I195" s="252" t="str">
        <f>'Програма-имена+кабинети'!H152</f>
        <v>Костова</v>
      </c>
      <c r="J195" s="254" t="str">
        <f>'Програма-имена+кабинети'!I152</f>
        <v>212/214/215/217</v>
      </c>
      <c r="K195" s="269">
        <v>4</v>
      </c>
      <c r="L195" s="252" t="str">
        <f>'Програма-имена+кабинети'!H207</f>
        <v>Славова</v>
      </c>
      <c r="M195" s="254">
        <f>'Програма-имена+кабинети'!I207</f>
        <v>114</v>
      </c>
      <c r="N195" s="269">
        <v>4</v>
      </c>
      <c r="O195" s="252" t="str">
        <f>'Програма-имена+кабинети'!H261</f>
        <v>Гочева</v>
      </c>
      <c r="P195" s="254">
        <f>'Програма-имена+кабинети'!I261</f>
        <v>301</v>
      </c>
    </row>
    <row r="196" spans="1:17" ht="21" customHeight="1">
      <c r="A196" s="387"/>
      <c r="B196" s="285">
        <v>5</v>
      </c>
      <c r="C196" s="301" t="str">
        <f>'Програма-имена+кабинети'!H43</f>
        <v>Славова</v>
      </c>
      <c r="D196" s="302">
        <f>'Програма-имена+кабинети'!I43</f>
        <v>114</v>
      </c>
      <c r="E196" s="269">
        <v>5</v>
      </c>
      <c r="F196" s="252" t="str">
        <f>'Програма-имена+кабинети'!H98</f>
        <v>Паронова</v>
      </c>
      <c r="G196" s="254" t="str">
        <f>'Програма-имена+кабинети'!I98</f>
        <v>212/214/215/217</v>
      </c>
      <c r="H196" s="269">
        <v>5</v>
      </c>
      <c r="I196" s="252" t="str">
        <f>'Програма-имена+кабинети'!H153</f>
        <v>Христонова/Цветков</v>
      </c>
      <c r="J196" s="254" t="str">
        <f>'Програма-имена+кабинети'!I153</f>
        <v>КК4/КК6</v>
      </c>
      <c r="K196" s="269">
        <v>5</v>
      </c>
      <c r="L196" s="252" t="str">
        <f>'Програма-имена+кабинети'!H208</f>
        <v>Киров</v>
      </c>
      <c r="M196" s="254" t="str">
        <f>'Програма-имена+кабинети'!I208</f>
        <v>109/110/111/114/102/302</v>
      </c>
      <c r="N196" s="269">
        <v>5</v>
      </c>
      <c r="O196" s="252" t="str">
        <f>'Програма-имена+кабинети'!H262</f>
        <v>Гочева</v>
      </c>
      <c r="P196" s="254">
        <f>'Програма-имена+кабинети'!I262</f>
        <v>301</v>
      </c>
    </row>
    <row r="197" spans="1:17" ht="21" customHeight="1">
      <c r="A197" s="387"/>
      <c r="B197" s="285">
        <v>6</v>
      </c>
      <c r="C197" s="301" t="str">
        <f>'Програма-имена+кабинети'!H44</f>
        <v>Костова</v>
      </c>
      <c r="D197" s="302" t="str">
        <f>'Програма-имена+кабинети'!I44</f>
        <v>212/214/215/217</v>
      </c>
      <c r="E197" s="269">
        <v>6</v>
      </c>
      <c r="F197" s="252" t="str">
        <f>'Програма-имена+кабинети'!H99</f>
        <v>Чанкова</v>
      </c>
      <c r="G197" s="254">
        <f>'Програма-имена+кабинети'!I99</f>
        <v>105</v>
      </c>
      <c r="H197" s="269">
        <v>6</v>
      </c>
      <c r="I197" s="252" t="str">
        <f>'Програма-имена+кабинети'!H154</f>
        <v>Козалиева</v>
      </c>
      <c r="J197" s="254" t="str">
        <f>'Програма-имена+кабинети'!I154</f>
        <v>212/214/215/217</v>
      </c>
      <c r="K197" s="269">
        <v>6</v>
      </c>
      <c r="L197" s="252" t="str">
        <f>'Програма-имена+кабинети'!H209</f>
        <v>Паронова</v>
      </c>
      <c r="M197" s="254" t="str">
        <f>'Програма-имена+кабинети'!I209</f>
        <v>212/214/215/217</v>
      </c>
      <c r="N197" s="269">
        <v>6</v>
      </c>
      <c r="O197" s="252" t="str">
        <f>'Програма-имена+кабинети'!H263</f>
        <v>Чанкова</v>
      </c>
      <c r="P197" s="254">
        <f>'Програма-имена+кабинети'!I263</f>
        <v>105</v>
      </c>
    </row>
    <row r="198" spans="1:17" ht="21" customHeight="1">
      <c r="A198" s="387"/>
      <c r="B198" s="286">
        <v>7</v>
      </c>
      <c r="C198" s="303" t="str">
        <f>'Програма-имена+кабинети'!H45</f>
        <v>Н. Николова</v>
      </c>
      <c r="D198" s="304" t="str">
        <f>'Програма-имена+кабинети'!I45</f>
        <v>201/202/203/205/206</v>
      </c>
      <c r="E198" s="276">
        <v>7</v>
      </c>
      <c r="F198" s="253" t="str">
        <f>'Програма-имена+кабинети'!H100</f>
        <v>Чанкова</v>
      </c>
      <c r="G198" s="255">
        <f>'Програма-имена+кабинети'!I100</f>
        <v>105</v>
      </c>
      <c r="H198" s="276">
        <v>7</v>
      </c>
      <c r="I198" s="253" t="str">
        <f>'Програма-имена+кабинети'!H155</f>
        <v>Даскалова</v>
      </c>
      <c r="J198" s="255" t="str">
        <f>'Програма-имена+кабинети'!I155</f>
        <v>107/108</v>
      </c>
      <c r="K198" s="276">
        <v>7</v>
      </c>
      <c r="L198" s="253">
        <f>'Програма-имена+кабинети'!H210</f>
        <v>0</v>
      </c>
      <c r="M198" s="255" t="str">
        <f>'Програма-имена+кабинети'!I210</f>
        <v/>
      </c>
      <c r="N198" s="276">
        <v>7</v>
      </c>
      <c r="O198" s="253">
        <f>'Програма-имена+кабинети'!H264</f>
        <v>0</v>
      </c>
      <c r="P198" s="255" t="str">
        <f>'Програма-имена+кабинети'!I264</f>
        <v/>
      </c>
      <c r="Q198" s="297"/>
    </row>
    <row r="199" spans="1:17" ht="21" customHeight="1">
      <c r="Q199" s="268"/>
    </row>
    <row r="200" spans="1:17" ht="21" customHeight="1">
      <c r="A200" s="387" t="s">
        <v>18</v>
      </c>
      <c r="B200" s="260"/>
      <c r="C200" s="261" t="s">
        <v>24</v>
      </c>
      <c r="D200" s="262"/>
      <c r="E200" s="261"/>
      <c r="F200" s="261" t="s">
        <v>25</v>
      </c>
      <c r="G200" s="263" t="s">
        <v>214</v>
      </c>
      <c r="H200" s="266"/>
      <c r="I200" s="265" t="s">
        <v>26</v>
      </c>
      <c r="J200" s="263" t="s">
        <v>214</v>
      </c>
      <c r="K200" s="266"/>
      <c r="L200" s="266" t="s">
        <v>27</v>
      </c>
      <c r="M200" s="263" t="s">
        <v>214</v>
      </c>
      <c r="N200" s="266"/>
      <c r="O200" s="265" t="s">
        <v>28</v>
      </c>
      <c r="P200" s="305" t="s">
        <v>214</v>
      </c>
    </row>
    <row r="201" spans="1:17" ht="21" customHeight="1">
      <c r="A201" s="387"/>
      <c r="B201" s="285">
        <v>1</v>
      </c>
      <c r="C201" s="283" t="str">
        <f>'Програма-имена+кабинети'!J39</f>
        <v>Киров</v>
      </c>
      <c r="D201" s="284" t="str">
        <f>'Програма-имена+кабинети'!K39</f>
        <v>109/110/111/114/102/302</v>
      </c>
      <c r="E201" s="269">
        <v>1</v>
      </c>
      <c r="F201" s="283" t="str">
        <f>'Програма-имена+кабинети'!J94</f>
        <v>Козалиева</v>
      </c>
      <c r="G201" s="284" t="str">
        <f>'Програма-имена+кабинети'!K94</f>
        <v>212/214/215/217</v>
      </c>
      <c r="H201" s="269">
        <v>1</v>
      </c>
      <c r="I201" s="283" t="str">
        <f>'Програма-имена+кабинети'!J149</f>
        <v>Минчева</v>
      </c>
      <c r="J201" s="284" t="str">
        <f>'Програма-имена+кабинети'!K149</f>
        <v>212/214/215/217</v>
      </c>
      <c r="K201" s="269">
        <v>1</v>
      </c>
      <c r="L201" s="283" t="str">
        <f>'Програма-имена+кабинети'!J204</f>
        <v>В. Иванова</v>
      </c>
      <c r="M201" s="284">
        <f>'Програма-имена+кабинети'!K204</f>
        <v>109</v>
      </c>
      <c r="N201" s="269">
        <v>1</v>
      </c>
      <c r="O201" s="283" t="str">
        <f>'Програма-имена+кабинети'!J258</f>
        <v>Славова</v>
      </c>
      <c r="P201" s="284">
        <f>'Програма-имена+кабинети'!K258</f>
        <v>114</v>
      </c>
    </row>
    <row r="202" spans="1:17" s="268" customFormat="1" ht="21" customHeight="1">
      <c r="A202" s="387"/>
      <c r="B202" s="285">
        <v>2</v>
      </c>
      <c r="C202" s="252" t="str">
        <f>'Програма-имена+кабинети'!J40</f>
        <v>Чанкова</v>
      </c>
      <c r="D202" s="254">
        <f>'Програма-имена+кабинети'!K40</f>
        <v>105</v>
      </c>
      <c r="E202" s="269">
        <v>2</v>
      </c>
      <c r="F202" s="252" t="str">
        <f>'Програма-имена+кабинети'!J95</f>
        <v>Козалиева</v>
      </c>
      <c r="G202" s="254" t="str">
        <f>'Програма-имена+кабинети'!K95</f>
        <v>212/214/215/217</v>
      </c>
      <c r="H202" s="269">
        <v>2</v>
      </c>
      <c r="I202" s="252" t="str">
        <f>'Програма-имена+кабинети'!J150</f>
        <v>Минчева</v>
      </c>
      <c r="J202" s="254" t="str">
        <f>'Програма-имена+кабинети'!K150</f>
        <v>212/214/215/217</v>
      </c>
      <c r="K202" s="269">
        <v>2</v>
      </c>
      <c r="L202" s="252" t="str">
        <f>'Програма-имена+кабинети'!J205</f>
        <v>Гочева</v>
      </c>
      <c r="M202" s="254">
        <f>'Програма-имена+кабинети'!K205</f>
        <v>301</v>
      </c>
      <c r="N202" s="269">
        <v>2</v>
      </c>
      <c r="O202" s="252" t="str">
        <f>'Програма-имена+кабинети'!J259</f>
        <v>Минчева</v>
      </c>
      <c r="P202" s="254" t="str">
        <f>'Програма-имена+кабинети'!K259</f>
        <v>212/214/215/217</v>
      </c>
      <c r="Q202" s="267"/>
    </row>
    <row r="203" spans="1:17" ht="21" customHeight="1">
      <c r="A203" s="387"/>
      <c r="B203" s="285">
        <v>3</v>
      </c>
      <c r="C203" s="252" t="str">
        <f>'Програма-имена+кабинети'!J41</f>
        <v>Минчева</v>
      </c>
      <c r="D203" s="254" t="str">
        <f>'Програма-имена+кабинети'!K41</f>
        <v>212/214/215/217</v>
      </c>
      <c r="E203" s="269">
        <v>3</v>
      </c>
      <c r="F203" s="252" t="str">
        <f>'Програма-имена+кабинети'!J96</f>
        <v>Минчева</v>
      </c>
      <c r="G203" s="254" t="str">
        <f>'Програма-имена+кабинети'!K96</f>
        <v>212/214/215/217</v>
      </c>
      <c r="H203" s="269">
        <v>3</v>
      </c>
      <c r="I203" s="252" t="str">
        <f>'Програма-имена+кабинети'!J151</f>
        <v>Киров</v>
      </c>
      <c r="J203" s="254" t="str">
        <f>'Програма-имена+кабинети'!K151</f>
        <v>109/110/111/114/102/302</v>
      </c>
      <c r="K203" s="269">
        <v>3</v>
      </c>
      <c r="L203" s="252" t="str">
        <f>'Програма-имена+кабинети'!J206</f>
        <v>Минчева</v>
      </c>
      <c r="M203" s="254" t="str">
        <f>'Програма-имена+кабинети'!K206</f>
        <v>212/214/215/217</v>
      </c>
      <c r="N203" s="269">
        <v>3</v>
      </c>
      <c r="O203" s="252" t="str">
        <f>'Програма-имена+кабинети'!J260</f>
        <v>Козалиева</v>
      </c>
      <c r="P203" s="254" t="str">
        <f>'Програма-имена+кабинети'!K260</f>
        <v>212/214/215/217</v>
      </c>
    </row>
    <row r="204" spans="1:17" ht="21" customHeight="1">
      <c r="A204" s="387"/>
      <c r="B204" s="285">
        <v>4</v>
      </c>
      <c r="C204" s="252" t="str">
        <f>'Програма-имена+кабинети'!J42</f>
        <v>Даскалова/Тодорова</v>
      </c>
      <c r="D204" s="254" t="str">
        <f>'Програма-имена+кабинети'!K42</f>
        <v>107-108/101-105</v>
      </c>
      <c r="E204" s="269">
        <v>4</v>
      </c>
      <c r="F204" s="252" t="str">
        <f>'Програма-имена+кабинети'!J97</f>
        <v>Конгалов</v>
      </c>
      <c r="G204" s="254" t="str">
        <f>'Програма-имена+кабинети'!K97</f>
        <v>ФС</v>
      </c>
      <c r="H204" s="269">
        <v>4</v>
      </c>
      <c r="I204" s="252" t="str">
        <f>'Програма-имена+кабинети'!J152</f>
        <v>Козалиева</v>
      </c>
      <c r="J204" s="254" t="str">
        <f>'Програма-имена+кабинети'!K152</f>
        <v>212/214/215/217</v>
      </c>
      <c r="K204" s="269">
        <v>4</v>
      </c>
      <c r="L204" s="252" t="str">
        <f>'Програма-имена+кабинети'!J207</f>
        <v>Чанкова</v>
      </c>
      <c r="M204" s="254">
        <f>'Програма-имена+кабинети'!K207</f>
        <v>105</v>
      </c>
      <c r="N204" s="269">
        <v>4</v>
      </c>
      <c r="O204" s="252" t="str">
        <f>'Програма-имена+кабинети'!J261</f>
        <v>Паронова</v>
      </c>
      <c r="P204" s="254" t="str">
        <f>'Програма-имена+кабинети'!K261</f>
        <v>212/214/215/217</v>
      </c>
    </row>
    <row r="205" spans="1:17" ht="21" customHeight="1">
      <c r="A205" s="387"/>
      <c r="B205" s="285">
        <v>5</v>
      </c>
      <c r="C205" s="252" t="str">
        <f>'Програма-имена+кабинети'!J43</f>
        <v>Даскалова/Тодорова</v>
      </c>
      <c r="D205" s="254" t="str">
        <f>'Програма-имена+кабинети'!K43</f>
        <v>107-108/101-105</v>
      </c>
      <c r="E205" s="269">
        <v>5</v>
      </c>
      <c r="F205" s="252" t="str">
        <f>'Програма-имена+кабинети'!J98</f>
        <v>Гочева</v>
      </c>
      <c r="G205" s="254">
        <f>'Програма-имена+кабинети'!K98</f>
        <v>301</v>
      </c>
      <c r="H205" s="269">
        <v>5</v>
      </c>
      <c r="I205" s="252" t="str">
        <f>'Програма-имена+кабинети'!J153</f>
        <v>Чанкова</v>
      </c>
      <c r="J205" s="254">
        <f>'Програма-имена+кабинети'!K153</f>
        <v>105</v>
      </c>
      <c r="K205" s="269">
        <v>5</v>
      </c>
      <c r="L205" s="252" t="str">
        <f>'Програма-имена+кабинети'!J208</f>
        <v>Н. Николова</v>
      </c>
      <c r="M205" s="254" t="str">
        <f>'Програма-имена+кабинети'!K208</f>
        <v>201/202/203/205/206</v>
      </c>
      <c r="N205" s="269">
        <v>5</v>
      </c>
      <c r="O205" s="252" t="str">
        <f>'Програма-имена+кабинети'!J262</f>
        <v>Чанкова</v>
      </c>
      <c r="P205" s="254">
        <f>'Програма-имена+кабинети'!K262</f>
        <v>105</v>
      </c>
    </row>
    <row r="206" spans="1:17" ht="21" customHeight="1">
      <c r="A206" s="387"/>
      <c r="B206" s="285">
        <v>6</v>
      </c>
      <c r="C206" s="252" t="str">
        <f>'Програма-имена+кабинети'!J44</f>
        <v>Славова</v>
      </c>
      <c r="D206" s="254">
        <f>'Програма-имена+кабинети'!K44</f>
        <v>114</v>
      </c>
      <c r="E206" s="269">
        <v>6</v>
      </c>
      <c r="F206" s="252" t="str">
        <f>'Програма-имена+кабинети'!J99</f>
        <v>Паронова</v>
      </c>
      <c r="G206" s="254" t="str">
        <f>'Програма-имена+кабинети'!K99</f>
        <v>212/214/215/217</v>
      </c>
      <c r="H206" s="269">
        <v>6</v>
      </c>
      <c r="I206" s="252" t="str">
        <f>'Програма-имена+кабинети'!J154</f>
        <v>Чанкова</v>
      </c>
      <c r="J206" s="254">
        <f>'Програма-имена+кабинети'!K154</f>
        <v>105</v>
      </c>
      <c r="K206" s="269">
        <v>6</v>
      </c>
      <c r="L206" s="252" t="str">
        <f>'Програма-имена+кабинети'!J209</f>
        <v>Н. Николова</v>
      </c>
      <c r="M206" s="254" t="str">
        <f>'Програма-имена+кабинети'!K209</f>
        <v>201/202/203/205/206</v>
      </c>
      <c r="N206" s="269">
        <v>6</v>
      </c>
      <c r="O206" s="252" t="str">
        <f>'Програма-имена+кабинети'!J263</f>
        <v>Конгалов</v>
      </c>
      <c r="P206" s="254" t="str">
        <f>'Програма-имена+кабинети'!K263</f>
        <v>ФС</v>
      </c>
    </row>
    <row r="207" spans="1:17" ht="21" customHeight="1">
      <c r="A207" s="387"/>
      <c r="B207" s="286">
        <v>7</v>
      </c>
      <c r="C207" s="253" t="str">
        <f>'Програма-имена+кабинети'!J45</f>
        <v>Козалиева</v>
      </c>
      <c r="D207" s="255" t="str">
        <f>'Програма-имена+кабинети'!K45</f>
        <v>212/214/215/217</v>
      </c>
      <c r="E207" s="276">
        <v>7</v>
      </c>
      <c r="F207" s="253" t="str">
        <f>'Програма-имена+кабинети'!J100</f>
        <v>Н. Николова</v>
      </c>
      <c r="G207" s="255" t="str">
        <f>'Програма-имена+кабинети'!K100</f>
        <v>201/202/203/205/206</v>
      </c>
      <c r="H207" s="276">
        <v>7</v>
      </c>
      <c r="I207" s="253" t="str">
        <f>'Програма-имена+кабинети'!J155</f>
        <v>Козалиева</v>
      </c>
      <c r="J207" s="255" t="str">
        <f>'Програма-имена+кабинети'!K155</f>
        <v>212/214/215/217</v>
      </c>
      <c r="K207" s="276">
        <v>7</v>
      </c>
      <c r="L207" s="253">
        <f>'Програма-имена+кабинети'!J210</f>
        <v>0</v>
      </c>
      <c r="M207" s="255" t="str">
        <f>'Програма-имена+кабинети'!K210</f>
        <v/>
      </c>
      <c r="N207" s="276">
        <v>7</v>
      </c>
      <c r="O207" s="253">
        <f>'Програма-имена+кабинети'!J264</f>
        <v>0</v>
      </c>
      <c r="P207" s="255" t="str">
        <f>'Програма-имена+кабинети'!K264</f>
        <v/>
      </c>
    </row>
    <row r="209" spans="1:17" ht="21" customHeight="1">
      <c r="A209" s="387" t="s">
        <v>48</v>
      </c>
      <c r="B209" s="260"/>
      <c r="C209" s="261" t="s">
        <v>24</v>
      </c>
      <c r="D209" s="262"/>
      <c r="E209" s="261"/>
      <c r="F209" s="261" t="s">
        <v>25</v>
      </c>
      <c r="G209" s="263" t="s">
        <v>214</v>
      </c>
      <c r="H209" s="264"/>
      <c r="I209" s="265" t="s">
        <v>26</v>
      </c>
      <c r="J209" s="263" t="s">
        <v>214</v>
      </c>
      <c r="K209" s="266"/>
      <c r="L209" s="266" t="s">
        <v>27</v>
      </c>
      <c r="M209" s="263" t="s">
        <v>214</v>
      </c>
      <c r="N209" s="266"/>
      <c r="O209" s="265" t="s">
        <v>28</v>
      </c>
      <c r="P209" s="305" t="s">
        <v>214</v>
      </c>
    </row>
    <row r="210" spans="1:17" ht="21" customHeight="1">
      <c r="A210" s="387"/>
      <c r="B210" s="285">
        <v>1</v>
      </c>
      <c r="C210" s="283" t="str">
        <f>'Програма-имена+кабинети'!B48</f>
        <v>Влашинска</v>
      </c>
      <c r="D210" s="284" t="str">
        <f>'Програма-имена+кабинети'!C48</f>
        <v>212/214/215/217</v>
      </c>
      <c r="E210" s="269">
        <v>1</v>
      </c>
      <c r="F210" s="283" t="str">
        <f>'Програма-имена+кабинети'!B103</f>
        <v>Петкова/Димитрова</v>
      </c>
      <c r="G210" s="284" t="str">
        <f>'Програма-имена+кабинети'!C103</f>
        <v>КК3/КК8</v>
      </c>
      <c r="H210" s="285">
        <v>1</v>
      </c>
      <c r="I210" s="270" t="str">
        <f>'Програма-имена+кабинети'!B158</f>
        <v>Д. Николова</v>
      </c>
      <c r="J210" s="271">
        <f>'Програма-имена+кабинети'!C158</f>
        <v>106</v>
      </c>
      <c r="K210" s="269">
        <v>1</v>
      </c>
      <c r="L210" s="283" t="str">
        <f>'Програма-имена+кабинети'!B213</f>
        <v>Петкова/Димитрова</v>
      </c>
      <c r="M210" s="284" t="str">
        <f>'Програма-имена+кабинети'!C213</f>
        <v>КК3/КК8</v>
      </c>
      <c r="N210" s="269">
        <v>1</v>
      </c>
      <c r="O210" s="283" t="str">
        <f>'Програма-имена+кабинети'!B267</f>
        <v>Д. Николова</v>
      </c>
      <c r="P210" s="284">
        <f>'Програма-имена+кабинети'!C267</f>
        <v>106</v>
      </c>
    </row>
    <row r="211" spans="1:17" ht="21" customHeight="1">
      <c r="A211" s="387"/>
      <c r="B211" s="285">
        <v>2</v>
      </c>
      <c r="C211" s="252" t="str">
        <f>'Програма-имена+кабинети'!B49</f>
        <v>Петкова/Димитрова</v>
      </c>
      <c r="D211" s="254" t="str">
        <f>'Програма-имена+кабинети'!C49</f>
        <v>КК3/КК8</v>
      </c>
      <c r="E211" s="269">
        <v>2</v>
      </c>
      <c r="F211" s="252" t="str">
        <f>'Програма-имена+кабинети'!B104</f>
        <v>Латева</v>
      </c>
      <c r="G211" s="254">
        <f>'Програма-имена+кабинети'!C104</f>
        <v>110</v>
      </c>
      <c r="H211" s="285">
        <v>2</v>
      </c>
      <c r="I211" s="274" t="str">
        <f>'Програма-имена+кабинети'!B159</f>
        <v>Колева</v>
      </c>
      <c r="J211" s="275">
        <f>'Програма-имена+кабинети'!C159</f>
        <v>202</v>
      </c>
      <c r="K211" s="269">
        <v>2</v>
      </c>
      <c r="L211" s="252" t="str">
        <f>'Програма-имена+кабинети'!B214</f>
        <v>Петкова/Димитрова</v>
      </c>
      <c r="M211" s="254" t="str">
        <f>'Програма-имена+кабинети'!C214</f>
        <v>КК3/КК8</v>
      </c>
      <c r="N211" s="269">
        <v>2</v>
      </c>
      <c r="O211" s="252" t="str">
        <f>'Програма-имена+кабинети'!B268</f>
        <v>Славова</v>
      </c>
      <c r="P211" s="254">
        <f>'Програма-имена+кабинети'!C268</f>
        <v>114</v>
      </c>
    </row>
    <row r="212" spans="1:17" ht="21" customHeight="1">
      <c r="A212" s="387"/>
      <c r="B212" s="285">
        <v>3</v>
      </c>
      <c r="C212" s="252" t="str">
        <f>'Програма-имена+кабинети'!B50</f>
        <v>Батимов</v>
      </c>
      <c r="D212" s="254">
        <f>'Програма-имена+кабинети'!C50</f>
        <v>303</v>
      </c>
      <c r="E212" s="269">
        <v>3</v>
      </c>
      <c r="F212" s="252" t="str">
        <f>'Програма-имена+кабинети'!B105</f>
        <v>Д. Николова</v>
      </c>
      <c r="G212" s="254">
        <f>'Програма-имена+кабинети'!C105</f>
        <v>106</v>
      </c>
      <c r="H212" s="285">
        <v>3</v>
      </c>
      <c r="I212" s="274" t="str">
        <f>'Програма-имена+кабинети'!B160</f>
        <v>Тонева</v>
      </c>
      <c r="J212" s="275" t="str">
        <f>'Програма-имена+кабинети'!C160</f>
        <v>ФС</v>
      </c>
      <c r="K212" s="269">
        <v>3</v>
      </c>
      <c r="L212" s="252" t="str">
        <f>'Програма-имена+кабинети'!B215</f>
        <v>Батимов</v>
      </c>
      <c r="M212" s="254">
        <f>'Програма-имена+кабинети'!C215</f>
        <v>303</v>
      </c>
      <c r="N212" s="269">
        <v>3</v>
      </c>
      <c r="O212" s="252" t="str">
        <f>'Програма-имена+кабинети'!B269</f>
        <v>Батимов</v>
      </c>
      <c r="P212" s="254">
        <f>'Програма-имена+кабинети'!C269</f>
        <v>303</v>
      </c>
    </row>
    <row r="213" spans="1:17" ht="21" customHeight="1">
      <c r="A213" s="387"/>
      <c r="B213" s="285">
        <v>4</v>
      </c>
      <c r="C213" s="252" t="str">
        <f>'Програма-имена+кабинети'!B51</f>
        <v>Д. Николова</v>
      </c>
      <c r="D213" s="254">
        <f>'Програма-имена+кабинети'!C51</f>
        <v>106</v>
      </c>
      <c r="E213" s="269">
        <v>4</v>
      </c>
      <c r="F213" s="252" t="str">
        <f>'Програма-имена+кабинети'!B106</f>
        <v>Батимов</v>
      </c>
      <c r="G213" s="254">
        <f>'Програма-имена+кабинети'!C106</f>
        <v>303</v>
      </c>
      <c r="H213" s="285">
        <v>4</v>
      </c>
      <c r="I213" s="274" t="str">
        <f>'Програма-имена+кабинети'!B161</f>
        <v>Батимов</v>
      </c>
      <c r="J213" s="275">
        <f>'Програма-имена+кабинети'!C161</f>
        <v>303</v>
      </c>
      <c r="K213" s="269">
        <v>4</v>
      </c>
      <c r="L213" s="252" t="str">
        <f>'Програма-имена+кабинети'!B216</f>
        <v>Батимов</v>
      </c>
      <c r="M213" s="254">
        <f>'Програма-имена+кабинети'!C216</f>
        <v>303</v>
      </c>
      <c r="N213" s="269">
        <v>4</v>
      </c>
      <c r="O213" s="252" t="str">
        <f>'Програма-имена+кабинети'!B270</f>
        <v>Батимов</v>
      </c>
      <c r="P213" s="254">
        <f>'Програма-имена+кабинети'!C270</f>
        <v>303</v>
      </c>
    </row>
    <row r="214" spans="1:17" ht="21" customHeight="1">
      <c r="A214" s="387"/>
      <c r="B214" s="285">
        <v>5</v>
      </c>
      <c r="C214" s="252" t="str">
        <f>'Програма-имена+кабинети'!B52</f>
        <v>Д. Николова</v>
      </c>
      <c r="D214" s="254">
        <f>'Програма-имена+кабинети'!C52</f>
        <v>106</v>
      </c>
      <c r="E214" s="269">
        <v>5</v>
      </c>
      <c r="F214" s="252" t="str">
        <f>'Програма-имена+кабинети'!B107</f>
        <v>Батимов</v>
      </c>
      <c r="G214" s="254">
        <f>'Програма-имена+кабинети'!C107</f>
        <v>303</v>
      </c>
      <c r="H214" s="285">
        <v>5</v>
      </c>
      <c r="I214" s="274" t="str">
        <f>'Програма-имена+кабинети'!B162</f>
        <v>Петкова/Димитрова</v>
      </c>
      <c r="J214" s="275" t="str">
        <f>'Програма-имена+кабинети'!C162</f>
        <v>КК3/КК8</v>
      </c>
      <c r="K214" s="269">
        <v>5</v>
      </c>
      <c r="L214" s="252" t="str">
        <f>'Програма-имена+кабинети'!B217</f>
        <v>Колева</v>
      </c>
      <c r="M214" s="254">
        <f>'Програма-имена+кабинети'!C217</f>
        <v>202</v>
      </c>
      <c r="N214" s="269">
        <v>5</v>
      </c>
      <c r="O214" s="252" t="str">
        <f>'Програма-имена+кабинети'!B271</f>
        <v>Даскалова/Тодорова</v>
      </c>
      <c r="P214" s="254" t="str">
        <f>'Програма-имена+кабинети'!C271</f>
        <v>107-108/101-105</v>
      </c>
    </row>
    <row r="215" spans="1:17" ht="21" customHeight="1">
      <c r="A215" s="387"/>
      <c r="B215" s="285">
        <v>6</v>
      </c>
      <c r="C215" s="252" t="str">
        <f>'Програма-имена+кабинети'!B53</f>
        <v>Колева</v>
      </c>
      <c r="D215" s="254">
        <f>'Програма-имена+кабинети'!C53</f>
        <v>202</v>
      </c>
      <c r="E215" s="269">
        <v>6</v>
      </c>
      <c r="F215" s="252" t="str">
        <f>'Програма-имена+кабинети'!B108</f>
        <v>Тонева</v>
      </c>
      <c r="G215" s="254" t="str">
        <f>'Програма-имена+кабинети'!C108</f>
        <v>ФС</v>
      </c>
      <c r="H215" s="285">
        <v>6</v>
      </c>
      <c r="I215" s="274" t="str">
        <f>'Програма-имена+кабинети'!B163</f>
        <v>Славова</v>
      </c>
      <c r="J215" s="275">
        <f>'Програма-имена+кабинети'!C163</f>
        <v>114</v>
      </c>
      <c r="K215" s="269">
        <v>6</v>
      </c>
      <c r="L215" s="252" t="str">
        <f>'Програма-имена+кабинети'!B218</f>
        <v>Филипова</v>
      </c>
      <c r="M215" s="254" t="str">
        <f>'Програма-имена+кабинети'!C218</f>
        <v>109/110/301/302/306</v>
      </c>
      <c r="N215" s="269">
        <v>6</v>
      </c>
      <c r="O215" s="252" t="str">
        <f>'Програма-имена+кабинети'!B272</f>
        <v>Даскалова/Тодорова</v>
      </c>
      <c r="P215" s="254" t="str">
        <f>'Програма-имена+кабинети'!C272</f>
        <v>107-108/101-105</v>
      </c>
      <c r="Q215" s="268"/>
    </row>
    <row r="216" spans="1:17" ht="21" customHeight="1">
      <c r="A216" s="387"/>
      <c r="B216" s="286">
        <v>7</v>
      </c>
      <c r="C216" s="253" t="str">
        <f>'Програма-имена+кабинети'!B54</f>
        <v>Колева</v>
      </c>
      <c r="D216" s="255">
        <f>'Програма-имена+кабинети'!C54</f>
        <v>202</v>
      </c>
      <c r="E216" s="276">
        <v>7</v>
      </c>
      <c r="F216" s="253" t="str">
        <f>'Програма-имена+кабинети'!B109</f>
        <v>Филипова</v>
      </c>
      <c r="G216" s="255" t="str">
        <f>'Програма-имена+кабинети'!C109</f>
        <v>109/110/301/302/306</v>
      </c>
      <c r="H216" s="286">
        <v>7</v>
      </c>
      <c r="I216" s="277" t="str">
        <f>'Програма-имена+кабинети'!B164</f>
        <v>Батимов</v>
      </c>
      <c r="J216" s="278">
        <f>'Програма-имена+кабинети'!C164</f>
        <v>303</v>
      </c>
      <c r="K216" s="276">
        <v>7</v>
      </c>
      <c r="L216" s="253">
        <f>'Програма-имена+кабинети'!B219</f>
        <v>0</v>
      </c>
      <c r="M216" s="255" t="str">
        <f>'Програма-имена+кабинети'!C219</f>
        <v/>
      </c>
      <c r="N216" s="276">
        <v>7</v>
      </c>
      <c r="O216" s="253">
        <f>'Програма-имена+кабинети'!B273</f>
        <v>0</v>
      </c>
      <c r="P216" s="255" t="str">
        <f>'Програма-имена+кабинети'!C273</f>
        <v/>
      </c>
    </row>
    <row r="218" spans="1:17" ht="21" customHeight="1">
      <c r="A218" s="387" t="s">
        <v>49</v>
      </c>
      <c r="B218" s="260"/>
      <c r="C218" s="261" t="s">
        <v>24</v>
      </c>
      <c r="D218" s="262"/>
      <c r="E218" s="261"/>
      <c r="F218" s="261" t="s">
        <v>25</v>
      </c>
      <c r="G218" s="263" t="s">
        <v>214</v>
      </c>
      <c r="H218" s="266"/>
      <c r="I218" s="265" t="s">
        <v>26</v>
      </c>
      <c r="J218" s="263" t="s">
        <v>214</v>
      </c>
      <c r="K218" s="266"/>
      <c r="L218" s="266" t="s">
        <v>27</v>
      </c>
      <c r="M218" s="263" t="s">
        <v>214</v>
      </c>
      <c r="N218" s="266"/>
      <c r="O218" s="265" t="s">
        <v>28</v>
      </c>
      <c r="P218" s="305" t="s">
        <v>214</v>
      </c>
    </row>
    <row r="219" spans="1:17" ht="21" customHeight="1">
      <c r="A219" s="387"/>
      <c r="B219" s="285">
        <v>1</v>
      </c>
      <c r="C219" s="283" t="str">
        <f>'Програма-имена+кабинети'!D48</f>
        <v>Д. Николова</v>
      </c>
      <c r="D219" s="284">
        <f>'Програма-имена+кабинети'!E48</f>
        <v>106</v>
      </c>
      <c r="E219" s="269">
        <v>1</v>
      </c>
      <c r="F219" s="283" t="str">
        <f>'Програма-имена+кабинети'!D103</f>
        <v>Латева</v>
      </c>
      <c r="G219" s="284">
        <f>'Програма-имена+кабинети'!E103</f>
        <v>110</v>
      </c>
      <c r="H219" s="269">
        <v>1</v>
      </c>
      <c r="I219" s="283" t="str">
        <f>'Програма-имена+кабинети'!D158</f>
        <v>Мерджанова</v>
      </c>
      <c r="J219" s="284">
        <f>'Програма-имена+кабинети'!E158</f>
        <v>304</v>
      </c>
      <c r="K219" s="269">
        <v>1</v>
      </c>
      <c r="L219" s="283" t="str">
        <f>'Програма-имена+кабинети'!D213</f>
        <v>Славова</v>
      </c>
      <c r="M219" s="284">
        <f>'Програма-имена+кабинети'!E213</f>
        <v>114</v>
      </c>
      <c r="N219" s="269">
        <v>1</v>
      </c>
      <c r="O219" s="283" t="str">
        <f>'Програма-имена+кабинети'!D267</f>
        <v>Филипова</v>
      </c>
      <c r="P219" s="284" t="str">
        <f>'Програма-имена+кабинети'!E267</f>
        <v>109/110/301/302/306</v>
      </c>
    </row>
    <row r="220" spans="1:17" ht="21" customHeight="1">
      <c r="A220" s="387"/>
      <c r="B220" s="285">
        <v>2</v>
      </c>
      <c r="C220" s="252" t="str">
        <f>'Програма-имена+кабинети'!D49</f>
        <v>Д. Николова</v>
      </c>
      <c r="D220" s="254">
        <f>'Програма-имена+кабинети'!E49</f>
        <v>106</v>
      </c>
      <c r="E220" s="269">
        <v>2</v>
      </c>
      <c r="F220" s="252" t="str">
        <f>'Програма-имена+кабинети'!D104</f>
        <v>Петкова/Димитрова</v>
      </c>
      <c r="G220" s="254" t="str">
        <f>'Програма-имена+кабинети'!E104</f>
        <v>КК3/КК8</v>
      </c>
      <c r="H220" s="269">
        <v>2</v>
      </c>
      <c r="I220" s="252" t="str">
        <f>'Програма-имена+кабинети'!D159</f>
        <v>Тонева</v>
      </c>
      <c r="J220" s="254" t="str">
        <f>'Програма-имена+кабинети'!E159</f>
        <v>ФС</v>
      </c>
      <c r="K220" s="269">
        <v>2</v>
      </c>
      <c r="L220" s="252" t="str">
        <f>'Програма-имена+кабинети'!D214</f>
        <v>Колева</v>
      </c>
      <c r="M220" s="254">
        <f>'Програма-имена+кабинети'!E214</f>
        <v>202</v>
      </c>
      <c r="N220" s="269">
        <v>2</v>
      </c>
      <c r="O220" s="252" t="str">
        <f>'Програма-имена+кабинети'!D268</f>
        <v>Д. Николова</v>
      </c>
      <c r="P220" s="254">
        <f>'Програма-имена+кабинети'!E268</f>
        <v>106</v>
      </c>
    </row>
    <row r="221" spans="1:17" ht="21" customHeight="1">
      <c r="A221" s="387"/>
      <c r="B221" s="285">
        <v>3</v>
      </c>
      <c r="C221" s="252" t="str">
        <f>'Програма-имена+кабинети'!D50</f>
        <v>Мерджанова</v>
      </c>
      <c r="D221" s="254">
        <f>'Програма-имена+кабинети'!E50</f>
        <v>304</v>
      </c>
      <c r="E221" s="269">
        <v>3</v>
      </c>
      <c r="F221" s="252" t="str">
        <f>'Програма-имена+кабинети'!D105</f>
        <v>Колева</v>
      </c>
      <c r="G221" s="254">
        <f>'Програма-имена+кабинети'!E105</f>
        <v>202</v>
      </c>
      <c r="H221" s="269">
        <v>3</v>
      </c>
      <c r="I221" s="252" t="str">
        <f>'Програма-имена+кабинети'!D160</f>
        <v>Петкова/Димитрова</v>
      </c>
      <c r="J221" s="254" t="str">
        <f>'Програма-имена+кабинети'!E160</f>
        <v>КК3/КК8</v>
      </c>
      <c r="K221" s="269">
        <v>3</v>
      </c>
      <c r="L221" s="252" t="str">
        <f>'Програма-имена+кабинети'!D215</f>
        <v>Петкова/Димитрова</v>
      </c>
      <c r="M221" s="254" t="str">
        <f>'Програма-имена+кабинети'!E215</f>
        <v>КК3/КК8</v>
      </c>
      <c r="N221" s="269">
        <v>3</v>
      </c>
      <c r="O221" s="252" t="str">
        <f>'Програма-имена+кабинети'!D269</f>
        <v>Славова</v>
      </c>
      <c r="P221" s="254">
        <f>'Програма-имена+кабинети'!E269</f>
        <v>114</v>
      </c>
    </row>
    <row r="222" spans="1:17" ht="21" customHeight="1">
      <c r="A222" s="387"/>
      <c r="B222" s="285">
        <v>4</v>
      </c>
      <c r="C222" s="252" t="str">
        <f>'Програма-имена+кабинети'!D51</f>
        <v>Мерджанова</v>
      </c>
      <c r="D222" s="254">
        <f>'Програма-имена+кабинети'!E51</f>
        <v>304</v>
      </c>
      <c r="E222" s="269">
        <v>4</v>
      </c>
      <c r="F222" s="252" t="str">
        <f>'Програма-имена+кабинети'!D106</f>
        <v>Колева</v>
      </c>
      <c r="G222" s="254">
        <f>'Програма-имена+кабинети'!E106</f>
        <v>202</v>
      </c>
      <c r="H222" s="269">
        <v>4</v>
      </c>
      <c r="I222" s="252" t="str">
        <f>'Програма-имена+кабинети'!D161</f>
        <v>Д. Николова</v>
      </c>
      <c r="J222" s="254">
        <f>'Програма-имена+кабинети'!E161</f>
        <v>106</v>
      </c>
      <c r="K222" s="269">
        <v>4</v>
      </c>
      <c r="L222" s="252" t="str">
        <f>'Програма-имена+кабинети'!D216</f>
        <v>Петкова/Димитрова</v>
      </c>
      <c r="M222" s="254" t="str">
        <f>'Програма-имена+кабинети'!E216</f>
        <v>КК3/КК8</v>
      </c>
      <c r="N222" s="269">
        <v>4</v>
      </c>
      <c r="O222" s="252" t="str">
        <f>'Програма-имена+кабинети'!D270</f>
        <v>Колева</v>
      </c>
      <c r="P222" s="254">
        <f>'Програма-имена+кабинети'!E270</f>
        <v>202</v>
      </c>
    </row>
    <row r="223" spans="1:17" ht="21" customHeight="1">
      <c r="A223" s="387"/>
      <c r="B223" s="285">
        <v>5</v>
      </c>
      <c r="C223" s="252" t="str">
        <f>'Програма-имена+кабинети'!D52</f>
        <v>Петкова/Димитрова</v>
      </c>
      <c r="D223" s="254" t="str">
        <f>'Програма-имена+кабинети'!E52</f>
        <v>КК3/КК8</v>
      </c>
      <c r="E223" s="269">
        <v>5</v>
      </c>
      <c r="F223" s="252" t="str">
        <f>'Програма-имена+кабинети'!D107</f>
        <v>Филипова</v>
      </c>
      <c r="G223" s="254" t="str">
        <f>'Програма-имена+кабинети'!E107</f>
        <v>109/110/301/302/306</v>
      </c>
      <c r="H223" s="269">
        <v>5</v>
      </c>
      <c r="I223" s="252" t="str">
        <f>'Програма-имена+кабинети'!D162</f>
        <v>Даскалова/Тодорова</v>
      </c>
      <c r="J223" s="254" t="str">
        <f>'Програма-имена+кабинети'!E162</f>
        <v>107-108/101-105</v>
      </c>
      <c r="K223" s="269">
        <v>5</v>
      </c>
      <c r="L223" s="252" t="str">
        <f>'Програма-имена+кабинети'!D217</f>
        <v>Мерджанова</v>
      </c>
      <c r="M223" s="254">
        <f>'Програма-имена+кабинети'!E217</f>
        <v>304</v>
      </c>
      <c r="N223" s="269">
        <v>5</v>
      </c>
      <c r="O223" s="252" t="str">
        <f>'Програма-имена+кабинети'!D271</f>
        <v>Мерджанова</v>
      </c>
      <c r="P223" s="254">
        <f>'Програма-имена+кабинети'!E271</f>
        <v>304</v>
      </c>
      <c r="Q223" s="268"/>
    </row>
    <row r="224" spans="1:17" ht="21" customHeight="1">
      <c r="A224" s="387"/>
      <c r="B224" s="285">
        <v>6</v>
      </c>
      <c r="C224" s="252" t="str">
        <f>'Програма-имена+кабинети'!D53</f>
        <v>Влашинска</v>
      </c>
      <c r="D224" s="254" t="str">
        <f>'Програма-имена+кабинети'!E53</f>
        <v>212/214/215/217</v>
      </c>
      <c r="E224" s="269">
        <v>6</v>
      </c>
      <c r="F224" s="252" t="str">
        <f>'Програма-имена+кабинети'!D108</f>
        <v>Мерджанова</v>
      </c>
      <c r="G224" s="254">
        <f>'Програма-имена+кабинети'!E108</f>
        <v>304</v>
      </c>
      <c r="H224" s="269">
        <v>6</v>
      </c>
      <c r="I224" s="252" t="str">
        <f>'Програма-имена+кабинети'!D163</f>
        <v>Даскалова/Тодорова</v>
      </c>
      <c r="J224" s="254" t="str">
        <f>'Програма-имена+кабинети'!E163</f>
        <v>107-108/101-105</v>
      </c>
      <c r="K224" s="269">
        <v>6</v>
      </c>
      <c r="L224" s="252" t="str">
        <f>'Програма-имена+кабинети'!D218</f>
        <v>Д. Николова</v>
      </c>
      <c r="M224" s="254">
        <f>'Програма-имена+кабинети'!E218</f>
        <v>106</v>
      </c>
      <c r="N224" s="269">
        <v>6</v>
      </c>
      <c r="O224" s="252" t="str">
        <f>'Програма-имена+кабинети'!D272</f>
        <v>Мерджанова</v>
      </c>
      <c r="P224" s="254">
        <f>'Програма-имена+кабинети'!E272</f>
        <v>304</v>
      </c>
    </row>
    <row r="225" spans="1:17" ht="21" customHeight="1">
      <c r="A225" s="387"/>
      <c r="B225" s="286">
        <v>7</v>
      </c>
      <c r="C225" s="253" t="str">
        <f>'Програма-имена+кабинети'!D54</f>
        <v>Тонева</v>
      </c>
      <c r="D225" s="255" t="str">
        <f>'Програма-имена+кабинети'!E54</f>
        <v>ФС</v>
      </c>
      <c r="E225" s="286">
        <v>7</v>
      </c>
      <c r="F225" s="253" t="str">
        <f>'Програма-имена+кабинети'!D109</f>
        <v>Мерджанова</v>
      </c>
      <c r="G225" s="255">
        <f>'Програма-имена+кабинети'!E109</f>
        <v>304</v>
      </c>
      <c r="H225" s="286">
        <v>7</v>
      </c>
      <c r="I225" s="253" t="str">
        <f>'Програма-имена+кабинети'!D164</f>
        <v>Славова</v>
      </c>
      <c r="J225" s="255">
        <f>'Програма-имена+кабинети'!E164</f>
        <v>114</v>
      </c>
      <c r="K225" s="286">
        <v>7</v>
      </c>
      <c r="L225" s="253">
        <f>'Програма-имена+кабинети'!D219</f>
        <v>0</v>
      </c>
      <c r="M225" s="255" t="str">
        <f>'Програма-имена+кабинети'!E219</f>
        <v/>
      </c>
      <c r="N225" s="286">
        <v>7</v>
      </c>
      <c r="O225" s="253">
        <f>'Програма-имена+кабинети'!D273</f>
        <v>0</v>
      </c>
      <c r="P225" s="255" t="str">
        <f>'Програма-имена+кабинети'!E273</f>
        <v/>
      </c>
    </row>
    <row r="227" spans="1:17" ht="21" customHeight="1">
      <c r="A227" s="387" t="s">
        <v>50</v>
      </c>
      <c r="B227" s="260"/>
      <c r="C227" s="261" t="s">
        <v>24</v>
      </c>
      <c r="D227" s="262"/>
      <c r="E227" s="261"/>
      <c r="F227" s="261" t="s">
        <v>25</v>
      </c>
      <c r="G227" s="263" t="s">
        <v>214</v>
      </c>
      <c r="H227" s="266"/>
      <c r="I227" s="265" t="s">
        <v>26</v>
      </c>
      <c r="J227" s="263" t="s">
        <v>214</v>
      </c>
      <c r="K227" s="266"/>
      <c r="L227" s="266" t="s">
        <v>27</v>
      </c>
      <c r="M227" s="263" t="s">
        <v>214</v>
      </c>
      <c r="N227" s="266"/>
      <c r="O227" s="265" t="s">
        <v>28</v>
      </c>
      <c r="P227" s="305" t="s">
        <v>214</v>
      </c>
    </row>
    <row r="228" spans="1:17" ht="21" customHeight="1">
      <c r="A228" s="387"/>
      <c r="B228" s="285">
        <v>1</v>
      </c>
      <c r="C228" s="283" t="str">
        <f>'Програма-имена+кабинети'!F48</f>
        <v>Колева</v>
      </c>
      <c r="D228" s="284">
        <f>'Програма-имена+кабинети'!G48</f>
        <v>202</v>
      </c>
      <c r="E228" s="269">
        <v>1</v>
      </c>
      <c r="F228" s="283" t="str">
        <f>'Програма-имена+кабинети'!F103</f>
        <v>Батимов</v>
      </c>
      <c r="G228" s="284">
        <f>'Програма-имена+кабинети'!G103</f>
        <v>303</v>
      </c>
      <c r="H228" s="269">
        <v>1</v>
      </c>
      <c r="I228" s="283" t="str">
        <f>'Програма-имена+кабинети'!F158</f>
        <v>Батимов</v>
      </c>
      <c r="J228" s="284">
        <f>'Програма-имена+кабинети'!G158</f>
        <v>303</v>
      </c>
      <c r="K228" s="269">
        <v>1</v>
      </c>
      <c r="L228" s="283" t="str">
        <f>'Програма-имена+кабинети'!F213</f>
        <v>Латева</v>
      </c>
      <c r="M228" s="284">
        <f>'Програма-имена+кабинети'!G213</f>
        <v>110</v>
      </c>
      <c r="N228" s="269">
        <v>1</v>
      </c>
      <c r="O228" s="283" t="str">
        <f>'Програма-имена+кабинети'!F267</f>
        <v>Батимов</v>
      </c>
      <c r="P228" s="284">
        <f>'Програма-имена+кабинети'!G267</f>
        <v>303</v>
      </c>
    </row>
    <row r="229" spans="1:17" ht="21" customHeight="1">
      <c r="A229" s="387"/>
      <c r="B229" s="285">
        <v>2</v>
      </c>
      <c r="C229" s="252" t="str">
        <f>'Програма-имена+кабинети'!F49</f>
        <v>Колева</v>
      </c>
      <c r="D229" s="254">
        <f>'Програма-имена+кабинети'!G49</f>
        <v>202</v>
      </c>
      <c r="E229" s="269">
        <v>2</v>
      </c>
      <c r="F229" s="252" t="str">
        <f>'Програма-имена+кабинети'!F104</f>
        <v>Батимов</v>
      </c>
      <c r="G229" s="254">
        <f>'Програма-имена+кабинети'!G104</f>
        <v>303</v>
      </c>
      <c r="H229" s="269">
        <v>2</v>
      </c>
      <c r="I229" s="252" t="str">
        <f>'Програма-имена+кабинети'!F159</f>
        <v>Батимов</v>
      </c>
      <c r="J229" s="254">
        <f>'Програма-имена+кабинети'!G159</f>
        <v>303</v>
      </c>
      <c r="K229" s="269">
        <v>2</v>
      </c>
      <c r="L229" s="252" t="str">
        <f>'Програма-имена+кабинети'!F214</f>
        <v>Тонева</v>
      </c>
      <c r="M229" s="254" t="str">
        <f>'Програма-имена+кабинети'!G214</f>
        <v>ФС</v>
      </c>
      <c r="N229" s="269">
        <v>2</v>
      </c>
      <c r="O229" s="252" t="str">
        <f>'Програма-имена+кабинети'!F268</f>
        <v>Батимов</v>
      </c>
      <c r="P229" s="254">
        <f>'Програма-имена+кабинети'!G268</f>
        <v>303</v>
      </c>
    </row>
    <row r="230" spans="1:17" ht="21" customHeight="1">
      <c r="A230" s="387"/>
      <c r="B230" s="285">
        <v>3</v>
      </c>
      <c r="C230" s="252" t="str">
        <f>'Програма-имена+кабинети'!F50</f>
        <v>Петкова/Димитрова</v>
      </c>
      <c r="D230" s="254" t="str">
        <f>'Програма-имена+кабинети'!G50</f>
        <v>КК3/КК8</v>
      </c>
      <c r="E230" s="269">
        <v>3</v>
      </c>
      <c r="F230" s="252" t="str">
        <f>'Програма-имена+кабинети'!F105</f>
        <v>Петкова/Димитрова</v>
      </c>
      <c r="G230" s="254" t="str">
        <f>'Програма-имена+кабинети'!G105</f>
        <v>КК3/КК8</v>
      </c>
      <c r="H230" s="269">
        <v>3</v>
      </c>
      <c r="I230" s="252" t="str">
        <f>'Програма-имена+кабинети'!F160</f>
        <v>Колева</v>
      </c>
      <c r="J230" s="254">
        <f>'Програма-имена+кабинети'!G160</f>
        <v>202</v>
      </c>
      <c r="K230" s="269">
        <v>3</v>
      </c>
      <c r="L230" s="252" t="str">
        <f>'Програма-имена+кабинети'!F215</f>
        <v>Д. Николова</v>
      </c>
      <c r="M230" s="254">
        <f>'Програма-имена+кабинети'!G215</f>
        <v>106</v>
      </c>
      <c r="N230" s="269">
        <v>3</v>
      </c>
      <c r="O230" s="252" t="str">
        <f>'Програма-имена+кабинети'!F269</f>
        <v>Петкова/Димитрова</v>
      </c>
      <c r="P230" s="254" t="str">
        <f>'Програма-имена+кабинети'!G269</f>
        <v>КК3/КК8</v>
      </c>
    </row>
    <row r="231" spans="1:17" ht="21" customHeight="1">
      <c r="A231" s="387"/>
      <c r="B231" s="285">
        <v>4</v>
      </c>
      <c r="C231" s="252" t="str">
        <f>'Програма-имена+кабинети'!F51</f>
        <v>Влашинска</v>
      </c>
      <c r="D231" s="254" t="str">
        <f>'Програма-имена+кабинети'!G51</f>
        <v>212/214/215/217</v>
      </c>
      <c r="E231" s="269">
        <v>4</v>
      </c>
      <c r="F231" s="252" t="str">
        <f>'Програма-имена+кабинети'!F106</f>
        <v>Д. Николова</v>
      </c>
      <c r="G231" s="254">
        <f>'Програма-имена+кабинети'!G106</f>
        <v>106</v>
      </c>
      <c r="H231" s="269">
        <v>4</v>
      </c>
      <c r="I231" s="252" t="str">
        <f>'Програма-имена+кабинети'!F161</f>
        <v>Петкова/Димитрова</v>
      </c>
      <c r="J231" s="254" t="str">
        <f>'Програма-имена+кабинети'!G161</f>
        <v>КК3/КК8</v>
      </c>
      <c r="K231" s="269">
        <v>4</v>
      </c>
      <c r="L231" s="252" t="str">
        <f>'Програма-имена+кабинети'!F216</f>
        <v>Д. Николова</v>
      </c>
      <c r="M231" s="254">
        <f>'Програма-имена+кабинети'!G216</f>
        <v>106</v>
      </c>
      <c r="N231" s="269">
        <v>4</v>
      </c>
      <c r="O231" s="252" t="str">
        <f>'Програма-имена+кабинети'!F270</f>
        <v>Петкова/Димитрова</v>
      </c>
      <c r="P231" s="254" t="str">
        <f>'Програма-имена+кабинети'!G270</f>
        <v>КК3/КК8</v>
      </c>
    </row>
    <row r="232" spans="1:17" ht="21" customHeight="1">
      <c r="A232" s="387"/>
      <c r="B232" s="285">
        <v>5</v>
      </c>
      <c r="C232" s="252" t="str">
        <f>'Програма-имена+кабинети'!F52</f>
        <v>Тонева</v>
      </c>
      <c r="D232" s="254" t="str">
        <f>'Програма-имена+кабинети'!G52</f>
        <v>ФС</v>
      </c>
      <c r="E232" s="269">
        <v>5</v>
      </c>
      <c r="F232" s="252" t="str">
        <f>'Програма-имена+кабинети'!F107</f>
        <v>Д. Николова</v>
      </c>
      <c r="G232" s="254">
        <f>'Програма-имена+кабинети'!G107</f>
        <v>106</v>
      </c>
      <c r="H232" s="269">
        <v>5</v>
      </c>
      <c r="I232" s="252" t="str">
        <f>'Програма-имена+кабинети'!F162</f>
        <v>Кирилова/Тодорова</v>
      </c>
      <c r="J232" s="254" t="str">
        <f>'Програма-имена+кабинети'!G162</f>
        <v>108/101-105</v>
      </c>
      <c r="K232" s="269">
        <v>5</v>
      </c>
      <c r="L232" s="252" t="str">
        <f>'Програма-имена+кабинети'!F217</f>
        <v>Батимов</v>
      </c>
      <c r="M232" s="254">
        <f>'Програма-имена+кабинети'!G217</f>
        <v>303</v>
      </c>
      <c r="N232" s="269">
        <v>5</v>
      </c>
      <c r="O232" s="252" t="str">
        <f>'Програма-имена+кабинети'!F271</f>
        <v>Славова</v>
      </c>
      <c r="P232" s="254">
        <f>'Програма-имена+кабинети'!G271</f>
        <v>114</v>
      </c>
      <c r="Q232" s="268"/>
    </row>
    <row r="233" spans="1:17" s="268" customFormat="1" ht="21" customHeight="1">
      <c r="A233" s="387"/>
      <c r="B233" s="285">
        <v>6</v>
      </c>
      <c r="C233" s="252" t="str">
        <f>'Програма-имена+кабинети'!F53</f>
        <v>Латева</v>
      </c>
      <c r="D233" s="254">
        <f>'Програма-имена+кабинети'!G53</f>
        <v>110</v>
      </c>
      <c r="E233" s="269">
        <v>6</v>
      </c>
      <c r="F233" s="252" t="str">
        <f>'Програма-имена+кабинети'!F108</f>
        <v>Латева</v>
      </c>
      <c r="G233" s="254">
        <f>'Програма-имена+кабинети'!G108</f>
        <v>110</v>
      </c>
      <c r="H233" s="269">
        <v>6</v>
      </c>
      <c r="I233" s="252" t="str">
        <f>'Програма-имена+кабинети'!F163</f>
        <v>Кирилова/Тодорова</v>
      </c>
      <c r="J233" s="254" t="str">
        <f>'Програма-имена+кабинети'!G163</f>
        <v>108/101-105</v>
      </c>
      <c r="K233" s="269">
        <v>6</v>
      </c>
      <c r="L233" s="252" t="str">
        <f>'Програма-имена+кабинети'!F218</f>
        <v>Колева</v>
      </c>
      <c r="M233" s="254">
        <f>'Програма-имена+кабинети'!G218</f>
        <v>202</v>
      </c>
      <c r="N233" s="269">
        <v>6</v>
      </c>
      <c r="O233" s="252" t="str">
        <f>'Програма-имена+кабинети'!F272</f>
        <v>Д. Николова</v>
      </c>
      <c r="P233" s="254">
        <f>'Програма-имена+кабинети'!G272</f>
        <v>106</v>
      </c>
      <c r="Q233" s="267"/>
    </row>
    <row r="234" spans="1:17" ht="21" customHeight="1">
      <c r="A234" s="387"/>
      <c r="B234" s="286">
        <v>7</v>
      </c>
      <c r="C234" s="253" t="str">
        <f>'Програма-имена+кабинети'!F54</f>
        <v>Батимов</v>
      </c>
      <c r="D234" s="255">
        <f>'Програма-имена+кабинети'!G54</f>
        <v>303</v>
      </c>
      <c r="E234" s="286">
        <v>7</v>
      </c>
      <c r="F234" s="253" t="str">
        <f>'Програма-имена+кабинети'!F109</f>
        <v>Славова</v>
      </c>
      <c r="G234" s="255">
        <f>'Програма-имена+кабинети'!G109</f>
        <v>114</v>
      </c>
      <c r="H234" s="286">
        <v>7</v>
      </c>
      <c r="I234" s="253" t="str">
        <f>'Програма-имена+кабинети'!F164</f>
        <v>Латева</v>
      </c>
      <c r="J234" s="255">
        <f>'Програма-имена+кабинети'!G164</f>
        <v>110</v>
      </c>
      <c r="K234" s="286">
        <v>7</v>
      </c>
      <c r="L234" s="253">
        <f>'Програма-имена+кабинети'!F219</f>
        <v>0</v>
      </c>
      <c r="M234" s="255" t="str">
        <f>'Програма-имена+кабинети'!G219</f>
        <v/>
      </c>
      <c r="N234" s="286">
        <v>7</v>
      </c>
      <c r="O234" s="253">
        <f>'Програма-имена+кабинети'!F273</f>
        <v>0</v>
      </c>
      <c r="P234" s="255" t="str">
        <f>'Програма-имена+кабинети'!G273</f>
        <v/>
      </c>
    </row>
    <row r="236" spans="1:17" ht="21" customHeight="1">
      <c r="A236" s="387" t="s">
        <v>51</v>
      </c>
      <c r="B236" s="260"/>
      <c r="C236" s="261" t="s">
        <v>24</v>
      </c>
      <c r="D236" s="262"/>
      <c r="E236" s="261"/>
      <c r="F236" s="261" t="s">
        <v>25</v>
      </c>
      <c r="G236" s="263" t="s">
        <v>214</v>
      </c>
      <c r="H236" s="266"/>
      <c r="I236" s="265" t="s">
        <v>26</v>
      </c>
      <c r="J236" s="263" t="s">
        <v>214</v>
      </c>
      <c r="K236" s="266"/>
      <c r="L236" s="266" t="s">
        <v>27</v>
      </c>
      <c r="M236" s="263" t="s">
        <v>214</v>
      </c>
      <c r="N236" s="266"/>
      <c r="O236" s="265" t="s">
        <v>28</v>
      </c>
      <c r="P236" s="305" t="s">
        <v>214</v>
      </c>
    </row>
    <row r="237" spans="1:17" ht="21" customHeight="1">
      <c r="A237" s="387"/>
      <c r="B237" s="285">
        <v>1</v>
      </c>
      <c r="C237" s="283" t="str">
        <f>'Програма-имена+кабинети'!H48</f>
        <v>Петкова/Димитрова</v>
      </c>
      <c r="D237" s="284" t="str">
        <f>'Програма-имена+кабинети'!I48</f>
        <v>КК3/КК8</v>
      </c>
      <c r="E237" s="269">
        <v>1</v>
      </c>
      <c r="F237" s="283" t="str">
        <f>'Програма-имена+кабинети'!H103</f>
        <v>Колева</v>
      </c>
      <c r="G237" s="284">
        <f>'Програма-имена+кабинети'!I103</f>
        <v>202</v>
      </c>
      <c r="H237" s="269">
        <v>1</v>
      </c>
      <c r="I237" s="283" t="str">
        <f>'Програма-имена+кабинети'!H158</f>
        <v>Колева</v>
      </c>
      <c r="J237" s="284">
        <f>'Програма-имена+кабинети'!I158</f>
        <v>202</v>
      </c>
      <c r="K237" s="269">
        <v>1</v>
      </c>
      <c r="L237" s="283" t="str">
        <f>'Програма-имена+кабинети'!H213</f>
        <v>Батимов</v>
      </c>
      <c r="M237" s="284">
        <f>'Програма-имена+кабинети'!I213</f>
        <v>303</v>
      </c>
      <c r="N237" s="269">
        <v>1</v>
      </c>
      <c r="O237" s="283" t="str">
        <f>'Програма-имена+кабинети'!H267</f>
        <v>Петкова/Димитрова</v>
      </c>
      <c r="P237" s="284" t="str">
        <f>'Програма-имена+кабинети'!I267</f>
        <v>КК3/КК8</v>
      </c>
    </row>
    <row r="238" spans="1:17" ht="21" customHeight="1">
      <c r="A238" s="387"/>
      <c r="B238" s="285">
        <v>2</v>
      </c>
      <c r="C238" s="252" t="str">
        <f>'Програма-имена+кабинети'!H49</f>
        <v>Батимов</v>
      </c>
      <c r="D238" s="254">
        <f>'Програма-имена+кабинети'!I49</f>
        <v>303</v>
      </c>
      <c r="E238" s="269">
        <v>2</v>
      </c>
      <c r="F238" s="252" t="str">
        <f>'Програма-имена+кабинети'!H104</f>
        <v>Колева</v>
      </c>
      <c r="G238" s="254">
        <f>'Програма-имена+кабинети'!I104</f>
        <v>202</v>
      </c>
      <c r="H238" s="269">
        <v>2</v>
      </c>
      <c r="I238" s="252" t="str">
        <f>'Програма-имена+кабинети'!H159</f>
        <v>Д. Николова</v>
      </c>
      <c r="J238" s="254">
        <f>'Програма-имена+кабинети'!I159</f>
        <v>106</v>
      </c>
      <c r="K238" s="269">
        <v>2</v>
      </c>
      <c r="L238" s="252" t="str">
        <f>'Програма-имена+кабинети'!H214</f>
        <v>Батимов</v>
      </c>
      <c r="M238" s="254">
        <f>'Програма-имена+кабинети'!I214</f>
        <v>303</v>
      </c>
      <c r="N238" s="269">
        <v>2</v>
      </c>
      <c r="O238" s="252" t="str">
        <f>'Програма-имена+кабинети'!H268</f>
        <v>Петкова/Димитрова</v>
      </c>
      <c r="P238" s="254" t="str">
        <f>'Програма-имена+кабинети'!I268</f>
        <v>КК3/КК8</v>
      </c>
    </row>
    <row r="239" spans="1:17" ht="21" customHeight="1">
      <c r="A239" s="387"/>
      <c r="B239" s="285">
        <v>3</v>
      </c>
      <c r="C239" s="252" t="str">
        <f>'Програма-имена+кабинети'!H50</f>
        <v>Даскалова</v>
      </c>
      <c r="D239" s="254" t="str">
        <f>'Програма-имена+кабинети'!I50</f>
        <v>107/108</v>
      </c>
      <c r="E239" s="269">
        <v>3</v>
      </c>
      <c r="F239" s="252" t="str">
        <f>'Програма-имена+кабинети'!H105</f>
        <v>Батимов</v>
      </c>
      <c r="G239" s="254">
        <f>'Програма-имена+кабинети'!I105</f>
        <v>303</v>
      </c>
      <c r="H239" s="269">
        <v>3</v>
      </c>
      <c r="I239" s="252" t="str">
        <f>'Програма-имена+кабинети'!H160</f>
        <v>Даскалова</v>
      </c>
      <c r="J239" s="254" t="str">
        <f>'Програма-имена+кабинети'!I160</f>
        <v>107/108</v>
      </c>
      <c r="K239" s="269">
        <v>3</v>
      </c>
      <c r="L239" s="252" t="str">
        <f>'Програма-имена+кабинети'!H215</f>
        <v>Даскалова</v>
      </c>
      <c r="M239" s="254" t="str">
        <f>'Програма-имена+кабинети'!I215</f>
        <v>107/108</v>
      </c>
      <c r="N239" s="269">
        <v>3</v>
      </c>
      <c r="O239" s="252" t="str">
        <f>'Програма-имена+кабинети'!H269</f>
        <v>Колева</v>
      </c>
      <c r="P239" s="254">
        <f>'Програма-имена+кабинети'!I269</f>
        <v>202</v>
      </c>
    </row>
    <row r="240" spans="1:17" ht="21" customHeight="1">
      <c r="A240" s="387"/>
      <c r="B240" s="285">
        <v>4</v>
      </c>
      <c r="C240" s="252" t="str">
        <f>'Програма-имена+кабинети'!H51</f>
        <v>Филипова</v>
      </c>
      <c r="D240" s="254" t="str">
        <f>'Програма-имена+кабинети'!I51</f>
        <v>109/110/301/302/306</v>
      </c>
      <c r="E240" s="269">
        <v>4</v>
      </c>
      <c r="F240" s="252" t="str">
        <f>'Програма-имена+кабинети'!H106</f>
        <v>Петкова/Димитрова</v>
      </c>
      <c r="G240" s="254" t="str">
        <f>'Програма-имена+кабинети'!I106</f>
        <v>КК3/КК8</v>
      </c>
      <c r="H240" s="269">
        <v>4</v>
      </c>
      <c r="I240" s="252" t="str">
        <f>'Програма-имена+кабинети'!H161</f>
        <v>Даскалова</v>
      </c>
      <c r="J240" s="254" t="str">
        <f>'Програма-имена+кабинети'!I161</f>
        <v>107/108</v>
      </c>
      <c r="K240" s="269">
        <v>4</v>
      </c>
      <c r="L240" s="252" t="str">
        <f>'Програма-имена+кабинети'!H216</f>
        <v>Филипова</v>
      </c>
      <c r="M240" s="254" t="str">
        <f>'Програма-имена+кабинети'!I216</f>
        <v>109/110/301/302/306</v>
      </c>
      <c r="N240" s="269">
        <v>4</v>
      </c>
      <c r="O240" s="252" t="str">
        <f>'Програма-имена+кабинети'!H270</f>
        <v>Даскалова</v>
      </c>
      <c r="P240" s="254" t="str">
        <f>'Програма-имена+кабинети'!I270</f>
        <v>107/108</v>
      </c>
    </row>
    <row r="241" spans="1:17" ht="21" customHeight="1">
      <c r="A241" s="387"/>
      <c r="B241" s="285">
        <v>5</v>
      </c>
      <c r="C241" s="252" t="str">
        <f>'Програма-имена+кабинети'!H52</f>
        <v>Влашинска</v>
      </c>
      <c r="D241" s="254" t="str">
        <f>'Програма-имена+кабинети'!I52</f>
        <v>212/214/215/217</v>
      </c>
      <c r="E241" s="269">
        <v>5</v>
      </c>
      <c r="F241" s="252" t="str">
        <f>'Програма-имена+кабинети'!H107</f>
        <v>Славова</v>
      </c>
      <c r="G241" s="254">
        <f>'Програма-имена+кабинети'!I107</f>
        <v>114</v>
      </c>
      <c r="H241" s="269">
        <v>5</v>
      </c>
      <c r="I241" s="252" t="str">
        <f>'Програма-имена+кабинети'!H162</f>
        <v>Батимов</v>
      </c>
      <c r="J241" s="254">
        <f>'Програма-имена+кабинети'!I162</f>
        <v>303</v>
      </c>
      <c r="K241" s="269">
        <v>5</v>
      </c>
      <c r="L241" s="252" t="str">
        <f>'Програма-имена+кабинети'!H217</f>
        <v>Д. Николова</v>
      </c>
      <c r="M241" s="254">
        <f>'Програма-имена+кабинети'!I217</f>
        <v>106</v>
      </c>
      <c r="N241" s="269">
        <v>5</v>
      </c>
      <c r="O241" s="252" t="str">
        <f>'Програма-имена+кабинети'!H271</f>
        <v>Д. Николова</v>
      </c>
      <c r="P241" s="254">
        <f>'Програма-имена+кабинети'!I271</f>
        <v>106</v>
      </c>
      <c r="Q241" s="268"/>
    </row>
    <row r="242" spans="1:17" ht="21" customHeight="1">
      <c r="A242" s="387"/>
      <c r="B242" s="285">
        <v>6</v>
      </c>
      <c r="C242" s="252" t="str">
        <f>'Програма-имена+кабинети'!H53</f>
        <v>Тонева</v>
      </c>
      <c r="D242" s="254" t="str">
        <f>'Програма-имена+кабинети'!I53</f>
        <v>ФС</v>
      </c>
      <c r="E242" s="269">
        <v>6</v>
      </c>
      <c r="F242" s="252" t="str">
        <f>'Програма-имена+кабинети'!H108</f>
        <v>Д. Николова</v>
      </c>
      <c r="G242" s="254">
        <f>'Програма-имена+кабинети'!I108</f>
        <v>106</v>
      </c>
      <c r="H242" s="269">
        <v>6</v>
      </c>
      <c r="I242" s="252" t="str">
        <f>'Програма-имена+кабинети'!H163</f>
        <v>Батимов</v>
      </c>
      <c r="J242" s="254">
        <f>'Програма-имена+кабинети'!I163</f>
        <v>303</v>
      </c>
      <c r="K242" s="269">
        <v>6</v>
      </c>
      <c r="L242" s="252" t="str">
        <f>'Програма-имена+кабинети'!H218</f>
        <v>Славова</v>
      </c>
      <c r="M242" s="254">
        <f>'Програма-имена+кабинети'!I218</f>
        <v>114</v>
      </c>
      <c r="N242" s="269">
        <v>6</v>
      </c>
      <c r="O242" s="252" t="str">
        <f>'Програма-имена+кабинети'!H272</f>
        <v>Тонева</v>
      </c>
      <c r="P242" s="254" t="str">
        <f>'Програма-имена+кабинети'!I272</f>
        <v>ФС</v>
      </c>
    </row>
    <row r="243" spans="1:17" ht="21" customHeight="1">
      <c r="A243" s="387"/>
      <c r="B243" s="286">
        <v>7</v>
      </c>
      <c r="C243" s="253" t="str">
        <f>'Програма-имена+кабинети'!H54</f>
        <v>Латева</v>
      </c>
      <c r="D243" s="255">
        <f>'Програма-имена+кабинети'!I54</f>
        <v>110</v>
      </c>
      <c r="E243" s="286">
        <v>7</v>
      </c>
      <c r="F243" s="253" t="str">
        <f>'Програма-имена+кабинети'!H109</f>
        <v>Д. Николова</v>
      </c>
      <c r="G243" s="255">
        <f>'Програма-имена+кабинети'!I109</f>
        <v>106</v>
      </c>
      <c r="H243" s="286">
        <v>7</v>
      </c>
      <c r="I243" s="253" t="str">
        <f>'Програма-имена+кабинети'!H164</f>
        <v>Д. Николова</v>
      </c>
      <c r="J243" s="255">
        <f>'Програма-имена+кабинети'!I164</f>
        <v>106</v>
      </c>
      <c r="K243" s="286">
        <v>7</v>
      </c>
      <c r="L243" s="253">
        <f>'Програма-имена+кабинети'!H219</f>
        <v>0</v>
      </c>
      <c r="M243" s="255" t="str">
        <f>'Програма-имена+кабинети'!I219</f>
        <v/>
      </c>
      <c r="N243" s="286">
        <v>7</v>
      </c>
      <c r="O243" s="253">
        <f>'Програма-имена+кабинети'!H273</f>
        <v>0</v>
      </c>
      <c r="P243" s="255" t="str">
        <f>'Програма-имена+кабинети'!I273</f>
        <v/>
      </c>
    </row>
    <row r="245" spans="1:17" ht="21" customHeight="1">
      <c r="A245" s="388" t="s">
        <v>52</v>
      </c>
      <c r="B245" s="260"/>
      <c r="C245" s="261" t="s">
        <v>24</v>
      </c>
      <c r="D245" s="262"/>
      <c r="E245" s="261"/>
      <c r="F245" s="261" t="s">
        <v>25</v>
      </c>
      <c r="G245" s="263" t="s">
        <v>214</v>
      </c>
      <c r="H245" s="266"/>
      <c r="I245" s="265" t="s">
        <v>26</v>
      </c>
      <c r="J245" s="263" t="s">
        <v>214</v>
      </c>
      <c r="K245" s="266"/>
      <c r="L245" s="266" t="s">
        <v>27</v>
      </c>
      <c r="M245" s="263" t="s">
        <v>214</v>
      </c>
      <c r="N245" s="266"/>
      <c r="O245" s="265" t="s">
        <v>28</v>
      </c>
      <c r="P245" s="305" t="s">
        <v>214</v>
      </c>
    </row>
    <row r="246" spans="1:17" ht="21" customHeight="1">
      <c r="A246" s="389"/>
      <c r="B246" s="285">
        <v>1</v>
      </c>
      <c r="C246" s="283" t="str">
        <f>'Програма-имена+кабинети'!J48</f>
        <v>Минчева</v>
      </c>
      <c r="D246" s="284" t="str">
        <f>'Програма-имена+кабинети'!K48</f>
        <v>212/214/215/217</v>
      </c>
      <c r="E246" s="269">
        <v>1</v>
      </c>
      <c r="F246" s="283" t="str">
        <f>'Програма-имена+кабинети'!J103</f>
        <v>Д. Николова</v>
      </c>
      <c r="G246" s="284">
        <f>'Програма-имена+кабинети'!K103</f>
        <v>106</v>
      </c>
      <c r="H246" s="269">
        <v>1</v>
      </c>
      <c r="I246" s="283" t="str">
        <f>'Програма-имена+кабинети'!J158</f>
        <v>Тонева</v>
      </c>
      <c r="J246" s="284" t="str">
        <f>'Програма-имена+кабинети'!K158</f>
        <v>ФС</v>
      </c>
      <c r="K246" s="269">
        <v>1</v>
      </c>
      <c r="L246" s="283" t="str">
        <f>'Програма-имена+кабинети'!J213</f>
        <v>Минчева</v>
      </c>
      <c r="M246" s="284" t="str">
        <f>'Програма-имена+кабинети'!K213</f>
        <v>212/214/215/217</v>
      </c>
      <c r="N246" s="269">
        <v>1</v>
      </c>
      <c r="O246" s="283" t="str">
        <f>'Програма-имена+кабинети'!J267</f>
        <v>Коларова</v>
      </c>
      <c r="P246" s="284" t="str">
        <f>'Програма-имена+кабинети'!K267</f>
        <v>212/214/215/217</v>
      </c>
    </row>
    <row r="247" spans="1:17" ht="21" customHeight="1">
      <c r="A247" s="389"/>
      <c r="B247" s="285">
        <v>2</v>
      </c>
      <c r="C247" s="252" t="str">
        <f>'Програма-имена+кабинети'!J49</f>
        <v>Влашинска</v>
      </c>
      <c r="D247" s="254" t="str">
        <f>'Програма-имена+кабинети'!K49</f>
        <v>212/214/215/217</v>
      </c>
      <c r="E247" s="269">
        <v>2</v>
      </c>
      <c r="F247" s="252" t="str">
        <f>'Програма-имена+кабинети'!J104</f>
        <v>Д. Николова</v>
      </c>
      <c r="G247" s="254">
        <f>'Програма-имена+кабинети'!K104</f>
        <v>106</v>
      </c>
      <c r="H247" s="269">
        <v>2</v>
      </c>
      <c r="I247" s="252" t="str">
        <f>'Програма-имена+кабинети'!J159</f>
        <v>Коларова</v>
      </c>
      <c r="J247" s="254" t="str">
        <f>'Програма-имена+кабинети'!K159</f>
        <v>212/214/215/217</v>
      </c>
      <c r="K247" s="269">
        <v>2</v>
      </c>
      <c r="L247" s="252" t="str">
        <f>'Програма-имена+кабинети'!J214</f>
        <v>Минчева</v>
      </c>
      <c r="M247" s="254" t="str">
        <f>'Програма-имена+кабинети'!K214</f>
        <v>212/214/215/217</v>
      </c>
      <c r="N247" s="269">
        <v>2</v>
      </c>
      <c r="O247" s="252" t="str">
        <f>'Програма-имена+кабинети'!J268</f>
        <v>Колева</v>
      </c>
      <c r="P247" s="254">
        <f>'Програма-имена+кабинети'!K268</f>
        <v>202</v>
      </c>
    </row>
    <row r="248" spans="1:17" ht="21" customHeight="1">
      <c r="A248" s="389"/>
      <c r="B248" s="285">
        <v>3</v>
      </c>
      <c r="C248" s="252" t="str">
        <f>'Програма-имена+кабинети'!J50</f>
        <v>Колева</v>
      </c>
      <c r="D248" s="254">
        <f>'Програма-имена+кабинети'!K50</f>
        <v>202</v>
      </c>
      <c r="E248" s="269">
        <v>3</v>
      </c>
      <c r="F248" s="252" t="str">
        <f>'Програма-имена+кабинети'!J105</f>
        <v>Латева</v>
      </c>
      <c r="G248" s="254">
        <f>'Програма-имена+кабинети'!K105</f>
        <v>110</v>
      </c>
      <c r="H248" s="269">
        <v>3</v>
      </c>
      <c r="I248" s="252" t="str">
        <f>'Програма-имена+кабинети'!J160</f>
        <v>Минчева</v>
      </c>
      <c r="J248" s="254" t="str">
        <f>'Програма-имена+кабинети'!K160</f>
        <v>212/214/215/217</v>
      </c>
      <c r="K248" s="269">
        <v>3</v>
      </c>
      <c r="L248" s="252" t="str">
        <f>'Програма-имена+кабинети'!J215</f>
        <v>Колева</v>
      </c>
      <c r="M248" s="254">
        <f>'Програма-имена+кабинети'!K215</f>
        <v>202</v>
      </c>
      <c r="N248" s="269">
        <v>3</v>
      </c>
      <c r="O248" s="252" t="str">
        <f>'Програма-имена+кабинети'!J269</f>
        <v>Д. Николова</v>
      </c>
      <c r="P248" s="254">
        <f>'Програма-имена+кабинети'!K269</f>
        <v>106</v>
      </c>
    </row>
    <row r="249" spans="1:17" ht="21" customHeight="1">
      <c r="A249" s="389"/>
      <c r="B249" s="285">
        <v>4</v>
      </c>
      <c r="C249" s="252" t="str">
        <f>'Програма-имена+кабинети'!J51</f>
        <v>Колева</v>
      </c>
      <c r="D249" s="254">
        <f>'Програма-имена+кабинети'!K51</f>
        <v>202</v>
      </c>
      <c r="E249" s="269">
        <v>4</v>
      </c>
      <c r="F249" s="252" t="str">
        <f>'Програма-имена+кабинети'!J106</f>
        <v>Мерджанова</v>
      </c>
      <c r="G249" s="254">
        <f>'Програма-имена+кабинети'!K106</f>
        <v>304</v>
      </c>
      <c r="H249" s="269">
        <v>4</v>
      </c>
      <c r="I249" s="252" t="str">
        <f>'Програма-имена+кабинети'!J161</f>
        <v>Минчева</v>
      </c>
      <c r="J249" s="254" t="str">
        <f>'Програма-имена+кабинети'!K161</f>
        <v>212/214/215/217</v>
      </c>
      <c r="K249" s="269">
        <v>4</v>
      </c>
      <c r="L249" s="252" t="str">
        <f>'Програма-имена+кабинети'!J216</f>
        <v>Мерджанова</v>
      </c>
      <c r="M249" s="254">
        <f>'Програма-имена+кабинети'!K216</f>
        <v>304</v>
      </c>
      <c r="N249" s="269">
        <v>4</v>
      </c>
      <c r="O249" s="252" t="str">
        <f>'Програма-имена+кабинети'!J270</f>
        <v>Славова</v>
      </c>
      <c r="P249" s="254">
        <f>'Програма-имена+кабинети'!K270</f>
        <v>114</v>
      </c>
    </row>
    <row r="250" spans="1:17" ht="21" customHeight="1">
      <c r="A250" s="389"/>
      <c r="B250" s="285">
        <v>5</v>
      </c>
      <c r="C250" s="252" t="str">
        <f>'Програма-имена+кабинети'!J52</f>
        <v>Филипова</v>
      </c>
      <c r="D250" s="254" t="str">
        <f>'Програма-имена+кабинети'!K52</f>
        <v>109/110/301/302/306</v>
      </c>
      <c r="E250" s="269">
        <v>5</v>
      </c>
      <c r="F250" s="252" t="str">
        <f>'Програма-имена+кабинети'!J107</f>
        <v>Тонева</v>
      </c>
      <c r="G250" s="254" t="str">
        <f>'Програма-имена+кабинети'!K107</f>
        <v>ФС</v>
      </c>
      <c r="H250" s="269">
        <v>5</v>
      </c>
      <c r="I250" s="252" t="str">
        <f>'Програма-имена+кабинети'!J162</f>
        <v>Д. Николова</v>
      </c>
      <c r="J250" s="254">
        <f>'Програма-имена+кабинети'!K162</f>
        <v>106</v>
      </c>
      <c r="K250" s="269">
        <v>5</v>
      </c>
      <c r="L250" s="252" t="str">
        <f>'Програма-имена+кабинети'!J217</f>
        <v>Филипова</v>
      </c>
      <c r="M250" s="254" t="str">
        <f>'Програма-имена+кабинети'!K217</f>
        <v>109/110/301/302/306</v>
      </c>
      <c r="N250" s="269">
        <v>5</v>
      </c>
      <c r="O250" s="252" t="str">
        <f>'Програма-имена+кабинети'!J271</f>
        <v>Кирилова/Тодорова</v>
      </c>
      <c r="P250" s="254" t="str">
        <f>'Програма-имена+кабинети'!K271</f>
        <v>108/101-105</v>
      </c>
      <c r="Q250" s="268"/>
    </row>
    <row r="251" spans="1:17" ht="21" customHeight="1">
      <c r="A251" s="389"/>
      <c r="B251" s="285">
        <v>6</v>
      </c>
      <c r="C251" s="252" t="str">
        <f>'Програма-имена+кабинети'!J53</f>
        <v>Коларова</v>
      </c>
      <c r="D251" s="254" t="str">
        <f>'Програма-имена+кабинети'!K53</f>
        <v>212/214/215/217</v>
      </c>
      <c r="E251" s="269">
        <v>6</v>
      </c>
      <c r="F251" s="252" t="str">
        <f>'Програма-имена+кабинети'!J108</f>
        <v>Славова</v>
      </c>
      <c r="G251" s="254">
        <f>'Програма-имена+кабинети'!K108</f>
        <v>114</v>
      </c>
      <c r="H251" s="269">
        <v>6</v>
      </c>
      <c r="I251" s="252" t="str">
        <f>'Програма-имена+кабинети'!J163</f>
        <v>Д. Николова</v>
      </c>
      <c r="J251" s="254">
        <f>'Програма-имена+кабинети'!K163</f>
        <v>106</v>
      </c>
      <c r="K251" s="269">
        <v>6</v>
      </c>
      <c r="L251" s="252" t="str">
        <f>'Програма-имена+кабинети'!J218</f>
        <v>Коларова</v>
      </c>
      <c r="M251" s="254" t="str">
        <f>'Програма-имена+кабинети'!K218</f>
        <v>212/214/215/217</v>
      </c>
      <c r="N251" s="269">
        <v>6</v>
      </c>
      <c r="O251" s="252" t="str">
        <f>'Програма-имена+кабинети'!J272</f>
        <v>Кирилова/Тодорова</v>
      </c>
      <c r="P251" s="254" t="str">
        <f>'Програма-имена+кабинети'!K272</f>
        <v>108/101-105</v>
      </c>
    </row>
    <row r="252" spans="1:17" ht="21" customHeight="1">
      <c r="A252" s="390"/>
      <c r="B252" s="286">
        <v>7</v>
      </c>
      <c r="C252" s="253" t="str">
        <f>'Програма-имена+кабинети'!J54</f>
        <v>Коларова</v>
      </c>
      <c r="D252" s="255" t="str">
        <f>'Програма-имена+кабинети'!K54</f>
        <v>212/214/215/217</v>
      </c>
      <c r="E252" s="286">
        <v>7</v>
      </c>
      <c r="F252" s="253" t="str">
        <f>'Програма-имена+кабинети'!J109</f>
        <v>Минчева</v>
      </c>
      <c r="G252" s="255" t="str">
        <f>'Програма-имена+кабинети'!K109</f>
        <v>212/214/215/217</v>
      </c>
      <c r="H252" s="286">
        <v>7</v>
      </c>
      <c r="I252" s="253" t="str">
        <f>'Програма-имена+кабинети'!J164</f>
        <v>Минчева</v>
      </c>
      <c r="J252" s="255" t="str">
        <f>'Програма-имена+кабинети'!K164</f>
        <v>212/214/215/217</v>
      </c>
      <c r="K252" s="286">
        <v>7</v>
      </c>
      <c r="L252" s="253">
        <f>'Програма-имена+кабинети'!J219</f>
        <v>0</v>
      </c>
      <c r="M252" s="255" t="str">
        <f>'Програма-имена+кабинети'!K219</f>
        <v/>
      </c>
      <c r="N252" s="286">
        <v>7</v>
      </c>
      <c r="O252" s="253">
        <f>'Програма-имена+кабинети'!J273</f>
        <v>0</v>
      </c>
      <c r="P252" s="255" t="str">
        <f>'Програма-имена+кабинети'!K273</f>
        <v/>
      </c>
    </row>
    <row r="284" spans="17:17" ht="21" customHeight="1">
      <c r="Q284" s="268"/>
    </row>
  </sheetData>
  <mergeCells count="28">
    <mergeCell ref="A218:A225"/>
    <mergeCell ref="A227:A234"/>
    <mergeCell ref="A236:A243"/>
    <mergeCell ref="A245:A252"/>
    <mergeCell ref="A164:A171"/>
    <mergeCell ref="A173:A180"/>
    <mergeCell ref="A182:A189"/>
    <mergeCell ref="A191:A198"/>
    <mergeCell ref="A200:A207"/>
    <mergeCell ref="A209:A216"/>
    <mergeCell ref="A155:A162"/>
    <mergeCell ref="A56:A63"/>
    <mergeCell ref="A65:A72"/>
    <mergeCell ref="A74:A81"/>
    <mergeCell ref="A83:A90"/>
    <mergeCell ref="A92:A99"/>
    <mergeCell ref="A101:A108"/>
    <mergeCell ref="A110:A117"/>
    <mergeCell ref="A119:A126"/>
    <mergeCell ref="A128:A135"/>
    <mergeCell ref="A137:A144"/>
    <mergeCell ref="A146:A153"/>
    <mergeCell ref="A47:A54"/>
    <mergeCell ref="A2:A9"/>
    <mergeCell ref="A11:A18"/>
    <mergeCell ref="A20:A27"/>
    <mergeCell ref="A29:A36"/>
    <mergeCell ref="A38:A45"/>
  </mergeCells>
  <printOptions horizontalCentered="1"/>
  <pageMargins left="0.19685039370078741" right="0.19685039370078741" top="0.19685039370078741" bottom="0.19685039370078741" header="0.51181102362204722" footer="0.51181102362204722"/>
  <pageSetup paperSize="9" orientation="landscape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52"/>
  <sheetViews>
    <sheetView topLeftCell="A13" zoomScale="130" zoomScaleNormal="130" workbookViewId="0">
      <selection activeCell="C3" sqref="C3"/>
    </sheetView>
  </sheetViews>
  <sheetFormatPr defaultColWidth="9.140625" defaultRowHeight="12"/>
  <cols>
    <col min="1" max="1" width="4.28515625" style="31" customWidth="1"/>
    <col min="2" max="2" width="12.140625" style="23" customWidth="1"/>
    <col min="3" max="7" width="3.42578125" style="31" customWidth="1"/>
    <col min="8" max="9" width="3.7109375" style="31" customWidth="1"/>
    <col min="10" max="23" width="3.5703125" style="31" customWidth="1"/>
    <col min="24" max="36" width="3.42578125" style="31" customWidth="1"/>
    <col min="37" max="37" width="1.5703125" style="31" customWidth="1"/>
    <col min="38" max="16384" width="9.140625" style="23"/>
  </cols>
  <sheetData>
    <row r="1" spans="1:37" ht="10.5" customHeight="1">
      <c r="A1" s="37"/>
      <c r="B1" s="38"/>
      <c r="C1" s="391" t="s">
        <v>24</v>
      </c>
      <c r="D1" s="392"/>
      <c r="E1" s="392"/>
      <c r="F1" s="392"/>
      <c r="G1" s="392"/>
      <c r="H1" s="392"/>
      <c r="I1" s="392"/>
      <c r="J1" s="392" t="s">
        <v>25</v>
      </c>
      <c r="K1" s="392"/>
      <c r="L1" s="392"/>
      <c r="M1" s="392"/>
      <c r="N1" s="392"/>
      <c r="O1" s="392"/>
      <c r="P1" s="392"/>
      <c r="Q1" s="392" t="s">
        <v>26</v>
      </c>
      <c r="R1" s="392"/>
      <c r="S1" s="392"/>
      <c r="T1" s="392"/>
      <c r="U1" s="392"/>
      <c r="V1" s="392"/>
      <c r="W1" s="392"/>
      <c r="X1" s="392" t="s">
        <v>27</v>
      </c>
      <c r="Y1" s="392"/>
      <c r="Z1" s="392"/>
      <c r="AA1" s="392"/>
      <c r="AB1" s="392"/>
      <c r="AC1" s="392"/>
      <c r="AD1" s="392"/>
      <c r="AE1" s="392" t="s">
        <v>28</v>
      </c>
      <c r="AF1" s="392"/>
      <c r="AG1" s="392"/>
      <c r="AH1" s="392"/>
      <c r="AI1" s="392"/>
      <c r="AJ1" s="392"/>
      <c r="AK1" s="392"/>
    </row>
    <row r="2" spans="1:37" s="32" customFormat="1" ht="9" customHeight="1">
      <c r="A2" s="39"/>
      <c r="B2" s="40"/>
      <c r="C2" s="36">
        <v>1</v>
      </c>
      <c r="D2" s="19">
        <v>2</v>
      </c>
      <c r="E2" s="19">
        <v>3</v>
      </c>
      <c r="F2" s="19">
        <v>4</v>
      </c>
      <c r="G2" s="19">
        <v>5</v>
      </c>
      <c r="H2" s="19">
        <v>6</v>
      </c>
      <c r="I2" s="19">
        <v>7</v>
      </c>
      <c r="J2" s="19">
        <v>1</v>
      </c>
      <c r="K2" s="19">
        <v>2</v>
      </c>
      <c r="L2" s="19">
        <v>3</v>
      </c>
      <c r="M2" s="19">
        <v>4</v>
      </c>
      <c r="N2" s="19">
        <v>5</v>
      </c>
      <c r="O2" s="19">
        <v>6</v>
      </c>
      <c r="P2" s="19">
        <v>7</v>
      </c>
      <c r="Q2" s="19">
        <v>1</v>
      </c>
      <c r="R2" s="19">
        <v>2</v>
      </c>
      <c r="S2" s="19">
        <v>3</v>
      </c>
      <c r="T2" s="19">
        <v>4</v>
      </c>
      <c r="U2" s="19">
        <v>5</v>
      </c>
      <c r="V2" s="19">
        <v>6</v>
      </c>
      <c r="W2" s="19">
        <v>7</v>
      </c>
      <c r="X2" s="19">
        <v>1</v>
      </c>
      <c r="Y2" s="19">
        <v>2</v>
      </c>
      <c r="Z2" s="19">
        <v>3</v>
      </c>
      <c r="AA2" s="19">
        <v>4</v>
      </c>
      <c r="AB2" s="19">
        <v>5</v>
      </c>
      <c r="AC2" s="19">
        <v>6</v>
      </c>
      <c r="AD2" s="19">
        <v>7</v>
      </c>
      <c r="AE2" s="19">
        <v>1</v>
      </c>
      <c r="AF2" s="19">
        <v>2</v>
      </c>
      <c r="AG2" s="19">
        <v>3</v>
      </c>
      <c r="AH2" s="19">
        <v>4</v>
      </c>
      <c r="AI2" s="19">
        <v>5</v>
      </c>
      <c r="AJ2" s="19">
        <v>6</v>
      </c>
      <c r="AK2" s="19">
        <v>7</v>
      </c>
    </row>
    <row r="3" spans="1:37" ht="9.75" customHeight="1">
      <c r="A3" s="41">
        <v>1</v>
      </c>
      <c r="B3" s="42" t="str">
        <f>Списък!B2</f>
        <v xml:space="preserve"> </v>
      </c>
      <c r="C3" s="34" t="s">
        <v>54</v>
      </c>
      <c r="D3" s="10" t="s">
        <v>54</v>
      </c>
      <c r="E3" s="10" t="s">
        <v>54</v>
      </c>
      <c r="F3" s="10" t="s">
        <v>54</v>
      </c>
      <c r="G3" s="10" t="s">
        <v>54</v>
      </c>
      <c r="H3" s="10" t="s">
        <v>54</v>
      </c>
      <c r="I3" s="10" t="s">
        <v>54</v>
      </c>
      <c r="J3" s="20" t="s">
        <v>54</v>
      </c>
      <c r="K3" s="20" t="s">
        <v>54</v>
      </c>
      <c r="L3" s="20" t="s">
        <v>54</v>
      </c>
      <c r="M3" s="20" t="s">
        <v>54</v>
      </c>
      <c r="N3" s="20" t="s">
        <v>54</v>
      </c>
      <c r="O3" s="20" t="s">
        <v>54</v>
      </c>
      <c r="P3" s="20" t="s">
        <v>54</v>
      </c>
      <c r="Q3" s="10" t="s">
        <v>54</v>
      </c>
      <c r="R3" s="10" t="s">
        <v>54</v>
      </c>
      <c r="S3" s="10" t="s">
        <v>54</v>
      </c>
      <c r="T3" s="10" t="s">
        <v>54</v>
      </c>
      <c r="U3" s="10" t="s">
        <v>54</v>
      </c>
      <c r="V3" s="10" t="s">
        <v>54</v>
      </c>
      <c r="W3" s="33" t="s">
        <v>54</v>
      </c>
      <c r="X3" s="20" t="s">
        <v>54</v>
      </c>
      <c r="Y3" s="20" t="s">
        <v>54</v>
      </c>
      <c r="Z3" s="20" t="s">
        <v>54</v>
      </c>
      <c r="AA3" s="20" t="s">
        <v>54</v>
      </c>
      <c r="AB3" s="20" t="s">
        <v>54</v>
      </c>
      <c r="AC3" s="20" t="s">
        <v>54</v>
      </c>
      <c r="AD3" s="204" t="s">
        <v>54</v>
      </c>
      <c r="AE3" s="10" t="s">
        <v>54</v>
      </c>
      <c r="AF3" s="10" t="s">
        <v>54</v>
      </c>
      <c r="AG3" s="10" t="s">
        <v>54</v>
      </c>
      <c r="AH3" s="10" t="s">
        <v>54</v>
      </c>
      <c r="AI3" s="10" t="s">
        <v>54</v>
      </c>
      <c r="AJ3" s="10" t="s">
        <v>54</v>
      </c>
      <c r="AK3" s="22" t="s">
        <v>54</v>
      </c>
    </row>
    <row r="4" spans="1:37" ht="11.25" customHeight="1">
      <c r="A4" s="35">
        <v>2</v>
      </c>
      <c r="B4" s="42" t="str">
        <f>Списък!B3</f>
        <v>Н. Николова</v>
      </c>
      <c r="C4" s="34" t="s">
        <v>54</v>
      </c>
      <c r="D4" s="10" t="s">
        <v>54</v>
      </c>
      <c r="E4" s="10" t="s">
        <v>54</v>
      </c>
      <c r="F4" s="10" t="s">
        <v>54</v>
      </c>
      <c r="G4" s="10" t="s">
        <v>54</v>
      </c>
      <c r="H4" s="10" t="s">
        <v>17</v>
      </c>
      <c r="I4" s="10" t="s">
        <v>46</v>
      </c>
      <c r="J4" s="20" t="s">
        <v>54</v>
      </c>
      <c r="K4" s="20" t="s">
        <v>54</v>
      </c>
      <c r="L4" s="20" t="s">
        <v>54</v>
      </c>
      <c r="M4" s="20" t="s">
        <v>2</v>
      </c>
      <c r="N4" s="20" t="s">
        <v>15</v>
      </c>
      <c r="O4" s="20" t="s">
        <v>16</v>
      </c>
      <c r="P4" s="20" t="s">
        <v>18</v>
      </c>
      <c r="Q4" s="10" t="s">
        <v>2</v>
      </c>
      <c r="R4" s="10" t="s">
        <v>2</v>
      </c>
      <c r="S4" s="10" t="s">
        <v>54</v>
      </c>
      <c r="T4" s="10" t="s">
        <v>54</v>
      </c>
      <c r="U4" s="10" t="s">
        <v>54</v>
      </c>
      <c r="V4" s="10" t="s">
        <v>54</v>
      </c>
      <c r="W4" s="33" t="s">
        <v>54</v>
      </c>
      <c r="X4" s="20" t="s">
        <v>46</v>
      </c>
      <c r="Y4" s="20" t="s">
        <v>46</v>
      </c>
      <c r="Z4" s="20" t="s">
        <v>17</v>
      </c>
      <c r="AA4" s="20" t="s">
        <v>17</v>
      </c>
      <c r="AB4" s="20" t="s">
        <v>18</v>
      </c>
      <c r="AC4" s="20" t="s">
        <v>18</v>
      </c>
      <c r="AD4" s="204" t="s">
        <v>54</v>
      </c>
      <c r="AE4" s="10" t="s">
        <v>15</v>
      </c>
      <c r="AF4" s="10" t="s">
        <v>15</v>
      </c>
      <c r="AG4" s="10" t="s">
        <v>54</v>
      </c>
      <c r="AH4" s="10" t="s">
        <v>16</v>
      </c>
      <c r="AI4" s="10" t="s">
        <v>16</v>
      </c>
      <c r="AJ4" s="10" t="s">
        <v>2</v>
      </c>
      <c r="AK4" s="22" t="s">
        <v>54</v>
      </c>
    </row>
    <row r="5" spans="1:37" ht="11.25" customHeight="1">
      <c r="A5" s="35">
        <v>3</v>
      </c>
      <c r="B5" s="42" t="str">
        <f>Списък!B4</f>
        <v>Трифонова</v>
      </c>
      <c r="C5" s="34">
        <v>6</v>
      </c>
      <c r="D5" s="10" t="s">
        <v>113</v>
      </c>
      <c r="E5" s="10" t="s">
        <v>54</v>
      </c>
      <c r="F5" s="10">
        <v>7</v>
      </c>
      <c r="G5" s="10">
        <v>7</v>
      </c>
      <c r="H5" s="10" t="s">
        <v>54</v>
      </c>
      <c r="I5" s="10" t="s">
        <v>54</v>
      </c>
      <c r="J5" s="20" t="s">
        <v>54</v>
      </c>
      <c r="K5" s="20" t="s">
        <v>54</v>
      </c>
      <c r="L5" s="20" t="s">
        <v>54</v>
      </c>
      <c r="M5" s="20" t="s">
        <v>54</v>
      </c>
      <c r="N5" s="20">
        <v>7</v>
      </c>
      <c r="O5" s="20">
        <v>6</v>
      </c>
      <c r="P5" s="20" t="s">
        <v>3</v>
      </c>
      <c r="Q5" s="10" t="s">
        <v>54</v>
      </c>
      <c r="R5" s="10" t="s">
        <v>113</v>
      </c>
      <c r="S5" s="10">
        <v>6</v>
      </c>
      <c r="T5" s="10">
        <v>7</v>
      </c>
      <c r="U5" s="10" t="s">
        <v>54</v>
      </c>
      <c r="V5" s="10" t="s">
        <v>3</v>
      </c>
      <c r="W5" s="33">
        <v>7</v>
      </c>
      <c r="X5" s="20" t="s">
        <v>54</v>
      </c>
      <c r="Y5" s="20" t="s">
        <v>54</v>
      </c>
      <c r="Z5" s="20">
        <v>7</v>
      </c>
      <c r="AA5" s="20" t="s">
        <v>54</v>
      </c>
      <c r="AB5" s="20">
        <v>6</v>
      </c>
      <c r="AC5" s="20">
        <v>6</v>
      </c>
      <c r="AD5" s="204" t="s">
        <v>54</v>
      </c>
      <c r="AE5" s="10" t="s">
        <v>113</v>
      </c>
      <c r="AF5" s="10" t="s">
        <v>113</v>
      </c>
      <c r="AG5" s="10">
        <v>7</v>
      </c>
      <c r="AH5" s="10">
        <v>7</v>
      </c>
      <c r="AI5" s="10" t="s">
        <v>3</v>
      </c>
      <c r="AJ5" s="10" t="s">
        <v>3</v>
      </c>
      <c r="AK5" s="22" t="s">
        <v>54</v>
      </c>
    </row>
    <row r="6" spans="1:37" ht="11.25" customHeight="1">
      <c r="A6" s="35">
        <v>4</v>
      </c>
      <c r="B6" s="42" t="str">
        <f>Списък!B5</f>
        <v>Вълчева</v>
      </c>
      <c r="C6" s="34" t="s">
        <v>54</v>
      </c>
      <c r="D6" s="10" t="s">
        <v>11</v>
      </c>
      <c r="E6" s="10" t="s">
        <v>11</v>
      </c>
      <c r="F6" s="10" t="s">
        <v>54</v>
      </c>
      <c r="G6" s="10" t="s">
        <v>1</v>
      </c>
      <c r="H6" s="10" t="s">
        <v>13</v>
      </c>
      <c r="I6" s="10" t="s">
        <v>13</v>
      </c>
      <c r="J6" s="20" t="s">
        <v>1</v>
      </c>
      <c r="K6" s="20" t="s">
        <v>14</v>
      </c>
      <c r="L6" s="20" t="s">
        <v>14</v>
      </c>
      <c r="M6" s="20" t="s">
        <v>10</v>
      </c>
      <c r="N6" s="20" t="s">
        <v>10</v>
      </c>
      <c r="O6" s="20" t="s">
        <v>54</v>
      </c>
      <c r="P6" s="20" t="s">
        <v>54</v>
      </c>
      <c r="Q6" s="10" t="s">
        <v>54</v>
      </c>
      <c r="R6" s="10" t="s">
        <v>54</v>
      </c>
      <c r="S6" s="10" t="s">
        <v>54</v>
      </c>
      <c r="T6" s="10" t="s">
        <v>54</v>
      </c>
      <c r="U6" s="10" t="s">
        <v>12</v>
      </c>
      <c r="V6" s="10" t="s">
        <v>12</v>
      </c>
      <c r="W6" s="33" t="s">
        <v>1</v>
      </c>
      <c r="X6" s="20" t="s">
        <v>54</v>
      </c>
      <c r="Y6" s="20" t="s">
        <v>54</v>
      </c>
      <c r="Z6" s="20" t="s">
        <v>54</v>
      </c>
      <c r="AA6" s="20" t="s">
        <v>54</v>
      </c>
      <c r="AB6" s="20" t="s">
        <v>11</v>
      </c>
      <c r="AC6" s="20" t="s">
        <v>13</v>
      </c>
      <c r="AD6" s="204" t="s">
        <v>54</v>
      </c>
      <c r="AE6" s="10" t="s">
        <v>1</v>
      </c>
      <c r="AF6" s="10" t="s">
        <v>1</v>
      </c>
      <c r="AG6" s="10" t="s">
        <v>54</v>
      </c>
      <c r="AH6" s="10" t="s">
        <v>14</v>
      </c>
      <c r="AI6" s="10" t="s">
        <v>10</v>
      </c>
      <c r="AJ6" s="10" t="s">
        <v>12</v>
      </c>
      <c r="AK6" s="22" t="s">
        <v>54</v>
      </c>
    </row>
    <row r="7" spans="1:37" ht="11.25" customHeight="1">
      <c r="A7" s="35">
        <v>5</v>
      </c>
      <c r="B7" s="42" t="str">
        <f>Списък!B6</f>
        <v>Колева</v>
      </c>
      <c r="C7" s="34" t="s">
        <v>50</v>
      </c>
      <c r="D7" s="10" t="s">
        <v>50</v>
      </c>
      <c r="E7" s="10" t="s">
        <v>52</v>
      </c>
      <c r="F7" s="10" t="s">
        <v>52</v>
      </c>
      <c r="G7" s="10" t="s">
        <v>54</v>
      </c>
      <c r="H7" s="10" t="s">
        <v>48</v>
      </c>
      <c r="I7" s="10" t="s">
        <v>48</v>
      </c>
      <c r="J7" s="20" t="s">
        <v>51</v>
      </c>
      <c r="K7" s="20" t="s">
        <v>51</v>
      </c>
      <c r="L7" s="20" t="s">
        <v>49</v>
      </c>
      <c r="M7" s="20" t="s">
        <v>49</v>
      </c>
      <c r="N7" s="20" t="s">
        <v>54</v>
      </c>
      <c r="O7" s="20" t="s">
        <v>4</v>
      </c>
      <c r="P7" s="20" t="s">
        <v>4</v>
      </c>
      <c r="Q7" s="10" t="s">
        <v>51</v>
      </c>
      <c r="R7" s="10" t="s">
        <v>48</v>
      </c>
      <c r="S7" s="10" t="s">
        <v>50</v>
      </c>
      <c r="T7" s="10" t="s">
        <v>54</v>
      </c>
      <c r="U7" s="10" t="s">
        <v>54</v>
      </c>
      <c r="V7" s="10" t="s">
        <v>54</v>
      </c>
      <c r="W7" s="33" t="s">
        <v>54</v>
      </c>
      <c r="X7" s="20" t="s">
        <v>4</v>
      </c>
      <c r="Y7" s="20" t="s">
        <v>49</v>
      </c>
      <c r="Z7" s="20" t="s">
        <v>52</v>
      </c>
      <c r="AA7" s="20" t="s">
        <v>54</v>
      </c>
      <c r="AB7" s="20" t="s">
        <v>48</v>
      </c>
      <c r="AC7" s="20" t="s">
        <v>50</v>
      </c>
      <c r="AD7" s="204" t="s">
        <v>54</v>
      </c>
      <c r="AE7" s="10" t="s">
        <v>4</v>
      </c>
      <c r="AF7" s="10" t="s">
        <v>52</v>
      </c>
      <c r="AG7" s="10" t="s">
        <v>51</v>
      </c>
      <c r="AH7" s="10" t="s">
        <v>49</v>
      </c>
      <c r="AI7" s="10" t="s">
        <v>54</v>
      </c>
      <c r="AJ7" s="10" t="s">
        <v>54</v>
      </c>
      <c r="AK7" s="22" t="s">
        <v>54</v>
      </c>
    </row>
    <row r="8" spans="1:37" ht="11.25" customHeight="1">
      <c r="A8" s="35">
        <v>6</v>
      </c>
      <c r="B8" s="42" t="str">
        <f>Списък!B7</f>
        <v>Гюлева</v>
      </c>
      <c r="C8" s="34" t="s">
        <v>6</v>
      </c>
      <c r="D8" s="10" t="s">
        <v>6</v>
      </c>
      <c r="E8" s="10" t="s">
        <v>54</v>
      </c>
      <c r="F8" s="10" t="s">
        <v>5</v>
      </c>
      <c r="G8" s="10" t="s">
        <v>5</v>
      </c>
      <c r="H8" s="10" t="s">
        <v>9</v>
      </c>
      <c r="I8" s="10" t="s">
        <v>9</v>
      </c>
      <c r="J8" s="20" t="s">
        <v>54</v>
      </c>
      <c r="K8" s="20">
        <v>5</v>
      </c>
      <c r="L8" s="20" t="s">
        <v>8</v>
      </c>
      <c r="M8" s="20" t="s">
        <v>8</v>
      </c>
      <c r="N8" s="20" t="s">
        <v>54</v>
      </c>
      <c r="O8" s="20" t="s">
        <v>7</v>
      </c>
      <c r="P8" s="20" t="s">
        <v>7</v>
      </c>
      <c r="Q8" s="10" t="s">
        <v>54</v>
      </c>
      <c r="R8" s="10" t="s">
        <v>54</v>
      </c>
      <c r="S8" s="10" t="s">
        <v>54</v>
      </c>
      <c r="T8" s="10" t="s">
        <v>54</v>
      </c>
      <c r="U8" s="10" t="s">
        <v>54</v>
      </c>
      <c r="V8" s="10">
        <v>5</v>
      </c>
      <c r="W8" s="33" t="s">
        <v>5</v>
      </c>
      <c r="X8" s="20" t="s">
        <v>8</v>
      </c>
      <c r="Y8" s="20">
        <v>5</v>
      </c>
      <c r="Z8" s="20" t="s">
        <v>54</v>
      </c>
      <c r="AA8" s="20" t="s">
        <v>54</v>
      </c>
      <c r="AB8" s="20" t="s">
        <v>54</v>
      </c>
      <c r="AC8" s="20" t="s">
        <v>54</v>
      </c>
      <c r="AD8" s="204" t="s">
        <v>54</v>
      </c>
      <c r="AE8" s="10" t="s">
        <v>9</v>
      </c>
      <c r="AF8" s="10" t="s">
        <v>7</v>
      </c>
      <c r="AG8" s="10" t="s">
        <v>6</v>
      </c>
      <c r="AH8" s="10">
        <v>5</v>
      </c>
      <c r="AI8" s="10">
        <v>5</v>
      </c>
      <c r="AJ8" s="10" t="s">
        <v>5</v>
      </c>
      <c r="AK8" s="22" t="s">
        <v>54</v>
      </c>
    </row>
    <row r="9" spans="1:37" ht="11.25" customHeight="1">
      <c r="A9" s="35">
        <v>7</v>
      </c>
      <c r="B9" s="42" t="str">
        <f>Списък!B8</f>
        <v>Чанкова</v>
      </c>
      <c r="C9" s="34" t="s">
        <v>16</v>
      </c>
      <c r="D9" s="10" t="s">
        <v>18</v>
      </c>
      <c r="E9" s="10" t="s">
        <v>46</v>
      </c>
      <c r="F9" s="10" t="s">
        <v>17</v>
      </c>
      <c r="G9" s="10" t="s">
        <v>54</v>
      </c>
      <c r="H9" s="10" t="s">
        <v>54</v>
      </c>
      <c r="I9" s="10" t="s">
        <v>54</v>
      </c>
      <c r="J9" s="20" t="s">
        <v>17</v>
      </c>
      <c r="K9" s="20" t="s">
        <v>17</v>
      </c>
      <c r="L9" s="20" t="s">
        <v>54</v>
      </c>
      <c r="M9" s="20" t="s">
        <v>16</v>
      </c>
      <c r="N9" s="20" t="s">
        <v>16</v>
      </c>
      <c r="O9" s="20" t="s">
        <v>46</v>
      </c>
      <c r="P9" s="20" t="s">
        <v>46</v>
      </c>
      <c r="Q9" s="10" t="s">
        <v>54</v>
      </c>
      <c r="R9" s="10" t="s">
        <v>54</v>
      </c>
      <c r="S9" s="10" t="s">
        <v>54</v>
      </c>
      <c r="T9" s="10" t="s">
        <v>54</v>
      </c>
      <c r="U9" s="10" t="s">
        <v>18</v>
      </c>
      <c r="V9" s="10" t="s">
        <v>18</v>
      </c>
      <c r="W9" s="33" t="s">
        <v>17</v>
      </c>
      <c r="X9" s="20" t="s">
        <v>17</v>
      </c>
      <c r="Y9" s="20" t="s">
        <v>16</v>
      </c>
      <c r="Z9" s="20" t="s">
        <v>46</v>
      </c>
      <c r="AA9" s="20" t="s">
        <v>18</v>
      </c>
      <c r="AB9" s="20" t="s">
        <v>54</v>
      </c>
      <c r="AC9" s="20" t="s">
        <v>54</v>
      </c>
      <c r="AD9" s="204" t="s">
        <v>54</v>
      </c>
      <c r="AE9" s="10" t="s">
        <v>54</v>
      </c>
      <c r="AF9" s="10" t="s">
        <v>16</v>
      </c>
      <c r="AG9" s="10" t="s">
        <v>17</v>
      </c>
      <c r="AH9" s="10" t="s">
        <v>54</v>
      </c>
      <c r="AI9" s="10" t="s">
        <v>18</v>
      </c>
      <c r="AJ9" s="10" t="s">
        <v>46</v>
      </c>
      <c r="AK9" s="22" t="s">
        <v>54</v>
      </c>
    </row>
    <row r="10" spans="1:37" ht="11.25" customHeight="1">
      <c r="A10" s="35">
        <v>8</v>
      </c>
      <c r="B10" s="42" t="str">
        <f>Списък!B9</f>
        <v>Г. Тодорова</v>
      </c>
      <c r="C10" s="34">
        <v>7</v>
      </c>
      <c r="D10" s="10" t="s">
        <v>3</v>
      </c>
      <c r="E10" s="10" t="s">
        <v>3</v>
      </c>
      <c r="F10" s="10" t="s">
        <v>3</v>
      </c>
      <c r="G10" s="10" t="s">
        <v>3</v>
      </c>
      <c r="H10" s="10" t="s">
        <v>54</v>
      </c>
      <c r="I10" s="10" t="s">
        <v>54</v>
      </c>
      <c r="J10" s="20" t="s">
        <v>3</v>
      </c>
      <c r="K10" s="20" t="s">
        <v>54</v>
      </c>
      <c r="L10" s="20" t="s">
        <v>3</v>
      </c>
      <c r="M10" s="20" t="s">
        <v>3</v>
      </c>
      <c r="N10" s="20" t="s">
        <v>54</v>
      </c>
      <c r="O10" s="20" t="s">
        <v>54</v>
      </c>
      <c r="P10" s="20" t="s">
        <v>54</v>
      </c>
      <c r="Q10" s="10" t="s">
        <v>3</v>
      </c>
      <c r="R10" s="10" t="s">
        <v>3</v>
      </c>
      <c r="S10" s="10" t="s">
        <v>3</v>
      </c>
      <c r="T10" s="10" t="s">
        <v>3</v>
      </c>
      <c r="U10" s="10">
        <v>7</v>
      </c>
      <c r="V10" s="10" t="s">
        <v>54</v>
      </c>
      <c r="W10" s="33" t="s">
        <v>3</v>
      </c>
      <c r="X10" s="20" t="s">
        <v>3</v>
      </c>
      <c r="Y10" s="20" t="s">
        <v>3</v>
      </c>
      <c r="Z10" s="20" t="s">
        <v>3</v>
      </c>
      <c r="AA10" s="20">
        <v>7</v>
      </c>
      <c r="AB10" s="20" t="s">
        <v>54</v>
      </c>
      <c r="AC10" s="20" t="s">
        <v>3</v>
      </c>
      <c r="AD10" s="204" t="s">
        <v>54</v>
      </c>
      <c r="AE10" s="10" t="s">
        <v>3</v>
      </c>
      <c r="AF10" s="10" t="s">
        <v>3</v>
      </c>
      <c r="AG10" s="10" t="s">
        <v>3</v>
      </c>
      <c r="AH10" s="10" t="s">
        <v>54</v>
      </c>
      <c r="AI10" s="10" t="s">
        <v>54</v>
      </c>
      <c r="AJ10" s="10" t="s">
        <v>54</v>
      </c>
      <c r="AK10" s="22" t="s">
        <v>54</v>
      </c>
    </row>
    <row r="11" spans="1:37" ht="11.25" customHeight="1">
      <c r="A11" s="35">
        <v>9</v>
      </c>
      <c r="B11" s="42" t="str">
        <f>Списък!B10</f>
        <v>Д. Николова</v>
      </c>
      <c r="C11" s="34" t="s">
        <v>49</v>
      </c>
      <c r="D11" s="10" t="s">
        <v>49</v>
      </c>
      <c r="E11" s="10" t="s">
        <v>54</v>
      </c>
      <c r="F11" s="10" t="s">
        <v>48</v>
      </c>
      <c r="G11" s="10" t="s">
        <v>48</v>
      </c>
      <c r="H11" s="10" t="s">
        <v>54</v>
      </c>
      <c r="I11" s="10" t="s">
        <v>54</v>
      </c>
      <c r="J11" s="20" t="s">
        <v>52</v>
      </c>
      <c r="K11" s="20" t="s">
        <v>52</v>
      </c>
      <c r="L11" s="20" t="s">
        <v>48</v>
      </c>
      <c r="M11" s="20" t="s">
        <v>50</v>
      </c>
      <c r="N11" s="20" t="s">
        <v>50</v>
      </c>
      <c r="O11" s="20" t="s">
        <v>51</v>
      </c>
      <c r="P11" s="20" t="s">
        <v>51</v>
      </c>
      <c r="Q11" s="10" t="s">
        <v>48</v>
      </c>
      <c r="R11" s="10" t="s">
        <v>51</v>
      </c>
      <c r="S11" s="10" t="s">
        <v>54</v>
      </c>
      <c r="T11" s="10" t="s">
        <v>49</v>
      </c>
      <c r="U11" s="10" t="s">
        <v>52</v>
      </c>
      <c r="V11" s="10" t="s">
        <v>52</v>
      </c>
      <c r="W11" s="33" t="s">
        <v>51</v>
      </c>
      <c r="X11" s="20" t="s">
        <v>54</v>
      </c>
      <c r="Y11" s="20" t="s">
        <v>54</v>
      </c>
      <c r="Z11" s="20" t="s">
        <v>50</v>
      </c>
      <c r="AA11" s="20" t="s">
        <v>50</v>
      </c>
      <c r="AB11" s="20" t="s">
        <v>51</v>
      </c>
      <c r="AC11" s="20" t="s">
        <v>49</v>
      </c>
      <c r="AD11" s="204" t="s">
        <v>54</v>
      </c>
      <c r="AE11" s="10" t="s">
        <v>48</v>
      </c>
      <c r="AF11" s="10" t="s">
        <v>49</v>
      </c>
      <c r="AG11" s="10" t="s">
        <v>52</v>
      </c>
      <c r="AH11" s="10" t="s">
        <v>54</v>
      </c>
      <c r="AI11" s="10" t="s">
        <v>51</v>
      </c>
      <c r="AJ11" s="10" t="s">
        <v>50</v>
      </c>
      <c r="AK11" s="22" t="s">
        <v>54</v>
      </c>
    </row>
    <row r="12" spans="1:37" ht="11.25" customHeight="1">
      <c r="A12" s="35">
        <v>10</v>
      </c>
      <c r="B12" s="42" t="str">
        <f>Списък!B11</f>
        <v>Данева</v>
      </c>
      <c r="C12" s="34" t="s">
        <v>13</v>
      </c>
      <c r="D12" s="10" t="s">
        <v>13</v>
      </c>
      <c r="E12" s="10" t="s">
        <v>12</v>
      </c>
      <c r="F12" s="10" t="s">
        <v>10</v>
      </c>
      <c r="G12" s="10" t="s">
        <v>10</v>
      </c>
      <c r="H12" s="10" t="s">
        <v>14</v>
      </c>
      <c r="I12" s="10" t="s">
        <v>15</v>
      </c>
      <c r="J12" s="20" t="s">
        <v>54</v>
      </c>
      <c r="K12" s="20" t="s">
        <v>54</v>
      </c>
      <c r="L12" s="20" t="s">
        <v>54</v>
      </c>
      <c r="M12" s="20" t="s">
        <v>54</v>
      </c>
      <c r="N12" s="20" t="s">
        <v>54</v>
      </c>
      <c r="O12" s="20" t="s">
        <v>12</v>
      </c>
      <c r="P12" s="20" t="s">
        <v>12</v>
      </c>
      <c r="Q12" s="10" t="s">
        <v>15</v>
      </c>
      <c r="R12" s="10" t="s">
        <v>15</v>
      </c>
      <c r="S12" s="10" t="s">
        <v>14</v>
      </c>
      <c r="T12" s="10" t="s">
        <v>14</v>
      </c>
      <c r="U12" s="10" t="s">
        <v>54</v>
      </c>
      <c r="V12" s="10" t="s">
        <v>10</v>
      </c>
      <c r="W12" s="33" t="s">
        <v>12</v>
      </c>
      <c r="X12" s="20" t="s">
        <v>13</v>
      </c>
      <c r="Y12" s="20" t="s">
        <v>14</v>
      </c>
      <c r="Z12" s="20" t="s">
        <v>12</v>
      </c>
      <c r="AA12" s="20" t="s">
        <v>15</v>
      </c>
      <c r="AB12" s="20" t="s">
        <v>54</v>
      </c>
      <c r="AC12" s="20" t="s">
        <v>54</v>
      </c>
      <c r="AD12" s="204" t="s">
        <v>54</v>
      </c>
      <c r="AE12" s="10" t="s">
        <v>10</v>
      </c>
      <c r="AF12" s="10" t="s">
        <v>13</v>
      </c>
      <c r="AG12" s="10" t="s">
        <v>15</v>
      </c>
      <c r="AH12" s="10" t="s">
        <v>54</v>
      </c>
      <c r="AI12" s="10" t="s">
        <v>54</v>
      </c>
      <c r="AJ12" s="10" t="s">
        <v>54</v>
      </c>
      <c r="AK12" s="22" t="s">
        <v>54</v>
      </c>
    </row>
    <row r="13" spans="1:37" ht="11.25" customHeight="1">
      <c r="A13" s="35">
        <v>11</v>
      </c>
      <c r="B13" s="42" t="str">
        <f>Списък!B12</f>
        <v>Габарова</v>
      </c>
      <c r="C13" s="34" t="s">
        <v>1</v>
      </c>
      <c r="D13" s="10" t="s">
        <v>1</v>
      </c>
      <c r="E13" s="10" t="s">
        <v>1</v>
      </c>
      <c r="F13" s="10" t="s">
        <v>54</v>
      </c>
      <c r="G13" s="10" t="s">
        <v>54</v>
      </c>
      <c r="H13" s="10" t="s">
        <v>54</v>
      </c>
      <c r="I13" s="10" t="s">
        <v>54</v>
      </c>
      <c r="J13" s="20" t="s">
        <v>11</v>
      </c>
      <c r="K13" s="20" t="s">
        <v>11</v>
      </c>
      <c r="L13" s="20" t="s">
        <v>54</v>
      </c>
      <c r="M13" s="20" t="s">
        <v>1</v>
      </c>
      <c r="N13" s="20" t="s">
        <v>1</v>
      </c>
      <c r="O13" s="20" t="s">
        <v>1</v>
      </c>
      <c r="P13" s="20" t="s">
        <v>1</v>
      </c>
      <c r="Q13" s="10" t="s">
        <v>11</v>
      </c>
      <c r="R13" s="10" t="s">
        <v>54</v>
      </c>
      <c r="S13" s="10" t="s">
        <v>1</v>
      </c>
      <c r="T13" s="10" t="s">
        <v>1</v>
      </c>
      <c r="U13" s="10" t="s">
        <v>1</v>
      </c>
      <c r="V13" s="10" t="s">
        <v>1</v>
      </c>
      <c r="W13" s="33" t="s">
        <v>54</v>
      </c>
      <c r="X13" s="20" t="s">
        <v>1</v>
      </c>
      <c r="Y13" s="20" t="s">
        <v>1</v>
      </c>
      <c r="Z13" s="20" t="s">
        <v>1</v>
      </c>
      <c r="AA13" s="20" t="s">
        <v>1</v>
      </c>
      <c r="AB13" s="20" t="s">
        <v>54</v>
      </c>
      <c r="AC13" s="20" t="s">
        <v>54</v>
      </c>
      <c r="AD13" s="204" t="s">
        <v>54</v>
      </c>
      <c r="AE13" s="10" t="s">
        <v>54</v>
      </c>
      <c r="AF13" s="10" t="s">
        <v>54</v>
      </c>
      <c r="AG13" s="10" t="s">
        <v>11</v>
      </c>
      <c r="AH13" s="10" t="s">
        <v>1</v>
      </c>
      <c r="AI13" s="10" t="s">
        <v>1</v>
      </c>
      <c r="AJ13" s="10" t="s">
        <v>1</v>
      </c>
      <c r="AK13" s="22" t="s">
        <v>54</v>
      </c>
    </row>
    <row r="14" spans="1:37" ht="11.25" customHeight="1">
      <c r="A14" s="35">
        <v>12</v>
      </c>
      <c r="B14" s="42" t="str">
        <f>Списък!B13</f>
        <v>Гинева</v>
      </c>
      <c r="C14" s="34" t="s">
        <v>2</v>
      </c>
      <c r="D14" s="10" t="s">
        <v>2</v>
      </c>
      <c r="E14" s="10" t="s">
        <v>2</v>
      </c>
      <c r="F14" s="10" t="s">
        <v>2</v>
      </c>
      <c r="G14" s="10" t="s">
        <v>54</v>
      </c>
      <c r="H14" s="10" t="s">
        <v>54</v>
      </c>
      <c r="I14" s="10" t="s">
        <v>54</v>
      </c>
      <c r="J14" s="20">
        <v>6</v>
      </c>
      <c r="K14" s="20" t="s">
        <v>2</v>
      </c>
      <c r="L14" s="20" t="s">
        <v>2</v>
      </c>
      <c r="M14" s="20" t="s">
        <v>54</v>
      </c>
      <c r="N14" s="20" t="s">
        <v>2</v>
      </c>
      <c r="O14" s="20" t="s">
        <v>2</v>
      </c>
      <c r="P14" s="20" t="s">
        <v>54</v>
      </c>
      <c r="Q14" s="10" t="s">
        <v>54</v>
      </c>
      <c r="R14" s="10" t="s">
        <v>54</v>
      </c>
      <c r="S14" s="10" t="s">
        <v>54</v>
      </c>
      <c r="T14" s="10" t="s">
        <v>2</v>
      </c>
      <c r="U14" s="10" t="s">
        <v>2</v>
      </c>
      <c r="V14" s="10" t="s">
        <v>2</v>
      </c>
      <c r="W14" s="33" t="s">
        <v>2</v>
      </c>
      <c r="X14" s="20" t="s">
        <v>2</v>
      </c>
      <c r="Y14" s="20" t="s">
        <v>2</v>
      </c>
      <c r="Z14" s="20">
        <v>6</v>
      </c>
      <c r="AA14" s="20" t="s">
        <v>2</v>
      </c>
      <c r="AB14" s="20" t="s">
        <v>54</v>
      </c>
      <c r="AC14" s="20" t="s">
        <v>54</v>
      </c>
      <c r="AD14" s="204" t="s">
        <v>54</v>
      </c>
      <c r="AE14" s="10" t="s">
        <v>2</v>
      </c>
      <c r="AF14" s="10" t="s">
        <v>2</v>
      </c>
      <c r="AG14" s="10" t="s">
        <v>2</v>
      </c>
      <c r="AH14" s="10" t="s">
        <v>2</v>
      </c>
      <c r="AI14" s="10">
        <v>6</v>
      </c>
      <c r="AJ14" s="10">
        <v>6</v>
      </c>
      <c r="AK14" s="22" t="s">
        <v>54</v>
      </c>
    </row>
    <row r="15" spans="1:37" ht="11.25" customHeight="1">
      <c r="A15" s="35">
        <v>13</v>
      </c>
      <c r="B15" s="42" t="str">
        <f>Списък!B14</f>
        <v>Сапунджиева</v>
      </c>
      <c r="C15" s="34" t="s">
        <v>54</v>
      </c>
      <c r="D15" s="10">
        <v>5</v>
      </c>
      <c r="E15" s="10" t="s">
        <v>4</v>
      </c>
      <c r="F15" s="10" t="s">
        <v>4</v>
      </c>
      <c r="G15" s="10" t="s">
        <v>54</v>
      </c>
      <c r="H15" s="10" t="s">
        <v>4</v>
      </c>
      <c r="I15" s="10" t="s">
        <v>4</v>
      </c>
      <c r="J15" s="20">
        <v>5</v>
      </c>
      <c r="K15" s="20" t="s">
        <v>4</v>
      </c>
      <c r="L15" s="20" t="s">
        <v>4</v>
      </c>
      <c r="M15" s="20" t="s">
        <v>4</v>
      </c>
      <c r="N15" s="20" t="s">
        <v>54</v>
      </c>
      <c r="O15" s="20" t="s">
        <v>54</v>
      </c>
      <c r="P15" s="20" t="s">
        <v>54</v>
      </c>
      <c r="Q15" s="10" t="s">
        <v>4</v>
      </c>
      <c r="R15" s="10" t="s">
        <v>4</v>
      </c>
      <c r="S15" s="10">
        <v>5</v>
      </c>
      <c r="T15" s="10" t="s">
        <v>54</v>
      </c>
      <c r="U15" s="10" t="s">
        <v>4</v>
      </c>
      <c r="V15" s="10" t="s">
        <v>4</v>
      </c>
      <c r="W15" s="33" t="s">
        <v>4</v>
      </c>
      <c r="X15" s="20" t="s">
        <v>54</v>
      </c>
      <c r="Y15" s="20" t="s">
        <v>54</v>
      </c>
      <c r="Z15" s="20" t="s">
        <v>54</v>
      </c>
      <c r="AA15" s="20" t="s">
        <v>4</v>
      </c>
      <c r="AB15" s="20" t="s">
        <v>4</v>
      </c>
      <c r="AC15" s="20" t="s">
        <v>4</v>
      </c>
      <c r="AD15" s="204" t="s">
        <v>54</v>
      </c>
      <c r="AE15" s="10">
        <v>5</v>
      </c>
      <c r="AF15" s="10" t="s">
        <v>54</v>
      </c>
      <c r="AG15" s="10" t="s">
        <v>4</v>
      </c>
      <c r="AH15" s="10" t="s">
        <v>4</v>
      </c>
      <c r="AI15" s="10" t="s">
        <v>4</v>
      </c>
      <c r="AJ15" s="10" t="s">
        <v>4</v>
      </c>
      <c r="AK15" s="22" t="s">
        <v>54</v>
      </c>
    </row>
    <row r="16" spans="1:37" ht="11.25" customHeight="1">
      <c r="A16" s="35">
        <v>14</v>
      </c>
      <c r="B16" s="42" t="str">
        <f>Списък!B15</f>
        <v>Спасова</v>
      </c>
      <c r="C16" s="34" t="s">
        <v>54</v>
      </c>
      <c r="D16" s="10" t="s">
        <v>54</v>
      </c>
      <c r="E16" s="10" t="s">
        <v>54</v>
      </c>
      <c r="F16" s="10" t="s">
        <v>113</v>
      </c>
      <c r="G16" s="10" t="s">
        <v>113</v>
      </c>
      <c r="H16" s="10" t="s">
        <v>113</v>
      </c>
      <c r="I16" s="10" t="s">
        <v>113</v>
      </c>
      <c r="J16" s="20" t="s">
        <v>113</v>
      </c>
      <c r="K16" s="20" t="s">
        <v>54</v>
      </c>
      <c r="L16" s="20" t="s">
        <v>113</v>
      </c>
      <c r="M16" s="20" t="s">
        <v>113</v>
      </c>
      <c r="N16" s="20" t="s">
        <v>113</v>
      </c>
      <c r="O16" s="20" t="s">
        <v>54</v>
      </c>
      <c r="P16" s="20" t="s">
        <v>54</v>
      </c>
      <c r="Q16" s="10" t="s">
        <v>54</v>
      </c>
      <c r="R16" s="10" t="s">
        <v>54</v>
      </c>
      <c r="S16" s="10" t="s">
        <v>113</v>
      </c>
      <c r="T16" s="10" t="s">
        <v>113</v>
      </c>
      <c r="U16" s="10" t="s">
        <v>54</v>
      </c>
      <c r="V16" s="10" t="s">
        <v>113</v>
      </c>
      <c r="W16" s="33" t="s">
        <v>113</v>
      </c>
      <c r="X16" s="20" t="s">
        <v>54</v>
      </c>
      <c r="Y16" s="20" t="s">
        <v>54</v>
      </c>
      <c r="Z16" s="20" t="s">
        <v>113</v>
      </c>
      <c r="AA16" s="20" t="s">
        <v>54</v>
      </c>
      <c r="AB16" s="20" t="s">
        <v>113</v>
      </c>
      <c r="AC16" s="20" t="s">
        <v>113</v>
      </c>
      <c r="AD16" s="204" t="s">
        <v>54</v>
      </c>
      <c r="AE16" s="10" t="s">
        <v>54</v>
      </c>
      <c r="AF16" s="10" t="s">
        <v>54</v>
      </c>
      <c r="AG16" s="10" t="s">
        <v>113</v>
      </c>
      <c r="AH16" s="10" t="s">
        <v>113</v>
      </c>
      <c r="AI16" s="10" t="s">
        <v>113</v>
      </c>
      <c r="AJ16" s="10" t="s">
        <v>113</v>
      </c>
      <c r="AK16" s="22" t="s">
        <v>54</v>
      </c>
    </row>
    <row r="17" spans="1:40" ht="11.25" customHeight="1">
      <c r="A17" s="35">
        <v>15</v>
      </c>
      <c r="B17" s="42" t="str">
        <f>Списък!B16</f>
        <v>Иванова</v>
      </c>
      <c r="C17" s="34" t="s">
        <v>8</v>
      </c>
      <c r="D17" s="10" t="s">
        <v>5</v>
      </c>
      <c r="E17" s="10" t="s">
        <v>7</v>
      </c>
      <c r="F17" s="10" t="s">
        <v>54</v>
      </c>
      <c r="G17" s="10" t="s">
        <v>54</v>
      </c>
      <c r="H17" s="10" t="s">
        <v>54</v>
      </c>
      <c r="I17" s="10" t="s">
        <v>54</v>
      </c>
      <c r="J17" s="20" t="s">
        <v>54</v>
      </c>
      <c r="K17" s="20" t="s">
        <v>54</v>
      </c>
      <c r="L17" s="20" t="s">
        <v>54</v>
      </c>
      <c r="M17" s="20" t="s">
        <v>5</v>
      </c>
      <c r="N17" s="20" t="s">
        <v>6</v>
      </c>
      <c r="O17" s="20" t="s">
        <v>9</v>
      </c>
      <c r="P17" s="20" t="s">
        <v>54</v>
      </c>
      <c r="Q17" s="10" t="s">
        <v>9</v>
      </c>
      <c r="R17" s="10" t="s">
        <v>8</v>
      </c>
      <c r="S17" s="10" t="s">
        <v>7</v>
      </c>
      <c r="T17" s="10" t="s">
        <v>6</v>
      </c>
      <c r="U17" s="10" t="s">
        <v>6</v>
      </c>
      <c r="V17" s="10" t="s">
        <v>54</v>
      </c>
      <c r="W17" s="33" t="s">
        <v>9</v>
      </c>
      <c r="X17" s="20" t="s">
        <v>5</v>
      </c>
      <c r="Y17" s="20" t="s">
        <v>5</v>
      </c>
      <c r="Z17" s="20" t="s">
        <v>54</v>
      </c>
      <c r="AA17" s="20" t="s">
        <v>7</v>
      </c>
      <c r="AB17" s="20" t="s">
        <v>7</v>
      </c>
      <c r="AC17" s="20" t="s">
        <v>54</v>
      </c>
      <c r="AD17" s="204" t="s">
        <v>54</v>
      </c>
      <c r="AE17" s="10" t="s">
        <v>8</v>
      </c>
      <c r="AF17" s="10" t="s">
        <v>8</v>
      </c>
      <c r="AG17" s="10" t="s">
        <v>54</v>
      </c>
      <c r="AH17" s="10" t="s">
        <v>6</v>
      </c>
      <c r="AI17" s="10" t="s">
        <v>9</v>
      </c>
      <c r="AJ17" s="10" t="s">
        <v>9</v>
      </c>
      <c r="AK17" s="22" t="s">
        <v>54</v>
      </c>
    </row>
    <row r="18" spans="1:40" ht="11.25" customHeight="1">
      <c r="A18" s="35">
        <v>16</v>
      </c>
      <c r="B18" s="42" t="str">
        <f>Списък!B17</f>
        <v>Кирилова</v>
      </c>
      <c r="C18" s="34" t="s">
        <v>54</v>
      </c>
      <c r="D18" s="10" t="s">
        <v>54</v>
      </c>
      <c r="E18" s="10" t="s">
        <v>54</v>
      </c>
      <c r="F18" s="10" t="s">
        <v>16</v>
      </c>
      <c r="G18" s="10" t="s">
        <v>16</v>
      </c>
      <c r="H18" s="10" t="s">
        <v>395</v>
      </c>
      <c r="I18" s="10" t="s">
        <v>395</v>
      </c>
      <c r="J18" s="20" t="s">
        <v>54</v>
      </c>
      <c r="K18" s="20" t="s">
        <v>54</v>
      </c>
      <c r="L18" s="20" t="s">
        <v>54</v>
      </c>
      <c r="M18" s="20" t="s">
        <v>13</v>
      </c>
      <c r="N18" s="20" t="s">
        <v>13</v>
      </c>
      <c r="O18" s="20" t="s">
        <v>14</v>
      </c>
      <c r="P18" s="20" t="s">
        <v>14</v>
      </c>
      <c r="Q18" s="10" t="s">
        <v>54</v>
      </c>
      <c r="R18" s="10" t="s">
        <v>54</v>
      </c>
      <c r="S18" s="10" t="s">
        <v>54</v>
      </c>
      <c r="T18" s="10" t="s">
        <v>54</v>
      </c>
      <c r="U18" s="10" t="s">
        <v>50</v>
      </c>
      <c r="V18" s="10" t="s">
        <v>50</v>
      </c>
      <c r="W18" s="33" t="s">
        <v>54</v>
      </c>
      <c r="X18" s="20" t="s">
        <v>12</v>
      </c>
      <c r="Y18" s="20" t="s">
        <v>12</v>
      </c>
      <c r="Z18" s="20" t="s">
        <v>362</v>
      </c>
      <c r="AA18" s="20" t="s">
        <v>362</v>
      </c>
      <c r="AB18" s="20" t="s">
        <v>10</v>
      </c>
      <c r="AC18" s="20" t="s">
        <v>10</v>
      </c>
      <c r="AD18" s="204" t="s">
        <v>54</v>
      </c>
      <c r="AE18" s="10" t="s">
        <v>54</v>
      </c>
      <c r="AF18" s="10" t="s">
        <v>54</v>
      </c>
      <c r="AG18" s="10" t="s">
        <v>13</v>
      </c>
      <c r="AH18" s="10" t="s">
        <v>13</v>
      </c>
      <c r="AI18" s="10" t="s">
        <v>52</v>
      </c>
      <c r="AJ18" s="10" t="s">
        <v>52</v>
      </c>
      <c r="AK18" s="22" t="s">
        <v>54</v>
      </c>
    </row>
    <row r="19" spans="1:40" ht="11.25" customHeight="1">
      <c r="A19" s="35">
        <v>17</v>
      </c>
      <c r="B19" s="42" t="str">
        <f>Списък!B18</f>
        <v>Даскалова</v>
      </c>
      <c r="C19" s="34" t="s">
        <v>363</v>
      </c>
      <c r="D19" s="10" t="s">
        <v>363</v>
      </c>
      <c r="E19" s="10" t="s">
        <v>51</v>
      </c>
      <c r="F19" s="10" t="s">
        <v>18</v>
      </c>
      <c r="G19" s="10" t="s">
        <v>18</v>
      </c>
      <c r="H19" s="10" t="s">
        <v>395</v>
      </c>
      <c r="I19" s="10" t="s">
        <v>395</v>
      </c>
      <c r="J19" s="20" t="s">
        <v>46</v>
      </c>
      <c r="K19" s="20" t="s">
        <v>54</v>
      </c>
      <c r="L19" s="20" t="s">
        <v>54</v>
      </c>
      <c r="M19" s="20" t="s">
        <v>54</v>
      </c>
      <c r="N19" s="20" t="s">
        <v>54</v>
      </c>
      <c r="O19" s="20" t="s">
        <v>54</v>
      </c>
      <c r="P19" s="20" t="s">
        <v>54</v>
      </c>
      <c r="Q19" s="10" t="s">
        <v>46</v>
      </c>
      <c r="R19" s="10" t="s">
        <v>46</v>
      </c>
      <c r="S19" s="10" t="s">
        <v>51</v>
      </c>
      <c r="T19" s="10" t="s">
        <v>51</v>
      </c>
      <c r="U19" s="10" t="s">
        <v>49</v>
      </c>
      <c r="V19" s="10" t="s">
        <v>49</v>
      </c>
      <c r="W19" s="33" t="s">
        <v>46</v>
      </c>
      <c r="X19" s="20" t="s">
        <v>11</v>
      </c>
      <c r="Y19" s="20" t="s">
        <v>11</v>
      </c>
      <c r="Z19" s="20" t="s">
        <v>51</v>
      </c>
      <c r="AA19" s="20" t="s">
        <v>54</v>
      </c>
      <c r="AB19" s="20" t="s">
        <v>54</v>
      </c>
      <c r="AC19" s="20" t="s">
        <v>54</v>
      </c>
      <c r="AD19" s="204" t="s">
        <v>54</v>
      </c>
      <c r="AE19" s="10" t="s">
        <v>54</v>
      </c>
      <c r="AF19" s="10" t="s">
        <v>54</v>
      </c>
      <c r="AG19" s="10" t="s">
        <v>46</v>
      </c>
      <c r="AH19" s="10" t="s">
        <v>51</v>
      </c>
      <c r="AI19" s="10" t="s">
        <v>48</v>
      </c>
      <c r="AJ19" s="10" t="s">
        <v>48</v>
      </c>
      <c r="AK19" s="22" t="s">
        <v>54</v>
      </c>
    </row>
    <row r="20" spans="1:40" ht="11.25" customHeight="1">
      <c r="A20" s="35">
        <v>18</v>
      </c>
      <c r="B20" s="42" t="str">
        <f>Списък!B19</f>
        <v>Тодорова</v>
      </c>
      <c r="C20" s="34" t="s">
        <v>363</v>
      </c>
      <c r="D20" s="10" t="s">
        <v>363</v>
      </c>
      <c r="E20" s="10" t="s">
        <v>54</v>
      </c>
      <c r="F20" s="10" t="s">
        <v>358</v>
      </c>
      <c r="G20" s="10" t="s">
        <v>358</v>
      </c>
      <c r="H20" s="10" t="s">
        <v>395</v>
      </c>
      <c r="I20" s="10" t="s">
        <v>395</v>
      </c>
      <c r="J20" s="20" t="s">
        <v>54</v>
      </c>
      <c r="K20" s="20" t="s">
        <v>54</v>
      </c>
      <c r="L20" s="20" t="s">
        <v>54</v>
      </c>
      <c r="M20" s="20" t="s">
        <v>54</v>
      </c>
      <c r="N20" s="20" t="s">
        <v>54</v>
      </c>
      <c r="O20" s="20" t="s">
        <v>14</v>
      </c>
      <c r="P20" s="20" t="s">
        <v>14</v>
      </c>
      <c r="Q20" s="10" t="s">
        <v>54</v>
      </c>
      <c r="R20" s="10" t="s">
        <v>54</v>
      </c>
      <c r="S20" s="10" t="s">
        <v>54</v>
      </c>
      <c r="T20" s="10" t="s">
        <v>54</v>
      </c>
      <c r="U20" s="10" t="s">
        <v>359</v>
      </c>
      <c r="V20" s="10" t="s">
        <v>359</v>
      </c>
      <c r="W20" s="33" t="s">
        <v>15</v>
      </c>
      <c r="X20" s="20" t="s">
        <v>360</v>
      </c>
      <c r="Y20" s="20" t="s">
        <v>360</v>
      </c>
      <c r="Z20" s="20" t="s">
        <v>362</v>
      </c>
      <c r="AA20" s="20" t="s">
        <v>362</v>
      </c>
      <c r="AB20" s="20" t="s">
        <v>10</v>
      </c>
      <c r="AC20" s="20" t="s">
        <v>10</v>
      </c>
      <c r="AD20" s="204" t="s">
        <v>54</v>
      </c>
      <c r="AE20" s="10" t="s">
        <v>54</v>
      </c>
      <c r="AF20" s="10" t="s">
        <v>54</v>
      </c>
      <c r="AG20" s="10" t="s">
        <v>54</v>
      </c>
      <c r="AH20" s="10" t="s">
        <v>54</v>
      </c>
      <c r="AI20" s="10" t="s">
        <v>361</v>
      </c>
      <c r="AJ20" s="10" t="s">
        <v>361</v>
      </c>
      <c r="AK20" s="22" t="s">
        <v>54</v>
      </c>
    </row>
    <row r="21" spans="1:40" ht="11.25" customHeight="1">
      <c r="A21" s="35">
        <v>19</v>
      </c>
      <c r="B21" s="42" t="str">
        <f>Списък!B20</f>
        <v>Батимов</v>
      </c>
      <c r="C21" s="34" t="s">
        <v>54</v>
      </c>
      <c r="D21" s="10" t="s">
        <v>51</v>
      </c>
      <c r="E21" s="10" t="s">
        <v>48</v>
      </c>
      <c r="F21" s="10" t="s">
        <v>54</v>
      </c>
      <c r="G21" s="10" t="s">
        <v>15</v>
      </c>
      <c r="H21" s="10" t="s">
        <v>15</v>
      </c>
      <c r="I21" s="10" t="s">
        <v>50</v>
      </c>
      <c r="J21" s="20" t="s">
        <v>50</v>
      </c>
      <c r="K21" s="20" t="s">
        <v>50</v>
      </c>
      <c r="L21" s="20" t="s">
        <v>51</v>
      </c>
      <c r="M21" s="20" t="s">
        <v>48</v>
      </c>
      <c r="N21" s="20" t="s">
        <v>48</v>
      </c>
      <c r="O21" s="20" t="s">
        <v>15</v>
      </c>
      <c r="P21" s="20" t="s">
        <v>15</v>
      </c>
      <c r="Q21" s="10" t="s">
        <v>50</v>
      </c>
      <c r="R21" s="10" t="s">
        <v>50</v>
      </c>
      <c r="S21" s="10" t="s">
        <v>15</v>
      </c>
      <c r="T21" s="10" t="s">
        <v>48</v>
      </c>
      <c r="U21" s="10" t="s">
        <v>51</v>
      </c>
      <c r="V21" s="10" t="s">
        <v>51</v>
      </c>
      <c r="W21" s="33" t="s">
        <v>48</v>
      </c>
      <c r="X21" s="20" t="s">
        <v>51</v>
      </c>
      <c r="Y21" s="20" t="s">
        <v>51</v>
      </c>
      <c r="Z21" s="20" t="s">
        <v>48</v>
      </c>
      <c r="AA21" s="20" t="s">
        <v>48</v>
      </c>
      <c r="AB21" s="20" t="s">
        <v>50</v>
      </c>
      <c r="AC21" s="20" t="s">
        <v>15</v>
      </c>
      <c r="AD21" s="204" t="s">
        <v>54</v>
      </c>
      <c r="AE21" s="10" t="s">
        <v>50</v>
      </c>
      <c r="AF21" s="10" t="s">
        <v>50</v>
      </c>
      <c r="AG21" s="10" t="s">
        <v>48</v>
      </c>
      <c r="AH21" s="10" t="s">
        <v>48</v>
      </c>
      <c r="AI21" s="10" t="s">
        <v>54</v>
      </c>
      <c r="AJ21" s="10" t="s">
        <v>54</v>
      </c>
      <c r="AK21" s="22" t="s">
        <v>54</v>
      </c>
    </row>
    <row r="22" spans="1:40" ht="11.25" customHeight="1">
      <c r="A22" s="35">
        <v>20</v>
      </c>
      <c r="B22" s="42" t="str">
        <f>Списък!B21</f>
        <v>Краева</v>
      </c>
      <c r="C22" s="34" t="s">
        <v>54</v>
      </c>
      <c r="D22" s="10" t="s">
        <v>54</v>
      </c>
      <c r="E22" s="10" t="s">
        <v>54</v>
      </c>
      <c r="F22" s="10" t="s">
        <v>8</v>
      </c>
      <c r="G22" s="10">
        <v>5</v>
      </c>
      <c r="H22" s="10" t="s">
        <v>2</v>
      </c>
      <c r="I22" s="10" t="s">
        <v>3</v>
      </c>
      <c r="J22" s="20" t="s">
        <v>5</v>
      </c>
      <c r="K22" s="20" t="s">
        <v>3</v>
      </c>
      <c r="L22" s="20">
        <v>5</v>
      </c>
      <c r="M22" s="20" t="s">
        <v>54</v>
      </c>
      <c r="N22" s="20" t="s">
        <v>54</v>
      </c>
      <c r="O22" s="20" t="s">
        <v>54</v>
      </c>
      <c r="P22" s="20" t="s">
        <v>54</v>
      </c>
      <c r="Q22" s="10" t="s">
        <v>8</v>
      </c>
      <c r="R22" s="10">
        <v>5</v>
      </c>
      <c r="S22" s="10" t="s">
        <v>2</v>
      </c>
      <c r="T22" s="10" t="s">
        <v>54</v>
      </c>
      <c r="U22" s="10" t="s">
        <v>3</v>
      </c>
      <c r="V22" s="10" t="s">
        <v>5</v>
      </c>
      <c r="W22" s="33" t="s">
        <v>8</v>
      </c>
      <c r="X22" s="20" t="s">
        <v>54</v>
      </c>
      <c r="Y22" s="20" t="s">
        <v>54</v>
      </c>
      <c r="Z22" s="20" t="s">
        <v>54</v>
      </c>
      <c r="AA22" s="20">
        <v>5</v>
      </c>
      <c r="AB22" s="20" t="s">
        <v>2</v>
      </c>
      <c r="AC22" s="20" t="s">
        <v>8</v>
      </c>
      <c r="AD22" s="204" t="s">
        <v>54</v>
      </c>
      <c r="AE22" s="10" t="s">
        <v>54</v>
      </c>
      <c r="AF22" s="10" t="s">
        <v>54</v>
      </c>
      <c r="AG22" s="10" t="s">
        <v>54</v>
      </c>
      <c r="AH22" s="10" t="s">
        <v>54</v>
      </c>
      <c r="AI22" s="10" t="s">
        <v>5</v>
      </c>
      <c r="AJ22" s="10">
        <v>5</v>
      </c>
      <c r="AK22" s="22" t="s">
        <v>54</v>
      </c>
    </row>
    <row r="23" spans="1:40" ht="11.25" customHeight="1">
      <c r="A23" s="35">
        <v>21</v>
      </c>
      <c r="B23" s="42" t="str">
        <f>Списък!B22</f>
        <v>Клисарова</v>
      </c>
      <c r="C23" s="34" t="s">
        <v>113</v>
      </c>
      <c r="D23" s="10" t="s">
        <v>10</v>
      </c>
      <c r="E23" s="10" t="s">
        <v>10</v>
      </c>
      <c r="F23" s="10" t="s">
        <v>54</v>
      </c>
      <c r="G23" s="10" t="s">
        <v>14</v>
      </c>
      <c r="H23" s="10">
        <v>7</v>
      </c>
      <c r="I23" s="10" t="s">
        <v>54</v>
      </c>
      <c r="J23" s="20" t="s">
        <v>10</v>
      </c>
      <c r="K23" s="20">
        <v>7</v>
      </c>
      <c r="L23" s="20">
        <v>7</v>
      </c>
      <c r="M23" s="20" t="s">
        <v>54</v>
      </c>
      <c r="N23" s="20" t="s">
        <v>54</v>
      </c>
      <c r="O23" s="20" t="s">
        <v>54</v>
      </c>
      <c r="P23" s="20" t="s">
        <v>54</v>
      </c>
      <c r="Q23" s="10" t="s">
        <v>113</v>
      </c>
      <c r="R23" s="10">
        <v>7</v>
      </c>
      <c r="S23" s="10" t="s">
        <v>10</v>
      </c>
      <c r="T23" s="10" t="s">
        <v>54</v>
      </c>
      <c r="U23" s="10" t="s">
        <v>54</v>
      </c>
      <c r="V23" s="10" t="s">
        <v>54</v>
      </c>
      <c r="W23" s="33" t="s">
        <v>54</v>
      </c>
      <c r="X23" s="20" t="s">
        <v>10</v>
      </c>
      <c r="Y23" s="20" t="s">
        <v>113</v>
      </c>
      <c r="Z23" s="20" t="s">
        <v>14</v>
      </c>
      <c r="AA23" s="20" t="s">
        <v>54</v>
      </c>
      <c r="AB23" s="20" t="s">
        <v>54</v>
      </c>
      <c r="AC23" s="20" t="s">
        <v>54</v>
      </c>
      <c r="AD23" s="204" t="s">
        <v>54</v>
      </c>
      <c r="AE23" s="10" t="s">
        <v>54</v>
      </c>
      <c r="AF23" s="10" t="s">
        <v>54</v>
      </c>
      <c r="AG23" s="10" t="s">
        <v>54</v>
      </c>
      <c r="AH23" s="10" t="s">
        <v>10</v>
      </c>
      <c r="AI23" s="10">
        <v>7</v>
      </c>
      <c r="AJ23" s="10" t="s">
        <v>14</v>
      </c>
      <c r="AK23" s="22" t="s">
        <v>54</v>
      </c>
    </row>
    <row r="24" spans="1:40" ht="11.25" customHeight="1">
      <c r="A24" s="35">
        <v>22</v>
      </c>
      <c r="B24" s="42" t="str">
        <f>Списък!B23</f>
        <v>Мерджанова</v>
      </c>
      <c r="C24" s="34" t="s">
        <v>4</v>
      </c>
      <c r="D24" s="10" t="s">
        <v>7</v>
      </c>
      <c r="E24" s="10" t="s">
        <v>49</v>
      </c>
      <c r="F24" s="10" t="s">
        <v>49</v>
      </c>
      <c r="G24" s="10" t="s">
        <v>54</v>
      </c>
      <c r="H24" s="10" t="s">
        <v>54</v>
      </c>
      <c r="I24" s="10" t="s">
        <v>54</v>
      </c>
      <c r="J24" s="20" t="s">
        <v>54</v>
      </c>
      <c r="K24" s="20" t="s">
        <v>6</v>
      </c>
      <c r="L24" s="20" t="s">
        <v>6</v>
      </c>
      <c r="M24" s="20" t="s">
        <v>52</v>
      </c>
      <c r="N24" s="20" t="s">
        <v>54</v>
      </c>
      <c r="O24" s="20" t="s">
        <v>49</v>
      </c>
      <c r="P24" s="20" t="s">
        <v>49</v>
      </c>
      <c r="Q24" s="10" t="s">
        <v>49</v>
      </c>
      <c r="R24" s="10" t="s">
        <v>54</v>
      </c>
      <c r="S24" s="10" t="s">
        <v>6</v>
      </c>
      <c r="T24" s="10" t="s">
        <v>4</v>
      </c>
      <c r="U24" s="10" t="s">
        <v>7</v>
      </c>
      <c r="V24" s="10" t="s">
        <v>7</v>
      </c>
      <c r="W24" s="33" t="s">
        <v>6</v>
      </c>
      <c r="X24" s="20" t="s">
        <v>54</v>
      </c>
      <c r="Y24" s="20" t="s">
        <v>54</v>
      </c>
      <c r="Z24" s="20" t="s">
        <v>4</v>
      </c>
      <c r="AA24" s="20" t="s">
        <v>52</v>
      </c>
      <c r="AB24" s="20" t="s">
        <v>49</v>
      </c>
      <c r="AC24" s="20" t="s">
        <v>6</v>
      </c>
      <c r="AD24" s="204" t="s">
        <v>54</v>
      </c>
      <c r="AE24" s="10" t="s">
        <v>54</v>
      </c>
      <c r="AF24" s="10" t="s">
        <v>54</v>
      </c>
      <c r="AG24" s="10" t="s">
        <v>54</v>
      </c>
      <c r="AH24" s="10" t="s">
        <v>54</v>
      </c>
      <c r="AI24" s="10" t="s">
        <v>49</v>
      </c>
      <c r="AJ24" s="10" t="s">
        <v>49</v>
      </c>
      <c r="AK24" s="22" t="s">
        <v>54</v>
      </c>
    </row>
    <row r="25" spans="1:40" ht="11.25" customHeight="1">
      <c r="A25" s="35">
        <v>23</v>
      </c>
      <c r="B25" s="42" t="str">
        <f>Списък!B24</f>
        <v>Гочева</v>
      </c>
      <c r="C25" s="34" t="s">
        <v>46</v>
      </c>
      <c r="D25" s="10" t="s">
        <v>16</v>
      </c>
      <c r="E25" s="10" t="s">
        <v>17</v>
      </c>
      <c r="F25" s="10" t="s">
        <v>1</v>
      </c>
      <c r="G25" s="10" t="s">
        <v>54</v>
      </c>
      <c r="H25" s="10" t="s">
        <v>54</v>
      </c>
      <c r="I25" s="10" t="s">
        <v>54</v>
      </c>
      <c r="J25" s="20" t="s">
        <v>54</v>
      </c>
      <c r="K25" s="20" t="s">
        <v>54</v>
      </c>
      <c r="L25" s="20" t="s">
        <v>54</v>
      </c>
      <c r="M25" s="20" t="s">
        <v>46</v>
      </c>
      <c r="N25" s="20" t="s">
        <v>18</v>
      </c>
      <c r="O25" s="20" t="s">
        <v>17</v>
      </c>
      <c r="P25" s="20" t="s">
        <v>16</v>
      </c>
      <c r="Q25" s="10" t="s">
        <v>1</v>
      </c>
      <c r="R25" s="10" t="s">
        <v>17</v>
      </c>
      <c r="S25" s="10" t="s">
        <v>17</v>
      </c>
      <c r="T25" s="10" t="s">
        <v>16</v>
      </c>
      <c r="U25" s="10" t="s">
        <v>16</v>
      </c>
      <c r="V25" s="10" t="s">
        <v>54</v>
      </c>
      <c r="W25" s="33" t="s">
        <v>16</v>
      </c>
      <c r="X25" s="20" t="s">
        <v>16</v>
      </c>
      <c r="Y25" s="20" t="s">
        <v>18</v>
      </c>
      <c r="Z25" s="20" t="s">
        <v>54</v>
      </c>
      <c r="AA25" s="20" t="s">
        <v>54</v>
      </c>
      <c r="AB25" s="20" t="s">
        <v>54</v>
      </c>
      <c r="AC25" s="20" t="s">
        <v>54</v>
      </c>
      <c r="AD25" s="204" t="s">
        <v>54</v>
      </c>
      <c r="AE25" s="10" t="s">
        <v>54</v>
      </c>
      <c r="AF25" s="10" t="s">
        <v>54</v>
      </c>
      <c r="AG25" s="10" t="s">
        <v>1</v>
      </c>
      <c r="AH25" s="10" t="s">
        <v>46</v>
      </c>
      <c r="AI25" s="10" t="s">
        <v>46</v>
      </c>
      <c r="AJ25" s="10" t="s">
        <v>17</v>
      </c>
      <c r="AK25" s="22" t="s">
        <v>54</v>
      </c>
    </row>
    <row r="26" spans="1:40" ht="11.25" customHeight="1">
      <c r="A26" s="35">
        <v>24</v>
      </c>
      <c r="B26" s="42" t="str">
        <f>Списък!B25</f>
        <v>Кръстева</v>
      </c>
      <c r="C26" s="34" t="s">
        <v>54</v>
      </c>
      <c r="D26" s="10" t="s">
        <v>54</v>
      </c>
      <c r="E26" s="10">
        <v>6</v>
      </c>
      <c r="F26" s="10" t="s">
        <v>54</v>
      </c>
      <c r="G26" s="10" t="s">
        <v>9</v>
      </c>
      <c r="H26" s="10" t="s">
        <v>12</v>
      </c>
      <c r="I26" s="10" t="s">
        <v>11</v>
      </c>
      <c r="J26" s="20" t="s">
        <v>12</v>
      </c>
      <c r="K26" s="20" t="s">
        <v>12</v>
      </c>
      <c r="L26" s="20">
        <v>6</v>
      </c>
      <c r="M26" s="20" t="s">
        <v>54</v>
      </c>
      <c r="N26" s="20" t="s">
        <v>11</v>
      </c>
      <c r="O26" s="20" t="s">
        <v>13</v>
      </c>
      <c r="P26" s="20" t="s">
        <v>9</v>
      </c>
      <c r="Q26" s="10">
        <v>6</v>
      </c>
      <c r="R26" s="10" t="s">
        <v>12</v>
      </c>
      <c r="S26" s="10" t="s">
        <v>13</v>
      </c>
      <c r="T26" s="10" t="s">
        <v>9</v>
      </c>
      <c r="U26" s="10" t="s">
        <v>11</v>
      </c>
      <c r="V26" s="10" t="s">
        <v>11</v>
      </c>
      <c r="W26" s="33" t="s">
        <v>11</v>
      </c>
      <c r="X26" s="20">
        <v>6</v>
      </c>
      <c r="Y26" s="20" t="s">
        <v>9</v>
      </c>
      <c r="Z26" s="20" t="s">
        <v>13</v>
      </c>
      <c r="AA26" s="20" t="s">
        <v>13</v>
      </c>
      <c r="AB26" s="20" t="s">
        <v>54</v>
      </c>
      <c r="AC26" s="20" t="s">
        <v>54</v>
      </c>
      <c r="AD26" s="204" t="s">
        <v>54</v>
      </c>
      <c r="AE26" s="10">
        <v>6</v>
      </c>
      <c r="AF26" s="10" t="s">
        <v>11</v>
      </c>
      <c r="AG26" s="10" t="s">
        <v>12</v>
      </c>
      <c r="AH26" s="10" t="s">
        <v>54</v>
      </c>
      <c r="AI26" s="10" t="s">
        <v>54</v>
      </c>
      <c r="AJ26" s="10" t="s">
        <v>54</v>
      </c>
      <c r="AK26" s="22" t="s">
        <v>54</v>
      </c>
    </row>
    <row r="27" spans="1:40" ht="11.25" customHeight="1">
      <c r="A27" s="35">
        <v>25</v>
      </c>
      <c r="B27" s="42" t="str">
        <f>Списък!B26</f>
        <v>Петкова</v>
      </c>
      <c r="C27" s="34" t="s">
        <v>51</v>
      </c>
      <c r="D27" s="10" t="s">
        <v>48</v>
      </c>
      <c r="E27" s="10" t="s">
        <v>50</v>
      </c>
      <c r="F27" s="10">
        <v>6</v>
      </c>
      <c r="G27" s="10" t="s">
        <v>49</v>
      </c>
      <c r="H27" s="10" t="s">
        <v>54</v>
      </c>
      <c r="I27" s="10" t="s">
        <v>54</v>
      </c>
      <c r="J27" s="20" t="s">
        <v>48</v>
      </c>
      <c r="K27" s="20" t="s">
        <v>49</v>
      </c>
      <c r="L27" s="20" t="s">
        <v>50</v>
      </c>
      <c r="M27" s="20" t="s">
        <v>51</v>
      </c>
      <c r="N27" s="20" t="s">
        <v>54</v>
      </c>
      <c r="O27" s="20" t="s">
        <v>54</v>
      </c>
      <c r="P27" s="20" t="s">
        <v>54</v>
      </c>
      <c r="Q27" s="10">
        <v>7</v>
      </c>
      <c r="R27" s="10">
        <v>6</v>
      </c>
      <c r="S27" s="10" t="s">
        <v>49</v>
      </c>
      <c r="T27" s="10" t="s">
        <v>50</v>
      </c>
      <c r="U27" s="10" t="s">
        <v>48</v>
      </c>
      <c r="V27" s="10" t="s">
        <v>54</v>
      </c>
      <c r="W27" s="33" t="s">
        <v>54</v>
      </c>
      <c r="X27" s="20" t="s">
        <v>48</v>
      </c>
      <c r="Y27" s="20" t="s">
        <v>48</v>
      </c>
      <c r="Z27" s="20" t="s">
        <v>49</v>
      </c>
      <c r="AA27" s="20" t="s">
        <v>49</v>
      </c>
      <c r="AB27" s="20" t="s">
        <v>54</v>
      </c>
      <c r="AC27" s="20" t="s">
        <v>54</v>
      </c>
      <c r="AD27" s="204" t="s">
        <v>54</v>
      </c>
      <c r="AE27" s="10" t="s">
        <v>51</v>
      </c>
      <c r="AF27" s="10" t="s">
        <v>51</v>
      </c>
      <c r="AG27" s="10" t="s">
        <v>50</v>
      </c>
      <c r="AH27" s="10" t="s">
        <v>50</v>
      </c>
      <c r="AI27" s="10" t="s">
        <v>54</v>
      </c>
      <c r="AJ27" s="10" t="s">
        <v>54</v>
      </c>
      <c r="AK27" s="22" t="s">
        <v>54</v>
      </c>
    </row>
    <row r="28" spans="1:40" ht="11.25" customHeight="1">
      <c r="A28" s="35">
        <v>26</v>
      </c>
      <c r="B28" s="42" t="str">
        <f>Списък!B27</f>
        <v>Г. Петрова</v>
      </c>
      <c r="C28" s="34" t="s">
        <v>54</v>
      </c>
      <c r="D28" s="10" t="s">
        <v>54</v>
      </c>
      <c r="E28" s="10" t="s">
        <v>54</v>
      </c>
      <c r="F28" s="10" t="s">
        <v>54</v>
      </c>
      <c r="G28" s="10" t="s">
        <v>54</v>
      </c>
      <c r="H28" s="10" t="s">
        <v>54</v>
      </c>
      <c r="I28" s="10" t="s">
        <v>54</v>
      </c>
      <c r="J28" s="20" t="s">
        <v>2</v>
      </c>
      <c r="K28" s="20" t="s">
        <v>113</v>
      </c>
      <c r="L28" s="20" t="s">
        <v>1</v>
      </c>
      <c r="M28" s="20" t="s">
        <v>54</v>
      </c>
      <c r="N28" s="20" t="s">
        <v>54</v>
      </c>
      <c r="O28" s="20" t="s">
        <v>54</v>
      </c>
      <c r="P28" s="20" t="s">
        <v>54</v>
      </c>
      <c r="Q28" s="10" t="s">
        <v>54</v>
      </c>
      <c r="R28" s="10" t="s">
        <v>54</v>
      </c>
      <c r="S28" s="10" t="s">
        <v>54</v>
      </c>
      <c r="T28" s="10" t="s">
        <v>54</v>
      </c>
      <c r="U28" s="10" t="s">
        <v>54</v>
      </c>
      <c r="V28" s="10" t="s">
        <v>54</v>
      </c>
      <c r="W28" s="33" t="s">
        <v>54</v>
      </c>
      <c r="X28" s="20" t="s">
        <v>54</v>
      </c>
      <c r="Y28" s="20" t="s">
        <v>54</v>
      </c>
      <c r="Z28" s="20" t="s">
        <v>54</v>
      </c>
      <c r="AA28" s="20" t="s">
        <v>54</v>
      </c>
      <c r="AB28" s="20" t="s">
        <v>54</v>
      </c>
      <c r="AC28" s="20" t="s">
        <v>54</v>
      </c>
      <c r="AD28" s="204" t="s">
        <v>54</v>
      </c>
      <c r="AE28" s="10" t="s">
        <v>54</v>
      </c>
      <c r="AF28" s="10" t="s">
        <v>54</v>
      </c>
      <c r="AG28" s="10" t="s">
        <v>54</v>
      </c>
      <c r="AH28" s="10" t="s">
        <v>54</v>
      </c>
      <c r="AI28" s="10" t="s">
        <v>54</v>
      </c>
      <c r="AJ28" s="10" t="s">
        <v>54</v>
      </c>
      <c r="AK28" s="22" t="s">
        <v>54</v>
      </c>
      <c r="AN28" s="23" t="s">
        <v>259</v>
      </c>
    </row>
    <row r="29" spans="1:40" ht="11.25" customHeight="1">
      <c r="A29" s="35">
        <v>27</v>
      </c>
      <c r="B29" s="42" t="str">
        <f>Списък!B28</f>
        <v>Киркова</v>
      </c>
      <c r="C29" s="34" t="s">
        <v>10</v>
      </c>
      <c r="D29" s="10" t="s">
        <v>12</v>
      </c>
      <c r="E29" s="10" t="s">
        <v>14</v>
      </c>
      <c r="F29" s="10" t="s">
        <v>13</v>
      </c>
      <c r="G29" s="10" t="s">
        <v>11</v>
      </c>
      <c r="H29" s="10" t="s">
        <v>54</v>
      </c>
      <c r="I29" s="10" t="s">
        <v>54</v>
      </c>
      <c r="J29" s="20" t="s">
        <v>13</v>
      </c>
      <c r="K29" s="20" t="s">
        <v>10</v>
      </c>
      <c r="L29" s="20" t="s">
        <v>11</v>
      </c>
      <c r="M29" s="20" t="s">
        <v>12</v>
      </c>
      <c r="N29" s="20" t="s">
        <v>54</v>
      </c>
      <c r="O29" s="20" t="s">
        <v>54</v>
      </c>
      <c r="P29" s="20" t="s">
        <v>54</v>
      </c>
      <c r="Q29" s="10" t="s">
        <v>12</v>
      </c>
      <c r="R29" s="10" t="s">
        <v>13</v>
      </c>
      <c r="S29" s="10" t="s">
        <v>11</v>
      </c>
      <c r="T29" s="10" t="s">
        <v>10</v>
      </c>
      <c r="U29" s="10" t="s">
        <v>14</v>
      </c>
      <c r="V29" s="10" t="s">
        <v>54</v>
      </c>
      <c r="W29" s="33" t="s">
        <v>54</v>
      </c>
      <c r="X29" s="20" t="s">
        <v>54</v>
      </c>
      <c r="Y29" s="20" t="s">
        <v>10</v>
      </c>
      <c r="Z29" s="20" t="s">
        <v>11</v>
      </c>
      <c r="AA29" s="20" t="s">
        <v>12</v>
      </c>
      <c r="AB29" s="20" t="s">
        <v>13</v>
      </c>
      <c r="AC29" s="20" t="s">
        <v>54</v>
      </c>
      <c r="AD29" s="204" t="s">
        <v>54</v>
      </c>
      <c r="AE29" s="10" t="s">
        <v>11</v>
      </c>
      <c r="AF29" s="10" t="s">
        <v>12</v>
      </c>
      <c r="AG29" s="10" t="s">
        <v>54</v>
      </c>
      <c r="AH29" s="10" t="s">
        <v>54</v>
      </c>
      <c r="AI29" s="10" t="s">
        <v>54</v>
      </c>
      <c r="AJ29" s="10" t="s">
        <v>54</v>
      </c>
      <c r="AK29" s="22" t="s">
        <v>54</v>
      </c>
    </row>
    <row r="30" spans="1:40" ht="11.25" customHeight="1">
      <c r="A30" s="35">
        <v>28</v>
      </c>
      <c r="B30" s="42" t="str">
        <f>Списък!B29</f>
        <v>К. Петрова</v>
      </c>
      <c r="C30" s="34" t="s">
        <v>10</v>
      </c>
      <c r="D30" s="10" t="s">
        <v>12</v>
      </c>
      <c r="E30" s="10" t="s">
        <v>14</v>
      </c>
      <c r="F30" s="10" t="s">
        <v>13</v>
      </c>
      <c r="G30" s="10" t="s">
        <v>11</v>
      </c>
      <c r="H30" s="10">
        <v>5</v>
      </c>
      <c r="I30" s="10" t="s">
        <v>54</v>
      </c>
      <c r="J30" s="20" t="s">
        <v>13</v>
      </c>
      <c r="K30" s="20" t="s">
        <v>10</v>
      </c>
      <c r="L30" s="20" t="s">
        <v>11</v>
      </c>
      <c r="M30" s="20" t="s">
        <v>12</v>
      </c>
      <c r="N30" s="20" t="s">
        <v>7</v>
      </c>
      <c r="O30" s="20" t="s">
        <v>8</v>
      </c>
      <c r="P30" s="20" t="s">
        <v>5</v>
      </c>
      <c r="Q30" s="10" t="s">
        <v>12</v>
      </c>
      <c r="R30" s="10" t="s">
        <v>13</v>
      </c>
      <c r="S30" s="10" t="s">
        <v>11</v>
      </c>
      <c r="T30" s="10" t="s">
        <v>10</v>
      </c>
      <c r="U30" s="10" t="s">
        <v>14</v>
      </c>
      <c r="V30" s="10" t="s">
        <v>54</v>
      </c>
      <c r="W30" s="33" t="s">
        <v>54</v>
      </c>
      <c r="X30" s="20" t="s">
        <v>54</v>
      </c>
      <c r="Y30" s="20" t="s">
        <v>10</v>
      </c>
      <c r="Z30" s="20" t="s">
        <v>11</v>
      </c>
      <c r="AA30" s="20" t="s">
        <v>12</v>
      </c>
      <c r="AB30" s="20" t="s">
        <v>13</v>
      </c>
      <c r="AC30" s="20">
        <v>5</v>
      </c>
      <c r="AD30" s="204" t="s">
        <v>54</v>
      </c>
      <c r="AE30" s="10" t="s">
        <v>11</v>
      </c>
      <c r="AF30" s="10" t="s">
        <v>12</v>
      </c>
      <c r="AG30" s="10" t="s">
        <v>54</v>
      </c>
      <c r="AH30" s="10" t="s">
        <v>54</v>
      </c>
      <c r="AI30" s="10" t="s">
        <v>54</v>
      </c>
      <c r="AJ30" s="10" t="s">
        <v>54</v>
      </c>
      <c r="AK30" s="22" t="s">
        <v>54</v>
      </c>
    </row>
    <row r="31" spans="1:40" ht="11.25" customHeight="1">
      <c r="A31" s="35">
        <v>29</v>
      </c>
      <c r="B31" s="42" t="str">
        <f>Списък!B30</f>
        <v>Димитрова</v>
      </c>
      <c r="C31" s="34" t="s">
        <v>51</v>
      </c>
      <c r="D31" s="10" t="s">
        <v>48</v>
      </c>
      <c r="E31" s="10" t="s">
        <v>50</v>
      </c>
      <c r="F31" s="10">
        <v>5</v>
      </c>
      <c r="G31" s="10" t="s">
        <v>49</v>
      </c>
      <c r="H31" s="10" t="s">
        <v>1</v>
      </c>
      <c r="I31" s="10" t="s">
        <v>54</v>
      </c>
      <c r="J31" s="20" t="s">
        <v>48</v>
      </c>
      <c r="K31" s="20" t="s">
        <v>49</v>
      </c>
      <c r="L31" s="20" t="s">
        <v>50</v>
      </c>
      <c r="M31" s="20" t="s">
        <v>51</v>
      </c>
      <c r="N31" s="20" t="s">
        <v>7</v>
      </c>
      <c r="O31" s="20" t="s">
        <v>8</v>
      </c>
      <c r="P31" s="20" t="s">
        <v>5</v>
      </c>
      <c r="Q31" s="10" t="s">
        <v>54</v>
      </c>
      <c r="R31" s="10" t="s">
        <v>54</v>
      </c>
      <c r="S31" s="10" t="s">
        <v>49</v>
      </c>
      <c r="T31" s="10" t="s">
        <v>50</v>
      </c>
      <c r="U31" s="10" t="s">
        <v>48</v>
      </c>
      <c r="V31" s="10" t="s">
        <v>54</v>
      </c>
      <c r="W31" s="33" t="s">
        <v>54</v>
      </c>
      <c r="X31" s="20" t="s">
        <v>48</v>
      </c>
      <c r="Y31" s="20" t="s">
        <v>48</v>
      </c>
      <c r="Z31" s="20" t="s">
        <v>49</v>
      </c>
      <c r="AA31" s="20" t="s">
        <v>49</v>
      </c>
      <c r="AB31" s="20" t="s">
        <v>1</v>
      </c>
      <c r="AC31" s="20">
        <v>5</v>
      </c>
      <c r="AD31" s="204" t="s">
        <v>54</v>
      </c>
      <c r="AE31" s="10" t="s">
        <v>51</v>
      </c>
      <c r="AF31" s="10" t="s">
        <v>51</v>
      </c>
      <c r="AG31" s="10" t="s">
        <v>50</v>
      </c>
      <c r="AH31" s="10" t="s">
        <v>50</v>
      </c>
      <c r="AI31" s="10" t="s">
        <v>54</v>
      </c>
      <c r="AJ31" s="10" t="s">
        <v>54</v>
      </c>
      <c r="AK31" s="22" t="s">
        <v>54</v>
      </c>
    </row>
    <row r="32" spans="1:40" ht="11.25" customHeight="1">
      <c r="A32" s="35">
        <v>30</v>
      </c>
      <c r="B32" s="42" t="str">
        <f>Списък!B31</f>
        <v>Христонова</v>
      </c>
      <c r="C32" s="34" t="s">
        <v>54</v>
      </c>
      <c r="D32" s="10" t="s">
        <v>54</v>
      </c>
      <c r="E32" s="10" t="s">
        <v>54</v>
      </c>
      <c r="F32" s="10" t="s">
        <v>54</v>
      </c>
      <c r="G32" s="10" t="s">
        <v>54</v>
      </c>
      <c r="H32" s="10" t="s">
        <v>16</v>
      </c>
      <c r="I32" s="10" t="s">
        <v>17</v>
      </c>
      <c r="J32" s="20" t="s">
        <v>15</v>
      </c>
      <c r="K32" s="20" t="s">
        <v>46</v>
      </c>
      <c r="L32" s="20" t="s">
        <v>16</v>
      </c>
      <c r="M32" s="20" t="s">
        <v>17</v>
      </c>
      <c r="N32" s="20" t="s">
        <v>4</v>
      </c>
      <c r="O32" s="20" t="s">
        <v>3</v>
      </c>
      <c r="P32" s="20" t="s">
        <v>54</v>
      </c>
      <c r="Q32" s="10" t="s">
        <v>6</v>
      </c>
      <c r="R32" s="10" t="s">
        <v>5</v>
      </c>
      <c r="S32" s="10" t="s">
        <v>16</v>
      </c>
      <c r="T32" s="10" t="s">
        <v>15</v>
      </c>
      <c r="U32" s="10" t="s">
        <v>46</v>
      </c>
      <c r="V32" s="10" t="s">
        <v>17</v>
      </c>
      <c r="W32" s="33" t="s">
        <v>54</v>
      </c>
      <c r="X32" s="20" t="s">
        <v>54</v>
      </c>
      <c r="Y32" s="20" t="s">
        <v>54</v>
      </c>
      <c r="Z32" s="20" t="s">
        <v>54</v>
      </c>
      <c r="AA32" s="20" t="s">
        <v>54</v>
      </c>
      <c r="AB32" s="20" t="s">
        <v>15</v>
      </c>
      <c r="AC32" s="20" t="s">
        <v>16</v>
      </c>
      <c r="AD32" s="204" t="s">
        <v>54</v>
      </c>
      <c r="AE32" s="10" t="s">
        <v>17</v>
      </c>
      <c r="AF32" s="10" t="s">
        <v>46</v>
      </c>
      <c r="AG32" s="10" t="s">
        <v>54</v>
      </c>
      <c r="AH32" s="10" t="s">
        <v>9</v>
      </c>
      <c r="AI32" s="10" t="s">
        <v>7</v>
      </c>
      <c r="AJ32" s="10" t="s">
        <v>8</v>
      </c>
      <c r="AK32" s="22" t="s">
        <v>54</v>
      </c>
    </row>
    <row r="33" spans="1:40" ht="11.25" customHeight="1">
      <c r="A33" s="35">
        <v>31</v>
      </c>
      <c r="B33" s="42" t="str">
        <f>Списък!B32</f>
        <v>Янева</v>
      </c>
      <c r="C33" s="34" t="s">
        <v>3</v>
      </c>
      <c r="D33" s="10" t="s">
        <v>4</v>
      </c>
      <c r="E33" s="10" t="s">
        <v>113</v>
      </c>
      <c r="F33" s="10">
        <v>6</v>
      </c>
      <c r="G33" s="10" t="s">
        <v>2</v>
      </c>
      <c r="H33" s="10" t="s">
        <v>1</v>
      </c>
      <c r="I33" s="10" t="s">
        <v>54</v>
      </c>
      <c r="J33" s="20" t="s">
        <v>2</v>
      </c>
      <c r="K33" s="20" t="s">
        <v>113</v>
      </c>
      <c r="L33" s="20" t="s">
        <v>1</v>
      </c>
      <c r="M33" s="20" t="s">
        <v>54</v>
      </c>
      <c r="N33" s="20" t="s">
        <v>4</v>
      </c>
      <c r="O33" s="20" t="s">
        <v>3</v>
      </c>
      <c r="P33" s="20" t="s">
        <v>54</v>
      </c>
      <c r="Q33" s="10" t="s">
        <v>6</v>
      </c>
      <c r="R33" s="10" t="s">
        <v>5</v>
      </c>
      <c r="S33" s="10">
        <v>7</v>
      </c>
      <c r="T33" s="10">
        <v>6</v>
      </c>
      <c r="U33" s="10" t="s">
        <v>54</v>
      </c>
      <c r="V33" s="10" t="s">
        <v>54</v>
      </c>
      <c r="W33" s="33" t="s">
        <v>54</v>
      </c>
      <c r="X33" s="20" t="s">
        <v>113</v>
      </c>
      <c r="Y33" s="20" t="s">
        <v>4</v>
      </c>
      <c r="Z33" s="20" t="s">
        <v>2</v>
      </c>
      <c r="AA33" s="20" t="s">
        <v>3</v>
      </c>
      <c r="AB33" s="20" t="s">
        <v>1</v>
      </c>
      <c r="AC33" s="20" t="s">
        <v>54</v>
      </c>
      <c r="AD33" s="204" t="s">
        <v>54</v>
      </c>
      <c r="AE33" s="10" t="s">
        <v>54</v>
      </c>
      <c r="AF33" s="10" t="s">
        <v>54</v>
      </c>
      <c r="AG33" s="10" t="s">
        <v>54</v>
      </c>
      <c r="AH33" s="10" t="s">
        <v>9</v>
      </c>
      <c r="AI33" s="10" t="s">
        <v>7</v>
      </c>
      <c r="AJ33" s="10" t="s">
        <v>8</v>
      </c>
      <c r="AK33" s="22" t="s">
        <v>54</v>
      </c>
    </row>
    <row r="34" spans="1:40" ht="11.25" customHeight="1">
      <c r="A34" s="35">
        <v>32</v>
      </c>
      <c r="B34" s="42" t="str">
        <f>Списък!B33</f>
        <v>Цветков</v>
      </c>
      <c r="C34" s="34" t="s">
        <v>3</v>
      </c>
      <c r="D34" s="10" t="s">
        <v>4</v>
      </c>
      <c r="E34" s="10" t="s">
        <v>113</v>
      </c>
      <c r="F34" s="10" t="s">
        <v>54</v>
      </c>
      <c r="G34" s="10" t="s">
        <v>2</v>
      </c>
      <c r="H34" s="10" t="s">
        <v>16</v>
      </c>
      <c r="I34" s="10" t="s">
        <v>17</v>
      </c>
      <c r="J34" s="20" t="s">
        <v>15</v>
      </c>
      <c r="K34" s="20" t="s">
        <v>46</v>
      </c>
      <c r="L34" s="20" t="s">
        <v>16</v>
      </c>
      <c r="M34" s="20" t="s">
        <v>17</v>
      </c>
      <c r="N34" s="20" t="s">
        <v>54</v>
      </c>
      <c r="O34" s="20" t="s">
        <v>54</v>
      </c>
      <c r="P34" s="20" t="s">
        <v>54</v>
      </c>
      <c r="Q34" s="10" t="s">
        <v>54</v>
      </c>
      <c r="R34" s="10" t="s">
        <v>54</v>
      </c>
      <c r="S34" s="10" t="s">
        <v>16</v>
      </c>
      <c r="T34" s="10" t="s">
        <v>15</v>
      </c>
      <c r="U34" s="10" t="s">
        <v>46</v>
      </c>
      <c r="V34" s="10" t="s">
        <v>17</v>
      </c>
      <c r="W34" s="33" t="s">
        <v>54</v>
      </c>
      <c r="X34" s="20" t="s">
        <v>113</v>
      </c>
      <c r="Y34" s="20" t="s">
        <v>4</v>
      </c>
      <c r="Z34" s="20" t="s">
        <v>2</v>
      </c>
      <c r="AA34" s="20" t="s">
        <v>3</v>
      </c>
      <c r="AB34" s="20" t="s">
        <v>15</v>
      </c>
      <c r="AC34" s="20" t="s">
        <v>16</v>
      </c>
      <c r="AD34" s="204" t="s">
        <v>54</v>
      </c>
      <c r="AE34" s="10" t="s">
        <v>17</v>
      </c>
      <c r="AF34" s="10" t="s">
        <v>46</v>
      </c>
      <c r="AG34" s="10" t="s">
        <v>54</v>
      </c>
      <c r="AH34" s="10" t="s">
        <v>54</v>
      </c>
      <c r="AI34" s="10" t="s">
        <v>54</v>
      </c>
      <c r="AJ34" s="10" t="s">
        <v>54</v>
      </c>
      <c r="AK34" s="22" t="s">
        <v>54</v>
      </c>
    </row>
    <row r="35" spans="1:40" ht="11.25" customHeight="1">
      <c r="A35" s="35">
        <v>33</v>
      </c>
      <c r="B35" s="42" t="str">
        <f>Списък!B34</f>
        <v>Киров</v>
      </c>
      <c r="C35" s="34" t="s">
        <v>18</v>
      </c>
      <c r="D35" s="10" t="s">
        <v>54</v>
      </c>
      <c r="E35" s="10">
        <v>7</v>
      </c>
      <c r="F35" s="10" t="s">
        <v>46</v>
      </c>
      <c r="G35" s="10" t="s">
        <v>17</v>
      </c>
      <c r="H35" s="10" t="s">
        <v>10</v>
      </c>
      <c r="I35" s="10" t="s">
        <v>16</v>
      </c>
      <c r="J35" s="20">
        <v>7</v>
      </c>
      <c r="K35" s="20" t="s">
        <v>13</v>
      </c>
      <c r="L35" s="20" t="s">
        <v>15</v>
      </c>
      <c r="M35" s="20" t="s">
        <v>54</v>
      </c>
      <c r="N35" s="20">
        <v>5</v>
      </c>
      <c r="O35" s="20" t="s">
        <v>54</v>
      </c>
      <c r="P35" s="20" t="s">
        <v>54</v>
      </c>
      <c r="Q35" s="10" t="s">
        <v>16</v>
      </c>
      <c r="R35" s="10" t="s">
        <v>10</v>
      </c>
      <c r="S35" s="10" t="s">
        <v>18</v>
      </c>
      <c r="T35" s="10">
        <v>5</v>
      </c>
      <c r="U35" s="10" t="s">
        <v>17</v>
      </c>
      <c r="V35" s="10" t="s">
        <v>15</v>
      </c>
      <c r="W35" s="33" t="s">
        <v>10</v>
      </c>
      <c r="X35" s="20" t="s">
        <v>54</v>
      </c>
      <c r="Y35" s="20" t="s">
        <v>54</v>
      </c>
      <c r="Z35" s="20" t="s">
        <v>10</v>
      </c>
      <c r="AA35" s="20">
        <v>6</v>
      </c>
      <c r="AB35" s="20" t="s">
        <v>46</v>
      </c>
      <c r="AC35" s="20" t="s">
        <v>12</v>
      </c>
      <c r="AD35" s="204" t="s">
        <v>54</v>
      </c>
      <c r="AE35" s="10" t="s">
        <v>54</v>
      </c>
      <c r="AF35" s="10" t="s">
        <v>54</v>
      </c>
      <c r="AG35" s="10" t="s">
        <v>54</v>
      </c>
      <c r="AH35" s="10" t="s">
        <v>54</v>
      </c>
      <c r="AI35" s="10" t="s">
        <v>14</v>
      </c>
      <c r="AJ35" s="10" t="s">
        <v>11</v>
      </c>
      <c r="AK35" s="22" t="s">
        <v>54</v>
      </c>
    </row>
    <row r="36" spans="1:40" ht="11.25" customHeight="1">
      <c r="A36" s="35">
        <v>34</v>
      </c>
      <c r="B36" s="42" t="str">
        <f>Списък!B35</f>
        <v>Латева</v>
      </c>
      <c r="C36" s="34" t="s">
        <v>7</v>
      </c>
      <c r="D36" s="10" t="s">
        <v>9</v>
      </c>
      <c r="E36" s="10" t="s">
        <v>5</v>
      </c>
      <c r="F36" s="10" t="s">
        <v>6</v>
      </c>
      <c r="G36" s="10" t="s">
        <v>8</v>
      </c>
      <c r="H36" s="10" t="s">
        <v>50</v>
      </c>
      <c r="I36" s="10" t="s">
        <v>51</v>
      </c>
      <c r="J36" s="20" t="s">
        <v>49</v>
      </c>
      <c r="K36" s="20" t="s">
        <v>48</v>
      </c>
      <c r="L36" s="20" t="s">
        <v>52</v>
      </c>
      <c r="M36" s="20" t="s">
        <v>9</v>
      </c>
      <c r="N36" s="20" t="s">
        <v>9</v>
      </c>
      <c r="O36" s="20" t="s">
        <v>50</v>
      </c>
      <c r="P36" s="20" t="s">
        <v>8</v>
      </c>
      <c r="Q36" s="10" t="s">
        <v>54</v>
      </c>
      <c r="R36" s="10" t="s">
        <v>54</v>
      </c>
      <c r="S36" s="10" t="s">
        <v>54</v>
      </c>
      <c r="T36" s="10" t="s">
        <v>8</v>
      </c>
      <c r="U36" s="10" t="s">
        <v>54</v>
      </c>
      <c r="V36" s="10" t="s">
        <v>9</v>
      </c>
      <c r="W36" s="33" t="s">
        <v>50</v>
      </c>
      <c r="X36" s="20" t="s">
        <v>50</v>
      </c>
      <c r="Y36" s="20" t="s">
        <v>54</v>
      </c>
      <c r="Z36" s="20" t="s">
        <v>8</v>
      </c>
      <c r="AA36" s="20" t="s">
        <v>6</v>
      </c>
      <c r="AB36" s="20" t="s">
        <v>5</v>
      </c>
      <c r="AC36" s="20" t="s">
        <v>9</v>
      </c>
      <c r="AD36" s="204" t="s">
        <v>54</v>
      </c>
      <c r="AE36" s="10" t="s">
        <v>7</v>
      </c>
      <c r="AF36" s="10" t="s">
        <v>9</v>
      </c>
      <c r="AG36" s="10" t="s">
        <v>8</v>
      </c>
      <c r="AH36" s="10" t="s">
        <v>8</v>
      </c>
      <c r="AI36" s="10" t="s">
        <v>54</v>
      </c>
      <c r="AJ36" s="10" t="s">
        <v>54</v>
      </c>
      <c r="AK36" s="22" t="s">
        <v>54</v>
      </c>
    </row>
    <row r="37" spans="1:40" ht="11.25" customHeight="1">
      <c r="A37" s="35">
        <v>35</v>
      </c>
      <c r="B37" s="42" t="str">
        <f>Списък!B36</f>
        <v>Славова</v>
      </c>
      <c r="C37" s="34" t="s">
        <v>11</v>
      </c>
      <c r="D37" s="10" t="s">
        <v>54</v>
      </c>
      <c r="E37" s="10" t="s">
        <v>16</v>
      </c>
      <c r="F37" s="10" t="s">
        <v>15</v>
      </c>
      <c r="G37" s="10" t="s">
        <v>46</v>
      </c>
      <c r="H37" s="10" t="s">
        <v>18</v>
      </c>
      <c r="I37" s="10" t="s">
        <v>12</v>
      </c>
      <c r="J37" s="20" t="s">
        <v>54</v>
      </c>
      <c r="K37" s="20" t="s">
        <v>54</v>
      </c>
      <c r="L37" s="20" t="s">
        <v>54</v>
      </c>
      <c r="M37" s="20" t="s">
        <v>54</v>
      </c>
      <c r="N37" s="20" t="s">
        <v>51</v>
      </c>
      <c r="O37" s="20" t="s">
        <v>52</v>
      </c>
      <c r="P37" s="20" t="s">
        <v>50</v>
      </c>
      <c r="Q37" s="10" t="s">
        <v>54</v>
      </c>
      <c r="R37" s="10" t="s">
        <v>11</v>
      </c>
      <c r="S37" s="10" t="s">
        <v>12</v>
      </c>
      <c r="T37" s="10" t="s">
        <v>17</v>
      </c>
      <c r="U37" s="10" t="s">
        <v>54</v>
      </c>
      <c r="V37" s="10" t="s">
        <v>48</v>
      </c>
      <c r="W37" s="33" t="s">
        <v>49</v>
      </c>
      <c r="X37" s="20" t="s">
        <v>49</v>
      </c>
      <c r="Y37" s="20" t="s">
        <v>17</v>
      </c>
      <c r="Z37" s="20" t="s">
        <v>15</v>
      </c>
      <c r="AA37" s="20" t="s">
        <v>46</v>
      </c>
      <c r="AB37" s="20" t="s">
        <v>54</v>
      </c>
      <c r="AC37" s="20" t="s">
        <v>51</v>
      </c>
      <c r="AD37" s="204" t="s">
        <v>54</v>
      </c>
      <c r="AE37" s="10" t="s">
        <v>18</v>
      </c>
      <c r="AF37" s="10" t="s">
        <v>48</v>
      </c>
      <c r="AG37" s="10" t="s">
        <v>49</v>
      </c>
      <c r="AH37" s="10" t="s">
        <v>52</v>
      </c>
      <c r="AI37" s="10" t="s">
        <v>50</v>
      </c>
      <c r="AJ37" s="10" t="s">
        <v>16</v>
      </c>
      <c r="AK37" s="22" t="s">
        <v>54</v>
      </c>
    </row>
    <row r="38" spans="1:40" ht="11.25" customHeight="1">
      <c r="A38" s="35">
        <v>36</v>
      </c>
      <c r="B38" s="42" t="str">
        <f>Списък!B37</f>
        <v>Никова</v>
      </c>
      <c r="C38" s="34" t="s">
        <v>5</v>
      </c>
      <c r="D38" s="10" t="s">
        <v>54</v>
      </c>
      <c r="E38" s="10" t="s">
        <v>13</v>
      </c>
      <c r="F38" s="10" t="s">
        <v>7</v>
      </c>
      <c r="G38" s="10" t="s">
        <v>6</v>
      </c>
      <c r="H38" s="10">
        <v>6</v>
      </c>
      <c r="I38" s="10" t="s">
        <v>14</v>
      </c>
      <c r="J38" s="20" t="s">
        <v>6</v>
      </c>
      <c r="K38" s="20" t="s">
        <v>7</v>
      </c>
      <c r="L38" s="20" t="s">
        <v>5</v>
      </c>
      <c r="M38" s="20">
        <v>7</v>
      </c>
      <c r="N38" s="20" t="s">
        <v>54</v>
      </c>
      <c r="O38" s="20" t="s">
        <v>54</v>
      </c>
      <c r="P38" s="20" t="s">
        <v>54</v>
      </c>
      <c r="Q38" s="10" t="s">
        <v>14</v>
      </c>
      <c r="R38" s="10" t="s">
        <v>6</v>
      </c>
      <c r="S38" s="10" t="s">
        <v>5</v>
      </c>
      <c r="T38" s="10" t="s">
        <v>7</v>
      </c>
      <c r="U38" s="10" t="s">
        <v>13</v>
      </c>
      <c r="V38" s="10" t="s">
        <v>54</v>
      </c>
      <c r="W38" s="33">
        <v>6</v>
      </c>
      <c r="X38" s="20" t="s">
        <v>54</v>
      </c>
      <c r="Y38" s="20" t="s">
        <v>54</v>
      </c>
      <c r="Z38" s="20" t="s">
        <v>54</v>
      </c>
      <c r="AA38" s="20" t="s">
        <v>54</v>
      </c>
      <c r="AB38" s="20">
        <v>5</v>
      </c>
      <c r="AC38" s="20">
        <v>7</v>
      </c>
      <c r="AD38" s="204" t="s">
        <v>54</v>
      </c>
      <c r="AE38" s="10" t="s">
        <v>5</v>
      </c>
      <c r="AF38" s="10">
        <v>5</v>
      </c>
      <c r="AG38" s="10" t="s">
        <v>7</v>
      </c>
      <c r="AH38" s="10">
        <v>6</v>
      </c>
      <c r="AI38" s="10" t="s">
        <v>54</v>
      </c>
      <c r="AJ38" s="10" t="s">
        <v>6</v>
      </c>
      <c r="AK38" s="22" t="s">
        <v>54</v>
      </c>
    </row>
    <row r="39" spans="1:40" ht="11.25" customHeight="1">
      <c r="A39" s="35">
        <v>37</v>
      </c>
      <c r="B39" s="42" t="str">
        <f>Списък!B38</f>
        <v>В. Иванова</v>
      </c>
      <c r="C39" s="34" t="s">
        <v>54</v>
      </c>
      <c r="D39" s="10" t="s">
        <v>54</v>
      </c>
      <c r="E39" s="10" t="s">
        <v>54</v>
      </c>
      <c r="F39" s="10" t="s">
        <v>54</v>
      </c>
      <c r="G39" s="10" t="s">
        <v>4</v>
      </c>
      <c r="H39" s="10" t="s">
        <v>3</v>
      </c>
      <c r="I39" s="10" t="s">
        <v>2</v>
      </c>
      <c r="J39" s="20" t="s">
        <v>14</v>
      </c>
      <c r="K39" s="20" t="s">
        <v>1</v>
      </c>
      <c r="L39" s="20" t="s">
        <v>46</v>
      </c>
      <c r="M39" s="20" t="s">
        <v>54</v>
      </c>
      <c r="N39" s="20" t="s">
        <v>12</v>
      </c>
      <c r="O39" s="20" t="s">
        <v>113</v>
      </c>
      <c r="P39" s="20" t="s">
        <v>10</v>
      </c>
      <c r="Q39" s="10" t="s">
        <v>54</v>
      </c>
      <c r="R39" s="10" t="s">
        <v>54</v>
      </c>
      <c r="S39" s="10" t="s">
        <v>54</v>
      </c>
      <c r="T39" s="10" t="s">
        <v>54</v>
      </c>
      <c r="U39" s="10" t="s">
        <v>10</v>
      </c>
      <c r="V39" s="10" t="s">
        <v>13</v>
      </c>
      <c r="W39" s="33" t="s">
        <v>54</v>
      </c>
      <c r="X39" s="20" t="s">
        <v>18</v>
      </c>
      <c r="Y39" s="20" t="s">
        <v>13</v>
      </c>
      <c r="Z39" s="20" t="s">
        <v>54</v>
      </c>
      <c r="AA39" s="20" t="s">
        <v>11</v>
      </c>
      <c r="AB39" s="20" t="s">
        <v>12</v>
      </c>
      <c r="AC39" s="20" t="s">
        <v>14</v>
      </c>
      <c r="AD39" s="204" t="s">
        <v>54</v>
      </c>
      <c r="AE39" s="10" t="s">
        <v>54</v>
      </c>
      <c r="AF39" s="10" t="s">
        <v>54</v>
      </c>
      <c r="AG39" s="10" t="s">
        <v>16</v>
      </c>
      <c r="AH39" s="10" t="s">
        <v>17</v>
      </c>
      <c r="AI39" s="10" t="s">
        <v>11</v>
      </c>
      <c r="AJ39" s="10" t="s">
        <v>15</v>
      </c>
      <c r="AK39" s="22" t="s">
        <v>54</v>
      </c>
    </row>
    <row r="40" spans="1:40" ht="11.25" customHeight="1">
      <c r="A40" s="35">
        <v>38</v>
      </c>
      <c r="B40" s="42" t="str">
        <f>Списък!B39</f>
        <v>Паронова</v>
      </c>
      <c r="C40" s="34">
        <v>5</v>
      </c>
      <c r="D40" s="10">
        <v>6</v>
      </c>
      <c r="E40" s="10" t="s">
        <v>54</v>
      </c>
      <c r="F40" s="10" t="s">
        <v>54</v>
      </c>
      <c r="G40" s="10" t="s">
        <v>54</v>
      </c>
      <c r="H40" s="10" t="s">
        <v>54</v>
      </c>
      <c r="I40" s="10" t="s">
        <v>54</v>
      </c>
      <c r="J40" s="20" t="s">
        <v>16</v>
      </c>
      <c r="K40" s="20" t="s">
        <v>15</v>
      </c>
      <c r="L40" s="20" t="s">
        <v>10</v>
      </c>
      <c r="M40" s="20">
        <v>6</v>
      </c>
      <c r="N40" s="20" t="s">
        <v>46</v>
      </c>
      <c r="O40" s="20" t="s">
        <v>18</v>
      </c>
      <c r="P40" s="20" t="s">
        <v>17</v>
      </c>
      <c r="Q40" s="10" t="s">
        <v>54</v>
      </c>
      <c r="R40" s="10" t="s">
        <v>54</v>
      </c>
      <c r="S40" s="10" t="s">
        <v>54</v>
      </c>
      <c r="T40" s="10" t="s">
        <v>13</v>
      </c>
      <c r="U40" s="10">
        <v>6</v>
      </c>
      <c r="V40" s="10" t="s">
        <v>14</v>
      </c>
      <c r="W40" s="33" t="s">
        <v>13</v>
      </c>
      <c r="X40" s="20">
        <v>5</v>
      </c>
      <c r="Y40" s="20" t="s">
        <v>15</v>
      </c>
      <c r="Z40" s="20" t="s">
        <v>16</v>
      </c>
      <c r="AA40" s="20" t="s">
        <v>54</v>
      </c>
      <c r="AB40" s="20" t="s">
        <v>17</v>
      </c>
      <c r="AC40" s="20" t="s">
        <v>46</v>
      </c>
      <c r="AD40" s="204" t="s">
        <v>54</v>
      </c>
      <c r="AE40" s="10" t="s">
        <v>14</v>
      </c>
      <c r="AF40" s="10" t="s">
        <v>10</v>
      </c>
      <c r="AG40" s="10" t="s">
        <v>54</v>
      </c>
      <c r="AH40" s="10" t="s">
        <v>18</v>
      </c>
      <c r="AI40" s="10" t="s">
        <v>13</v>
      </c>
      <c r="AJ40" s="10" t="s">
        <v>54</v>
      </c>
      <c r="AK40" s="22" t="s">
        <v>54</v>
      </c>
      <c r="AM40" s="23" t="s">
        <v>124</v>
      </c>
      <c r="AN40" s="23">
        <v>29</v>
      </c>
    </row>
    <row r="41" spans="1:40" ht="11.25" customHeight="1">
      <c r="A41" s="35">
        <v>39</v>
      </c>
      <c r="B41" s="42" t="str">
        <f>Списък!B40</f>
        <v>Влашинска</v>
      </c>
      <c r="C41" s="34" t="s">
        <v>48</v>
      </c>
      <c r="D41" s="10" t="s">
        <v>52</v>
      </c>
      <c r="E41" s="10" t="s">
        <v>8</v>
      </c>
      <c r="F41" s="10" t="s">
        <v>50</v>
      </c>
      <c r="G41" s="10" t="s">
        <v>51</v>
      </c>
      <c r="H41" s="10" t="s">
        <v>49</v>
      </c>
      <c r="I41" s="10">
        <v>7</v>
      </c>
      <c r="J41" s="20" t="s">
        <v>9</v>
      </c>
      <c r="K41" s="20" t="s">
        <v>5</v>
      </c>
      <c r="L41" s="20" t="s">
        <v>12</v>
      </c>
      <c r="M41" s="20" t="s">
        <v>7</v>
      </c>
      <c r="N41" s="20" t="s">
        <v>8</v>
      </c>
      <c r="O41" s="20" t="s">
        <v>6</v>
      </c>
      <c r="P41" s="20" t="s">
        <v>54</v>
      </c>
      <c r="Q41" s="10" t="s">
        <v>5</v>
      </c>
      <c r="R41" s="10" t="s">
        <v>7</v>
      </c>
      <c r="S41" s="10" t="s">
        <v>9</v>
      </c>
      <c r="T41" s="10" t="s">
        <v>11</v>
      </c>
      <c r="U41" s="10" t="s">
        <v>54</v>
      </c>
      <c r="V41" s="10" t="s">
        <v>6</v>
      </c>
      <c r="W41" s="33" t="s">
        <v>7</v>
      </c>
      <c r="X41" s="20" t="s">
        <v>7</v>
      </c>
      <c r="Y41" s="20" t="s">
        <v>6</v>
      </c>
      <c r="Z41" s="20" t="s">
        <v>54</v>
      </c>
      <c r="AA41" s="20" t="s">
        <v>54</v>
      </c>
      <c r="AB41" s="20" t="s">
        <v>54</v>
      </c>
      <c r="AC41" s="20" t="s">
        <v>54</v>
      </c>
      <c r="AD41" s="204" t="s">
        <v>54</v>
      </c>
      <c r="AE41" s="10" t="s">
        <v>12</v>
      </c>
      <c r="AF41" s="10" t="s">
        <v>5</v>
      </c>
      <c r="AG41" s="10" t="s">
        <v>9</v>
      </c>
      <c r="AH41" s="10" t="s">
        <v>11</v>
      </c>
      <c r="AI41" s="10" t="s">
        <v>8</v>
      </c>
      <c r="AJ41" s="10">
        <v>7</v>
      </c>
      <c r="AK41" s="22" t="s">
        <v>54</v>
      </c>
      <c r="AM41" s="23" t="s">
        <v>125</v>
      </c>
      <c r="AN41" s="23">
        <v>31</v>
      </c>
    </row>
    <row r="42" spans="1:40" ht="11.25" customHeight="1">
      <c r="A42" s="35">
        <v>40</v>
      </c>
      <c r="B42" s="42" t="str">
        <f>Списък!B41</f>
        <v>Ю. Делчева</v>
      </c>
      <c r="C42" s="34" t="s">
        <v>54</v>
      </c>
      <c r="D42" s="10" t="s">
        <v>54</v>
      </c>
      <c r="E42" s="10" t="s">
        <v>54</v>
      </c>
      <c r="F42" s="10" t="s">
        <v>54</v>
      </c>
      <c r="G42" s="10" t="s">
        <v>54</v>
      </c>
      <c r="H42" s="10" t="s">
        <v>54</v>
      </c>
      <c r="I42" s="10" t="s">
        <v>54</v>
      </c>
      <c r="J42" s="20" t="s">
        <v>54</v>
      </c>
      <c r="K42" s="20" t="s">
        <v>16</v>
      </c>
      <c r="L42" s="20" t="s">
        <v>17</v>
      </c>
      <c r="M42" s="20" t="s">
        <v>54</v>
      </c>
      <c r="N42" s="20" t="s">
        <v>54</v>
      </c>
      <c r="O42" s="20" t="s">
        <v>54</v>
      </c>
      <c r="P42" s="20" t="s">
        <v>54</v>
      </c>
      <c r="Q42" s="10" t="s">
        <v>54</v>
      </c>
      <c r="R42" s="10" t="s">
        <v>54</v>
      </c>
      <c r="S42" s="10" t="s">
        <v>54</v>
      </c>
      <c r="T42" s="10" t="s">
        <v>54</v>
      </c>
      <c r="U42" s="10" t="s">
        <v>54</v>
      </c>
      <c r="V42" s="10" t="s">
        <v>54</v>
      </c>
      <c r="W42" s="33" t="s">
        <v>54</v>
      </c>
      <c r="X42" s="20" t="s">
        <v>54</v>
      </c>
      <c r="Y42" s="20" t="s">
        <v>54</v>
      </c>
      <c r="Z42" s="20" t="s">
        <v>54</v>
      </c>
      <c r="AA42" s="20" t="s">
        <v>54</v>
      </c>
      <c r="AB42" s="20" t="s">
        <v>16</v>
      </c>
      <c r="AC42" s="20" t="s">
        <v>17</v>
      </c>
      <c r="AD42" s="204" t="s">
        <v>54</v>
      </c>
      <c r="AE42" s="10" t="s">
        <v>54</v>
      </c>
      <c r="AF42" s="10" t="s">
        <v>54</v>
      </c>
      <c r="AG42" s="10" t="s">
        <v>54</v>
      </c>
      <c r="AH42" s="10" t="s">
        <v>54</v>
      </c>
      <c r="AI42" s="10" t="s">
        <v>54</v>
      </c>
      <c r="AJ42" s="10" t="s">
        <v>54</v>
      </c>
      <c r="AK42" s="22" t="s">
        <v>54</v>
      </c>
      <c r="AM42" s="23" t="s">
        <v>126</v>
      </c>
      <c r="AN42" s="23">
        <v>24</v>
      </c>
    </row>
    <row r="43" spans="1:40" ht="11.25" customHeight="1">
      <c r="A43" s="35">
        <v>41</v>
      </c>
      <c r="B43" s="42" t="str">
        <f>Списък!B42</f>
        <v>Козалиева</v>
      </c>
      <c r="C43" s="34" t="s">
        <v>54</v>
      </c>
      <c r="D43" s="10" t="s">
        <v>54</v>
      </c>
      <c r="E43" s="10" t="s">
        <v>6</v>
      </c>
      <c r="F43" s="10" t="s">
        <v>9</v>
      </c>
      <c r="G43" s="10" t="s">
        <v>7</v>
      </c>
      <c r="H43" s="10" t="s">
        <v>5</v>
      </c>
      <c r="I43" s="10" t="s">
        <v>18</v>
      </c>
      <c r="J43" s="20" t="s">
        <v>18</v>
      </c>
      <c r="K43" s="20" t="s">
        <v>18</v>
      </c>
      <c r="L43" s="20" t="s">
        <v>9</v>
      </c>
      <c r="M43" s="20" t="s">
        <v>15</v>
      </c>
      <c r="N43" s="20" t="s">
        <v>54</v>
      </c>
      <c r="O43" s="20" t="s">
        <v>54</v>
      </c>
      <c r="P43" s="20" t="s">
        <v>54</v>
      </c>
      <c r="Q43" s="10" t="s">
        <v>54</v>
      </c>
      <c r="R43" s="10" t="s">
        <v>54</v>
      </c>
      <c r="S43" s="10" t="s">
        <v>54</v>
      </c>
      <c r="T43" s="10" t="s">
        <v>18</v>
      </c>
      <c r="U43" s="10" t="s">
        <v>8</v>
      </c>
      <c r="V43" s="10" t="s">
        <v>46</v>
      </c>
      <c r="W43" s="33" t="s">
        <v>18</v>
      </c>
      <c r="X43" s="20" t="s">
        <v>9</v>
      </c>
      <c r="Y43" s="20" t="s">
        <v>7</v>
      </c>
      <c r="Z43" s="20" t="s">
        <v>6</v>
      </c>
      <c r="AA43" s="20" t="s">
        <v>54</v>
      </c>
      <c r="AB43" s="20" t="s">
        <v>8</v>
      </c>
      <c r="AC43" s="20" t="s">
        <v>5</v>
      </c>
      <c r="AD43" s="204" t="s">
        <v>54</v>
      </c>
      <c r="AE43" s="10" t="s">
        <v>46</v>
      </c>
      <c r="AF43" s="10" t="s">
        <v>54</v>
      </c>
      <c r="AG43" s="10" t="s">
        <v>18</v>
      </c>
      <c r="AH43" s="10" t="s">
        <v>15</v>
      </c>
      <c r="AI43" s="10" t="s">
        <v>54</v>
      </c>
      <c r="AJ43" s="10" t="s">
        <v>54</v>
      </c>
      <c r="AK43" s="22" t="s">
        <v>54</v>
      </c>
      <c r="AM43" s="23" t="s">
        <v>127</v>
      </c>
      <c r="AN43" s="23">
        <v>28</v>
      </c>
    </row>
    <row r="44" spans="1:40" ht="11.25" customHeight="1">
      <c r="A44" s="35">
        <v>42</v>
      </c>
      <c r="B44" s="42" t="str">
        <f>Списък!B43</f>
        <v>Коларова</v>
      </c>
      <c r="C44" s="34" t="s">
        <v>54</v>
      </c>
      <c r="D44" s="10" t="s">
        <v>54</v>
      </c>
      <c r="E44" s="10" t="s">
        <v>9</v>
      </c>
      <c r="F44" s="10" t="s">
        <v>11</v>
      </c>
      <c r="G44" s="10" t="s">
        <v>12</v>
      </c>
      <c r="H44" s="10" t="s">
        <v>52</v>
      </c>
      <c r="I44" s="10" t="s">
        <v>52</v>
      </c>
      <c r="J44" s="20" t="s">
        <v>54</v>
      </c>
      <c r="K44" s="20" t="s">
        <v>54</v>
      </c>
      <c r="L44" s="20" t="s">
        <v>54</v>
      </c>
      <c r="M44" s="20" t="s">
        <v>54</v>
      </c>
      <c r="N44" s="20" t="s">
        <v>14</v>
      </c>
      <c r="O44" s="20" t="s">
        <v>11</v>
      </c>
      <c r="P44" s="20" t="s">
        <v>13</v>
      </c>
      <c r="Q44" s="10" t="s">
        <v>10</v>
      </c>
      <c r="R44" s="10" t="s">
        <v>52</v>
      </c>
      <c r="S44" s="10" t="s">
        <v>54</v>
      </c>
      <c r="T44" s="10" t="s">
        <v>54</v>
      </c>
      <c r="U44" s="10" t="s">
        <v>54</v>
      </c>
      <c r="V44" s="10" t="s">
        <v>54</v>
      </c>
      <c r="W44" s="33" t="s">
        <v>54</v>
      </c>
      <c r="X44" s="20" t="s">
        <v>14</v>
      </c>
      <c r="Y44" s="20">
        <v>7</v>
      </c>
      <c r="Z44" s="20" t="s">
        <v>54</v>
      </c>
      <c r="AA44" s="20" t="s">
        <v>10</v>
      </c>
      <c r="AB44" s="20" t="s">
        <v>9</v>
      </c>
      <c r="AC44" s="20" t="s">
        <v>52</v>
      </c>
      <c r="AD44" s="204" t="s">
        <v>54</v>
      </c>
      <c r="AE44" s="10" t="s">
        <v>52</v>
      </c>
      <c r="AF44" s="10" t="s">
        <v>14</v>
      </c>
      <c r="AG44" s="10" t="s">
        <v>14</v>
      </c>
      <c r="AH44" s="10" t="s">
        <v>54</v>
      </c>
      <c r="AI44" s="10" t="s">
        <v>12</v>
      </c>
      <c r="AJ44" s="10" t="s">
        <v>13</v>
      </c>
      <c r="AK44" s="22" t="s">
        <v>54</v>
      </c>
      <c r="AM44" s="23" t="s">
        <v>124</v>
      </c>
      <c r="AN44" s="23">
        <v>26</v>
      </c>
    </row>
    <row r="45" spans="1:40" ht="11.25" customHeight="1">
      <c r="A45" s="35">
        <v>43</v>
      </c>
      <c r="B45" s="42" t="str">
        <f>Списък!B44</f>
        <v>Костова</v>
      </c>
      <c r="C45" s="34" t="s">
        <v>14</v>
      </c>
      <c r="D45" s="10" t="s">
        <v>14</v>
      </c>
      <c r="E45" s="10" t="s">
        <v>15</v>
      </c>
      <c r="F45" s="10" t="s">
        <v>12</v>
      </c>
      <c r="G45" s="10" t="s">
        <v>13</v>
      </c>
      <c r="H45" s="10" t="s">
        <v>46</v>
      </c>
      <c r="I45" s="10" t="s">
        <v>10</v>
      </c>
      <c r="J45" s="20" t="s">
        <v>54</v>
      </c>
      <c r="K45" s="20" t="s">
        <v>54</v>
      </c>
      <c r="L45" s="20" t="s">
        <v>54</v>
      </c>
      <c r="M45" s="20" t="s">
        <v>14</v>
      </c>
      <c r="N45" s="20" t="s">
        <v>17</v>
      </c>
      <c r="O45" s="20" t="s">
        <v>54</v>
      </c>
      <c r="P45" s="20" t="s">
        <v>11</v>
      </c>
      <c r="Q45" s="10" t="s">
        <v>13</v>
      </c>
      <c r="R45" s="10" t="s">
        <v>14</v>
      </c>
      <c r="S45" s="10" t="s">
        <v>54</v>
      </c>
      <c r="T45" s="10" t="s">
        <v>46</v>
      </c>
      <c r="U45" s="10" t="s">
        <v>15</v>
      </c>
      <c r="V45" s="10" t="s">
        <v>16</v>
      </c>
      <c r="W45" s="33" t="s">
        <v>14</v>
      </c>
      <c r="X45" s="20" t="s">
        <v>54</v>
      </c>
      <c r="Y45" s="20" t="s">
        <v>54</v>
      </c>
      <c r="Z45" s="20" t="s">
        <v>54</v>
      </c>
      <c r="AA45" s="20" t="s">
        <v>16</v>
      </c>
      <c r="AB45" s="20" t="s">
        <v>14</v>
      </c>
      <c r="AC45" s="20" t="s">
        <v>11</v>
      </c>
      <c r="AD45" s="204" t="s">
        <v>54</v>
      </c>
      <c r="AE45" s="10" t="s">
        <v>54</v>
      </c>
      <c r="AF45" s="10" t="s">
        <v>54</v>
      </c>
      <c r="AG45" s="10" t="s">
        <v>54</v>
      </c>
      <c r="AH45" s="10" t="s">
        <v>12</v>
      </c>
      <c r="AI45" s="10" t="s">
        <v>17</v>
      </c>
      <c r="AJ45" s="10" t="s">
        <v>10</v>
      </c>
      <c r="AK45" s="22" t="s">
        <v>54</v>
      </c>
      <c r="AN45" s="23">
        <v>138</v>
      </c>
    </row>
    <row r="46" spans="1:40" ht="11.25" customHeight="1">
      <c r="A46" s="35">
        <v>44</v>
      </c>
      <c r="B46" s="42" t="str">
        <f>Списък!B45</f>
        <v>Минчева</v>
      </c>
      <c r="C46" s="34" t="s">
        <v>52</v>
      </c>
      <c r="D46" s="10" t="s">
        <v>8</v>
      </c>
      <c r="E46" s="10" t="s">
        <v>18</v>
      </c>
      <c r="F46" s="10" t="s">
        <v>54</v>
      </c>
      <c r="G46" s="10" t="s">
        <v>54</v>
      </c>
      <c r="H46" s="10" t="s">
        <v>54</v>
      </c>
      <c r="I46" s="10" t="s">
        <v>54</v>
      </c>
      <c r="J46" s="20" t="s">
        <v>7</v>
      </c>
      <c r="K46" s="20" t="s">
        <v>8</v>
      </c>
      <c r="L46" s="20" t="s">
        <v>18</v>
      </c>
      <c r="M46" s="20" t="s">
        <v>6</v>
      </c>
      <c r="N46" s="20" t="s">
        <v>5</v>
      </c>
      <c r="O46" s="20" t="s">
        <v>54</v>
      </c>
      <c r="P46" s="20" t="s">
        <v>52</v>
      </c>
      <c r="Q46" s="10" t="s">
        <v>18</v>
      </c>
      <c r="R46" s="10" t="s">
        <v>18</v>
      </c>
      <c r="S46" s="10" t="s">
        <v>52</v>
      </c>
      <c r="T46" s="10" t="s">
        <v>52</v>
      </c>
      <c r="U46" s="10" t="s">
        <v>5</v>
      </c>
      <c r="V46" s="10">
        <v>7</v>
      </c>
      <c r="W46" s="33" t="s">
        <v>52</v>
      </c>
      <c r="X46" s="20" t="s">
        <v>52</v>
      </c>
      <c r="Y46" s="20" t="s">
        <v>52</v>
      </c>
      <c r="Z46" s="20" t="s">
        <v>18</v>
      </c>
      <c r="AA46" s="20" t="s">
        <v>8</v>
      </c>
      <c r="AB46" s="20" t="s">
        <v>6</v>
      </c>
      <c r="AC46" s="20" t="s">
        <v>7</v>
      </c>
      <c r="AD46" s="204" t="s">
        <v>54</v>
      </c>
      <c r="AE46" s="10">
        <v>7</v>
      </c>
      <c r="AF46" s="10" t="s">
        <v>18</v>
      </c>
      <c r="AG46" s="10" t="s">
        <v>5</v>
      </c>
      <c r="AH46" s="10" t="s">
        <v>54</v>
      </c>
      <c r="AI46" s="10" t="s">
        <v>6</v>
      </c>
      <c r="AJ46" s="10" t="s">
        <v>7</v>
      </c>
      <c r="AK46" s="22" t="s">
        <v>54</v>
      </c>
    </row>
    <row r="47" spans="1:40" ht="11.25" customHeight="1">
      <c r="A47" s="35">
        <v>45</v>
      </c>
      <c r="B47" s="42" t="str">
        <f>Списък!B46</f>
        <v>Петров</v>
      </c>
      <c r="C47" s="34" t="s">
        <v>12</v>
      </c>
      <c r="D47" s="10">
        <v>7</v>
      </c>
      <c r="E47" s="10" t="s">
        <v>54</v>
      </c>
      <c r="F47" s="10" t="s">
        <v>14</v>
      </c>
      <c r="G47" s="10" t="s">
        <v>54</v>
      </c>
      <c r="H47" s="10" t="s">
        <v>54</v>
      </c>
      <c r="I47" s="10" t="s">
        <v>54</v>
      </c>
      <c r="J47" s="20" t="s">
        <v>54</v>
      </c>
      <c r="K47" s="20" t="s">
        <v>54</v>
      </c>
      <c r="L47" s="20" t="s">
        <v>13</v>
      </c>
      <c r="M47" s="20">
        <v>5</v>
      </c>
      <c r="N47" s="20">
        <v>6</v>
      </c>
      <c r="O47" s="20">
        <v>7</v>
      </c>
      <c r="P47" s="20" t="s">
        <v>113</v>
      </c>
      <c r="Q47" s="10">
        <v>5</v>
      </c>
      <c r="R47" s="10" t="s">
        <v>1</v>
      </c>
      <c r="S47" s="10" t="s">
        <v>4</v>
      </c>
      <c r="T47" s="10" t="s">
        <v>12</v>
      </c>
      <c r="U47" s="10" t="s">
        <v>54</v>
      </c>
      <c r="V47" s="10" t="s">
        <v>54</v>
      </c>
      <c r="W47" s="33" t="s">
        <v>54</v>
      </c>
      <c r="X47" s="20" t="s">
        <v>54</v>
      </c>
      <c r="Y47" s="20" t="s">
        <v>54</v>
      </c>
      <c r="Z47" s="20" t="s">
        <v>54</v>
      </c>
      <c r="AA47" s="20" t="s">
        <v>14</v>
      </c>
      <c r="AB47" s="20">
        <v>7</v>
      </c>
      <c r="AC47" s="20" t="s">
        <v>2</v>
      </c>
      <c r="AD47" s="204" t="s">
        <v>54</v>
      </c>
      <c r="AE47" s="10" t="s">
        <v>13</v>
      </c>
      <c r="AF47" s="10">
        <v>6</v>
      </c>
      <c r="AG47" s="10" t="s">
        <v>54</v>
      </c>
      <c r="AH47" s="10" t="s">
        <v>3</v>
      </c>
      <c r="AI47" s="10" t="s">
        <v>54</v>
      </c>
      <c r="AJ47" s="10" t="s">
        <v>54</v>
      </c>
      <c r="AK47" s="22" t="s">
        <v>54</v>
      </c>
      <c r="AM47" s="23">
        <v>0</v>
      </c>
    </row>
    <row r="48" spans="1:40" ht="11.25" customHeight="1">
      <c r="A48" s="35">
        <v>46</v>
      </c>
      <c r="B48" s="42" t="str">
        <f>Списък!B47</f>
        <v>Пецова</v>
      </c>
      <c r="C48" s="34" t="s">
        <v>54</v>
      </c>
      <c r="D48" s="10" t="s">
        <v>54</v>
      </c>
      <c r="E48" s="10">
        <v>5</v>
      </c>
      <c r="F48" s="10">
        <v>5</v>
      </c>
      <c r="G48" s="10" t="s">
        <v>54</v>
      </c>
      <c r="H48" s="10">
        <v>5</v>
      </c>
      <c r="I48" s="10" t="s">
        <v>5</v>
      </c>
      <c r="J48" s="20" t="s">
        <v>54</v>
      </c>
      <c r="K48" s="20" t="s">
        <v>54</v>
      </c>
      <c r="L48" s="20" t="s">
        <v>54</v>
      </c>
      <c r="M48" s="20" t="s">
        <v>54</v>
      </c>
      <c r="N48" s="20" t="s">
        <v>54</v>
      </c>
      <c r="O48" s="20">
        <v>5</v>
      </c>
      <c r="P48" s="20" t="s">
        <v>54</v>
      </c>
      <c r="Q48" s="10">
        <v>7</v>
      </c>
      <c r="R48" s="10">
        <v>6</v>
      </c>
      <c r="S48" s="10">
        <v>7</v>
      </c>
      <c r="T48" s="10">
        <v>6</v>
      </c>
      <c r="U48" s="10" t="s">
        <v>9</v>
      </c>
      <c r="V48" s="10" t="s">
        <v>8</v>
      </c>
      <c r="W48" s="33">
        <v>5</v>
      </c>
      <c r="X48" s="20">
        <v>7</v>
      </c>
      <c r="Y48" s="20">
        <v>6</v>
      </c>
      <c r="Z48" s="20" t="s">
        <v>7</v>
      </c>
      <c r="AA48" s="20" t="s">
        <v>54</v>
      </c>
      <c r="AB48" s="20" t="s">
        <v>54</v>
      </c>
      <c r="AC48" s="20" t="s">
        <v>54</v>
      </c>
      <c r="AD48" s="204" t="s">
        <v>54</v>
      </c>
      <c r="AE48" s="10" t="s">
        <v>6</v>
      </c>
      <c r="AF48" s="10">
        <v>7</v>
      </c>
      <c r="AG48" s="10">
        <v>6</v>
      </c>
      <c r="AH48" s="10" t="s">
        <v>54</v>
      </c>
      <c r="AI48" s="10" t="s">
        <v>54</v>
      </c>
      <c r="AJ48" s="10" t="s">
        <v>54</v>
      </c>
      <c r="AK48" s="22" t="s">
        <v>54</v>
      </c>
    </row>
    <row r="49" spans="1:39" ht="11.25" customHeight="1">
      <c r="A49" s="35">
        <v>47</v>
      </c>
      <c r="B49" s="42" t="str">
        <f>Списък!B48</f>
        <v>Конгалов</v>
      </c>
      <c r="C49" s="34" t="s">
        <v>9</v>
      </c>
      <c r="D49" s="10" t="s">
        <v>46</v>
      </c>
      <c r="E49" s="10" t="s">
        <v>54</v>
      </c>
      <c r="F49" s="10" t="s">
        <v>54</v>
      </c>
      <c r="G49" s="10" t="s">
        <v>54</v>
      </c>
      <c r="H49" s="10" t="s">
        <v>54</v>
      </c>
      <c r="I49" s="10" t="s">
        <v>54</v>
      </c>
      <c r="J49" s="20" t="s">
        <v>8</v>
      </c>
      <c r="K49" s="20" t="s">
        <v>9</v>
      </c>
      <c r="L49" s="20" t="s">
        <v>7</v>
      </c>
      <c r="M49" s="20" t="s">
        <v>18</v>
      </c>
      <c r="N49" s="20" t="s">
        <v>54</v>
      </c>
      <c r="O49" s="20" t="s">
        <v>54</v>
      </c>
      <c r="P49" s="20" t="s">
        <v>54</v>
      </c>
      <c r="Q49" s="10" t="s">
        <v>17</v>
      </c>
      <c r="R49" s="10" t="s">
        <v>16</v>
      </c>
      <c r="S49" s="10" t="s">
        <v>46</v>
      </c>
      <c r="T49" s="10" t="s">
        <v>54</v>
      </c>
      <c r="U49" s="10" t="s">
        <v>54</v>
      </c>
      <c r="V49" s="10" t="s">
        <v>54</v>
      </c>
      <c r="W49" s="33" t="s">
        <v>54</v>
      </c>
      <c r="X49" s="20" t="s">
        <v>15</v>
      </c>
      <c r="Y49" s="20" t="s">
        <v>8</v>
      </c>
      <c r="Z49" s="20" t="s">
        <v>54</v>
      </c>
      <c r="AA49" s="20" t="s">
        <v>54</v>
      </c>
      <c r="AB49" s="20" t="s">
        <v>54</v>
      </c>
      <c r="AC49" s="20" t="s">
        <v>54</v>
      </c>
      <c r="AD49" s="204" t="s">
        <v>54</v>
      </c>
      <c r="AE49" s="10" t="s">
        <v>16</v>
      </c>
      <c r="AF49" s="10" t="s">
        <v>17</v>
      </c>
      <c r="AG49" s="10" t="s">
        <v>54</v>
      </c>
      <c r="AH49" s="10" t="s">
        <v>7</v>
      </c>
      <c r="AI49" s="10" t="s">
        <v>15</v>
      </c>
      <c r="AJ49" s="10" t="s">
        <v>18</v>
      </c>
      <c r="AK49" s="22" t="s">
        <v>54</v>
      </c>
      <c r="AM49" s="23" t="s">
        <v>261</v>
      </c>
    </row>
    <row r="50" spans="1:39" ht="11.25" customHeight="1">
      <c r="A50" s="35">
        <v>48</v>
      </c>
      <c r="B50" s="42" t="str">
        <f>Списък!B49</f>
        <v>Трандев</v>
      </c>
      <c r="C50" s="34" t="s">
        <v>54</v>
      </c>
      <c r="D50" s="10" t="s">
        <v>54</v>
      </c>
      <c r="E50" s="10" t="s">
        <v>54</v>
      </c>
      <c r="F50" s="10" t="s">
        <v>54</v>
      </c>
      <c r="G50" s="10">
        <v>6</v>
      </c>
      <c r="H50" s="10" t="s">
        <v>11</v>
      </c>
      <c r="I50" s="10" t="s">
        <v>1</v>
      </c>
      <c r="J50" s="20" t="s">
        <v>4</v>
      </c>
      <c r="K50" s="20">
        <v>6</v>
      </c>
      <c r="L50" s="20" t="s">
        <v>54</v>
      </c>
      <c r="M50" s="20" t="s">
        <v>11</v>
      </c>
      <c r="N50" s="20" t="s">
        <v>3</v>
      </c>
      <c r="O50" s="20" t="s">
        <v>10</v>
      </c>
      <c r="P50" s="20" t="s">
        <v>2</v>
      </c>
      <c r="Q50" s="10" t="s">
        <v>54</v>
      </c>
      <c r="R50" s="10" t="s">
        <v>54</v>
      </c>
      <c r="S50" s="10" t="s">
        <v>54</v>
      </c>
      <c r="T50" s="10" t="s">
        <v>54</v>
      </c>
      <c r="U50" s="10" t="s">
        <v>113</v>
      </c>
      <c r="V50" s="10">
        <v>6</v>
      </c>
      <c r="W50" s="33" t="s">
        <v>54</v>
      </c>
      <c r="X50" s="20" t="s">
        <v>54</v>
      </c>
      <c r="Y50" s="20" t="s">
        <v>54</v>
      </c>
      <c r="Z50" s="20" t="s">
        <v>54</v>
      </c>
      <c r="AA50" s="20" t="s">
        <v>113</v>
      </c>
      <c r="AB50" s="20" t="s">
        <v>3</v>
      </c>
      <c r="AC50" s="20" t="s">
        <v>1</v>
      </c>
      <c r="AD50" s="204" t="s">
        <v>54</v>
      </c>
      <c r="AE50" s="10" t="s">
        <v>54</v>
      </c>
      <c r="AF50" s="10" t="s">
        <v>4</v>
      </c>
      <c r="AG50" s="10" t="s">
        <v>10</v>
      </c>
      <c r="AH50" s="10" t="s">
        <v>54</v>
      </c>
      <c r="AI50" s="10" t="s">
        <v>2</v>
      </c>
      <c r="AJ50" s="10" t="s">
        <v>54</v>
      </c>
      <c r="AK50" s="22" t="s">
        <v>54</v>
      </c>
    </row>
    <row r="51" spans="1:39" ht="11.25" customHeight="1">
      <c r="A51" s="35">
        <v>49</v>
      </c>
      <c r="B51" s="42" t="str">
        <f>Списък!B50</f>
        <v>Тонева</v>
      </c>
      <c r="C51" s="34" t="s">
        <v>54</v>
      </c>
      <c r="D51" s="10" t="s">
        <v>54</v>
      </c>
      <c r="E51" s="10" t="s">
        <v>54</v>
      </c>
      <c r="F51" s="10" t="s">
        <v>54</v>
      </c>
      <c r="G51" s="10" t="s">
        <v>50</v>
      </c>
      <c r="H51" s="10" t="s">
        <v>51</v>
      </c>
      <c r="I51" s="10" t="s">
        <v>49</v>
      </c>
      <c r="J51" s="20" t="s">
        <v>54</v>
      </c>
      <c r="K51" s="20" t="s">
        <v>54</v>
      </c>
      <c r="L51" s="20" t="s">
        <v>54</v>
      </c>
      <c r="M51" s="20" t="s">
        <v>54</v>
      </c>
      <c r="N51" s="20" t="s">
        <v>52</v>
      </c>
      <c r="O51" s="20" t="s">
        <v>48</v>
      </c>
      <c r="P51" s="20" t="s">
        <v>6</v>
      </c>
      <c r="Q51" s="10" t="s">
        <v>52</v>
      </c>
      <c r="R51" s="10" t="s">
        <v>49</v>
      </c>
      <c r="S51" s="10" t="s">
        <v>48</v>
      </c>
      <c r="T51" s="10" t="s">
        <v>5</v>
      </c>
      <c r="U51" s="10">
        <v>5</v>
      </c>
      <c r="V51" s="10" t="s">
        <v>54</v>
      </c>
      <c r="W51" s="33" t="s">
        <v>54</v>
      </c>
      <c r="X51" s="20" t="s">
        <v>6</v>
      </c>
      <c r="Y51" s="20" t="s">
        <v>50</v>
      </c>
      <c r="Z51" s="20">
        <v>5</v>
      </c>
      <c r="AA51" s="20" t="s">
        <v>54</v>
      </c>
      <c r="AB51" s="20" t="s">
        <v>54</v>
      </c>
      <c r="AC51" s="20" t="s">
        <v>54</v>
      </c>
      <c r="AD51" s="204" t="s">
        <v>54</v>
      </c>
      <c r="AE51" s="10" t="s">
        <v>54</v>
      </c>
      <c r="AF51" s="10" t="s">
        <v>54</v>
      </c>
      <c r="AG51" s="10">
        <v>5</v>
      </c>
      <c r="AH51" s="10" t="s">
        <v>5</v>
      </c>
      <c r="AI51" s="10" t="s">
        <v>54</v>
      </c>
      <c r="AJ51" s="10" t="s">
        <v>51</v>
      </c>
      <c r="AK51" s="22" t="s">
        <v>54</v>
      </c>
    </row>
    <row r="52" spans="1:39" ht="11.25" customHeight="1">
      <c r="A52" s="35">
        <v>50</v>
      </c>
      <c r="B52" s="42" t="str">
        <f>Списък!B51</f>
        <v>Филипова</v>
      </c>
      <c r="C52" s="34" t="s">
        <v>54</v>
      </c>
      <c r="D52" s="10" t="s">
        <v>54</v>
      </c>
      <c r="E52" s="10" t="s">
        <v>54</v>
      </c>
      <c r="F52" s="10" t="s">
        <v>51</v>
      </c>
      <c r="G52" s="10" t="s">
        <v>52</v>
      </c>
      <c r="H52" s="10" t="s">
        <v>395</v>
      </c>
      <c r="I52" s="10" t="s">
        <v>395</v>
      </c>
      <c r="J52" s="20" t="s">
        <v>54</v>
      </c>
      <c r="K52" s="20" t="s">
        <v>54</v>
      </c>
      <c r="L52" s="20" t="s">
        <v>54</v>
      </c>
      <c r="M52" s="20" t="s">
        <v>54</v>
      </c>
      <c r="N52" s="20" t="s">
        <v>49</v>
      </c>
      <c r="O52" s="20" t="s">
        <v>5</v>
      </c>
      <c r="P52" s="20" t="s">
        <v>48</v>
      </c>
      <c r="Q52" s="10" t="s">
        <v>7</v>
      </c>
      <c r="R52" s="10" t="s">
        <v>9</v>
      </c>
      <c r="S52" s="10" t="s">
        <v>8</v>
      </c>
      <c r="T52" s="10" t="s">
        <v>54</v>
      </c>
      <c r="U52" s="10" t="s">
        <v>54</v>
      </c>
      <c r="V52" s="10" t="s">
        <v>54</v>
      </c>
      <c r="W52" s="33" t="s">
        <v>54</v>
      </c>
      <c r="X52" s="20" t="s">
        <v>54</v>
      </c>
      <c r="Y52" s="20" t="s">
        <v>54</v>
      </c>
      <c r="Z52" s="20" t="s">
        <v>54</v>
      </c>
      <c r="AA52" s="20" t="s">
        <v>51</v>
      </c>
      <c r="AB52" s="20" t="s">
        <v>52</v>
      </c>
      <c r="AC52" s="20" t="s">
        <v>48</v>
      </c>
      <c r="AD52" s="204" t="s">
        <v>54</v>
      </c>
      <c r="AE52" s="10" t="s">
        <v>49</v>
      </c>
      <c r="AF52" s="10" t="s">
        <v>6</v>
      </c>
      <c r="AG52" s="10" t="s">
        <v>54</v>
      </c>
      <c r="AH52" s="10" t="s">
        <v>54</v>
      </c>
      <c r="AI52" s="10" t="s">
        <v>54</v>
      </c>
      <c r="AJ52" s="10" t="s">
        <v>54</v>
      </c>
      <c r="AK52" s="22" t="s">
        <v>54</v>
      </c>
      <c r="AM52" s="23">
        <v>0</v>
      </c>
    </row>
  </sheetData>
  <mergeCells count="5">
    <mergeCell ref="C1:I1"/>
    <mergeCell ref="J1:P1"/>
    <mergeCell ref="Q1:W1"/>
    <mergeCell ref="AE1:AK1"/>
    <mergeCell ref="X1:AD1"/>
  </mergeCells>
  <phoneticPr fontId="4" type="noConversion"/>
  <printOptions horizontalCentered="1" verticalCentered="1"/>
  <pageMargins left="0.27559055118110237" right="0.27559055118110237" top="0.19685039370078741" bottom="0.19685039370078741" header="0.15748031496062992" footer="0.19685039370078741"/>
  <pageSetup paperSize="9" scale="98" orientation="landscape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69" r:id="rId4" name="CommandButton">
          <controlPr defaultSize="0" autoLine="0" autoPict="0" r:id="rId5">
            <anchor moveWithCells="1">
              <from>
                <xdr:col>0</xdr:col>
                <xdr:colOff>9525</xdr:colOff>
                <xdr:row>0</xdr:row>
                <xdr:rowOff>0</xdr:rowOff>
              </from>
              <to>
                <xdr:col>2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6169" r:id="rId4" name="CommandButt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326"/>
  <sheetViews>
    <sheetView topLeftCell="A121" workbookViewId="0">
      <selection activeCell="E161" sqref="E161"/>
    </sheetView>
  </sheetViews>
  <sheetFormatPr defaultColWidth="9.140625" defaultRowHeight="12.75"/>
  <cols>
    <col min="1" max="1" width="2.5703125" style="13" customWidth="1"/>
    <col min="2" max="2" width="18.7109375" style="12" customWidth="1"/>
    <col min="3" max="3" width="5.42578125" style="12" customWidth="1"/>
    <col min="4" max="4" width="18.7109375" style="12" customWidth="1"/>
    <col min="5" max="5" width="5" style="12" customWidth="1"/>
    <col min="6" max="6" width="18.7109375" style="12" customWidth="1"/>
    <col min="7" max="7" width="4.85546875" style="12" customWidth="1"/>
    <col min="8" max="8" width="19.5703125" style="12" customWidth="1"/>
    <col min="9" max="9" width="5.42578125" style="12" customWidth="1"/>
    <col min="10" max="10" width="18.7109375" style="12" customWidth="1"/>
    <col min="11" max="11" width="5.28515625" style="12" customWidth="1"/>
    <col min="12" max="12" width="6.28515625" style="12" customWidth="1"/>
    <col min="13" max="13" width="6.7109375" style="12" customWidth="1"/>
    <col min="14" max="14" width="10.42578125" style="12" customWidth="1"/>
    <col min="15" max="16384" width="9.140625" style="12"/>
  </cols>
  <sheetData>
    <row r="1" spans="1:43" ht="24.75" customHeight="1" thickBot="1">
      <c r="A1" s="393" t="s">
        <v>24</v>
      </c>
      <c r="B1" s="393"/>
      <c r="C1" s="393"/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21"/>
    </row>
    <row r="2" spans="1:43" s="13" customFormat="1" ht="12" customHeight="1" thickTop="1">
      <c r="B2" s="13">
        <v>5</v>
      </c>
      <c r="D2" s="13">
        <v>6</v>
      </c>
      <c r="F2" s="13">
        <v>7</v>
      </c>
      <c r="L2" s="54"/>
      <c r="M2" s="54"/>
      <c r="P2" s="2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</row>
    <row r="3" spans="1:43" ht="12" customHeight="1">
      <c r="A3" s="13">
        <v>1</v>
      </c>
      <c r="B3" s="12" t="str">
        <f>VLOOKUP('Програма-кодове'!C2,Списък!$A$1:$C$210,3,FALSE)</f>
        <v>физика</v>
      </c>
      <c r="C3" s="87" t="str">
        <f>IF(OR(B3="история",B3="свят и личност",B3= "география",B3="химия",B3="биология",B3="физика",B3="философия"),"+","-")</f>
        <v>+</v>
      </c>
      <c r="D3" s="12" t="str">
        <f>VLOOKUP('Програма-кодове'!D2,Списък!$A$1:$C$210,3,FALSE)</f>
        <v>бълг. език</v>
      </c>
      <c r="E3" s="87" t="str">
        <f>IF(OR(D3="история",D3="свят и личност",D3= "география",D3="химия",D3="биология",D3="физика",D3="философия"),"+","-")</f>
        <v>-</v>
      </c>
      <c r="F3" s="12" t="str">
        <f>VLOOKUP('Програма-кодове'!E2,Списък!$A$1:$C$210,3,FALSE)</f>
        <v>английски език</v>
      </c>
      <c r="G3" s="87" t="str">
        <f>IF(OR(F3="история",F3="свят и личност",F3= "география",F3="химия",F3="биология",F3="физика",F3="философия"),"+","-")</f>
        <v>-</v>
      </c>
      <c r="L3" s="46"/>
      <c r="M3" s="46"/>
      <c r="P3" s="21"/>
    </row>
    <row r="4" spans="1:43" ht="12" customHeight="1">
      <c r="A4" s="13">
        <v>2</v>
      </c>
      <c r="B4" s="12" t="str">
        <f>VLOOKUP('Програма-кодове'!C3,Списък!$A$1:$C$210,3,FALSE)</f>
        <v>английски език</v>
      </c>
      <c r="C4" s="87" t="str">
        <f>IF(OR(B4="математика",B4="информатика",B4="английски език",B4="немски език",B4="руски език",B4="бълг. език",B4="ІІ - ри чужд език", B4="ИТ/ДБТ"),"+","-")</f>
        <v>+</v>
      </c>
      <c r="D4" s="12" t="str">
        <f>VLOOKUP('Програма-кодове'!D3,Списък!$A$1:$C$210,3,FALSE)</f>
        <v>физика</v>
      </c>
      <c r="E4" s="87" t="str">
        <f>IF(OR(D4="математика",D4="информатика",D4="английски език",D4="немски език",D4="руски език",D4="бълг. език",D4="ІІ - ри чужд език", D4="ИТ/ДБТ"),"+","-")</f>
        <v>-</v>
      </c>
      <c r="F4" s="12" t="str">
        <f>VLOOKUP('Програма-кодове'!E3,Списък!$A$1:$C$210,3,FALSE)</f>
        <v>физкултура</v>
      </c>
      <c r="G4" s="87" t="str">
        <f>IF(OR(F4="математика",F4="информатика",F4="английски език",F4="немски език",F4="руски език",F4="бълг. език",F4="ІІ - ри чужд език", F4="ИТ/ДБТ"),"+","-")</f>
        <v>-</v>
      </c>
      <c r="L4" s="46"/>
      <c r="M4" s="46"/>
      <c r="P4" s="21"/>
    </row>
    <row r="5" spans="1:43" ht="12" customHeight="1">
      <c r="A5" s="13">
        <v>3</v>
      </c>
      <c r="B5" s="12" t="str">
        <f>VLOOKUP('Програма-кодове'!C4,Списък!$A$1:$C$210,3,FALSE)</f>
        <v>рисуване</v>
      </c>
      <c r="C5" s="87" t="str">
        <f>IF(OR(B5="математика",B5="информатика",B5="английски език",B5="немски език",B5="руски език",B5="бълг. език",B5="ІІ - ри чужд език", B5="ИТ/ДБТ"),"+","-")</f>
        <v>-</v>
      </c>
      <c r="D5" s="12" t="str">
        <f>VLOOKUP('Програма-кодове'!D4,Списък!$A$1:$C$210,3,FALSE)</f>
        <v>математика</v>
      </c>
      <c r="E5" s="87" t="str">
        <f>IF(OR(D5="математика",D5="информатика",D5="английски език",D5="немски език",D5="руски език",D5="бълг. език",D5="ІІ - ри чужд език", D5="ИТ/ДБТ"),"+","-")</f>
        <v>+</v>
      </c>
      <c r="F5" s="12" t="str">
        <f>VLOOKUP('Програма-кодове'!E4,Списък!$A$1:$C$210,3,FALSE)</f>
        <v>география</v>
      </c>
      <c r="G5" s="87" t="str">
        <f>IF(OR(F5="математика",F5="информатика",F5="английски език",F5="немски език",F5="руски език",F5="бълг. език",F5="ІІ - ри чужд език", F5="ИТ/ДБТ"),"+","-")</f>
        <v>-</v>
      </c>
      <c r="L5" s="46"/>
      <c r="M5" s="46"/>
      <c r="P5" s="21"/>
    </row>
    <row r="6" spans="1:43" ht="12" customHeight="1">
      <c r="A6" s="13">
        <v>4</v>
      </c>
      <c r="B6" s="12" t="str">
        <f>VLOOKUP('Програма-кодове'!C5,Списък!$A$1:$C$210,3,FALSE)</f>
        <v>ИТ/ТП</v>
      </c>
      <c r="C6" s="87" t="str">
        <f>IF(OR(B6="математика",B6="информатика",B6="английски език",B6="немски език",B6="руски език",B6="бълг. език",B6="ІІ - ри чужд език", B6="ИТ/ДБТ"),"+","-")</f>
        <v>-</v>
      </c>
      <c r="D6" s="12" t="str">
        <f>VLOOKUP('Програма-кодове'!D5,Списък!$A$1:$C$210,3,FALSE)</f>
        <v>ИТ</v>
      </c>
      <c r="E6" s="87" t="str">
        <f>IF(OR(D6="математика",D6="информатика",D6="английски език",D6="немски език",D6="руски език",D6="бълг. език",D6="ІІ - ри чужд език", D6="ИТ/ДБТ"),"+","-")</f>
        <v>-</v>
      </c>
      <c r="F6" s="12" t="str">
        <f>VLOOKUP('Програма-кодове'!E5,Списък!$A$1:$C$210,3,FALSE)</f>
        <v>бълг. език</v>
      </c>
      <c r="G6" s="87" t="str">
        <f>IF(OR(F6="математика",F6="информатика",F6="английски език",F6="немски език",F6="руски език",F6="бълг. език",F6="ІІ - ри чужд език", F6="ИТ/ДБТ"),"+","-")</f>
        <v>+</v>
      </c>
      <c r="L6" s="46"/>
      <c r="M6" s="46"/>
      <c r="P6" s="21"/>
    </row>
    <row r="7" spans="1:43" ht="12" customHeight="1">
      <c r="A7" s="13">
        <v>5</v>
      </c>
      <c r="B7" s="12" t="str">
        <f>VLOOKUP('Програма-кодове'!C6,Списък!$A$1:$C$210,3,FALSE)</f>
        <v>математика</v>
      </c>
      <c r="C7" s="87" t="str">
        <f>IF(OR(B7="физкултура",B7="музика",B7="рисуване",B7="ИТ/ДБТ",B7="домашен бит и техника"),"+","-")</f>
        <v>-</v>
      </c>
      <c r="D7" s="12" t="str">
        <f>VLOOKUP('Програма-кодове'!D6,Списък!$A$1:$C$210,3,FALSE)</f>
        <v>физкултура</v>
      </c>
      <c r="E7" s="87" t="str">
        <f>IF(OR(D7="физкултура",D7="музика",D7="рисуване",D7="ИТ/ДБТ",D7="домашен бит и техника"),"+","-")</f>
        <v>+</v>
      </c>
      <c r="F7" s="12" t="str">
        <f>VLOOKUP('Програма-кодове'!E6,Списък!$A$1:$C$210,3,FALSE)</f>
        <v>бълг. език</v>
      </c>
      <c r="G7" s="87" t="str">
        <f>IF(OR(F7="физкултура",F7="музика",F7="рисуване",F7="ИТ/ДБТ",F7="домашен бит и техника"),"+","-")</f>
        <v>-</v>
      </c>
      <c r="L7" s="46"/>
      <c r="M7" s="46"/>
      <c r="P7" s="21"/>
    </row>
    <row r="8" spans="1:43" ht="12" customHeight="1">
      <c r="A8" s="13">
        <v>6</v>
      </c>
      <c r="B8" s="12" t="str">
        <f>VLOOKUP('Програма-кодове'!C7,Списък!$A$1:$C$210,3,FALSE)</f>
        <v>ИТ/ТП</v>
      </c>
      <c r="C8" s="87" t="str">
        <f>IF(OR(B8="история",B8="свят и личност",B8= "география",B8="химия",B8="биология",B8="физика",B8="философия"),"+","-")</f>
        <v>-</v>
      </c>
      <c r="D8" s="12" t="str">
        <f>VLOOKUP('Програма-кодове'!D7,Списък!$A$1:$C$210,3,FALSE)</f>
        <v>история</v>
      </c>
      <c r="E8" s="87" t="str">
        <f>IF(OR(D8="история",D8="свят и личност",D8= "география",D8="химия",D8="биология",D8="физика",D8="философия"),"+","-")</f>
        <v>+</v>
      </c>
      <c r="F8" s="12" t="str">
        <f>VLOOKUP('Програма-кодове'!E7,Списък!$A$1:$C$210,3,FALSE)</f>
        <v>математика</v>
      </c>
      <c r="G8" s="87" t="str">
        <f>IF(OR(F8="история",F8="свят и личност",F8= "география",F8="химия",F8="биология",F8="физика",F8="философия"),"+","-")</f>
        <v>-</v>
      </c>
      <c r="L8" s="46"/>
      <c r="M8" s="46"/>
      <c r="P8" s="21"/>
    </row>
    <row r="9" spans="1:43" ht="12" customHeight="1">
      <c r="A9" s="43">
        <v>7</v>
      </c>
      <c r="B9" s="21">
        <f>VLOOKUP('Програма-кодове'!C8,Списък!$A$1:$C$210,3,FALSE)</f>
        <v>0</v>
      </c>
      <c r="C9" s="87"/>
      <c r="D9" s="21"/>
      <c r="E9" s="87"/>
      <c r="F9" s="21"/>
      <c r="G9" s="87"/>
      <c r="L9" s="46"/>
      <c r="M9" s="46"/>
      <c r="P9" s="21"/>
    </row>
    <row r="10" spans="1:43" ht="12.75" customHeight="1">
      <c r="C10" s="88">
        <f>COUNTIF(C3:C8,"+")/6</f>
        <v>0.33333333333333331</v>
      </c>
      <c r="E10" s="88">
        <f>COUNTIF(E3:E8,"+")/6</f>
        <v>0.5</v>
      </c>
      <c r="G10" s="88">
        <f>COUNTIF(G3:G8,"+")/6</f>
        <v>0.16666666666666666</v>
      </c>
      <c r="L10" s="46" t="s">
        <v>95</v>
      </c>
      <c r="M10" s="47">
        <f>(C10+E10+G10)/3</f>
        <v>0.33333333333333331</v>
      </c>
      <c r="P10" s="21"/>
    </row>
    <row r="11" spans="1:43" ht="1.5" customHeight="1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46"/>
      <c r="M11" s="46"/>
      <c r="N11" s="21"/>
    </row>
    <row r="12" spans="1:43" ht="12" customHeight="1">
      <c r="A12" s="43"/>
      <c r="B12" s="13" t="s">
        <v>113</v>
      </c>
      <c r="C12" s="13"/>
      <c r="D12" s="13" t="s">
        <v>1</v>
      </c>
      <c r="E12" s="13"/>
      <c r="F12" s="13" t="s">
        <v>2</v>
      </c>
      <c r="G12" s="13"/>
      <c r="H12" s="13" t="s">
        <v>3</v>
      </c>
      <c r="I12" s="13"/>
      <c r="J12" s="13" t="s">
        <v>4</v>
      </c>
      <c r="L12" s="46"/>
      <c r="M12" s="46"/>
      <c r="N12" s="21"/>
    </row>
    <row r="13" spans="1:43" ht="12" customHeight="1">
      <c r="A13" s="13">
        <v>1</v>
      </c>
      <c r="B13" s="12" t="str">
        <f>VLOOKUP('Програма-кодове'!F2,Списък!$A$1:$C$210,3,FALSE)</f>
        <v>математика</v>
      </c>
      <c r="C13" s="87" t="str">
        <f>IF(OR(B13="история",B13="свят и личност",B13= "география",B13="химия",B13="биология",B13="физика",B13="философия"),"+","-")</f>
        <v>-</v>
      </c>
      <c r="D13" s="12" t="str">
        <f>VLOOKUP('Програма-кодове'!G2,Списък!$A$1:$C$210,3,FALSE)</f>
        <v>английски език</v>
      </c>
      <c r="E13" s="87" t="str">
        <f>IF(OR(D13="история",D13="свят и личност",D13= "география",D13="химия",D13="биология",D13="физика",D13="философия"),"+","-")</f>
        <v>-</v>
      </c>
      <c r="F13" s="12" t="str">
        <f>VLOOKUP('Програма-кодове'!H2,Списък!$A$1:$C$210,3,FALSE)</f>
        <v>английски език</v>
      </c>
      <c r="G13" s="45" t="str">
        <f>IF(OR(F13="история",F13="свят и личност",F13= "география",F13="химия",F13="биология",F13="физика",F13="философия"),"+","-")</f>
        <v>-</v>
      </c>
      <c r="H13" s="12" t="str">
        <f>VLOOKUP('Програма-кодове'!I2,Списък!$A$1:$C$210,3,FALSE)</f>
        <v>информатика</v>
      </c>
      <c r="I13" s="45" t="str">
        <f>IF(OR(H13="история",H13="свят и личност",H13= "география",H13="химия",H13="биология",H13="физика",H13="философия"),"+","-")</f>
        <v>-</v>
      </c>
      <c r="J13" s="12" t="str">
        <f>VLOOKUP('Програма-кодове'!J2,Списък!$A$1:$C$210,3,FALSE)</f>
        <v>математика</v>
      </c>
      <c r="K13" s="87" t="str">
        <f>IF(OR(J13="история",J13="свят и личност",J13= "география",J13="химия",J13="биология",J13="физика",J13="философия"),"+","-")</f>
        <v>-</v>
      </c>
      <c r="L13" s="46"/>
      <c r="M13" s="46"/>
      <c r="N13" s="21"/>
    </row>
    <row r="14" spans="1:43" ht="12" customHeight="1">
      <c r="A14" s="13">
        <v>2</v>
      </c>
      <c r="B14" s="12" t="str">
        <f>VLOOKUP('Програма-кодове'!F3,Списък!$A$1:$C$210,3,FALSE)</f>
        <v>бълг. език</v>
      </c>
      <c r="C14" s="87" t="str">
        <f>IF(OR(B14="математика",B14="информатика",B14="английски език",B14="немски език",B14="руски език",B14="бълг. език",B14="ІІ - ри чужд език", B14="ИТ/ДБТ"),"+","-")</f>
        <v>+</v>
      </c>
      <c r="D14" s="12" t="str">
        <f>VLOOKUP('Програма-кодове'!G3,Списък!$A$1:$C$210,3,FALSE)</f>
        <v>английски език</v>
      </c>
      <c r="E14" s="87" t="str">
        <f>IF(OR(D14="математика",D14="информатика",D14="английски език",D14="немски език",D14="руски език",D14="бълг. език",D14="ІІ - ри чужд език", D14="ИТ/ДБТ"),"+","-")</f>
        <v>+</v>
      </c>
      <c r="F14" s="12" t="str">
        <f>VLOOKUP('Програма-кодове'!H3,Списък!$A$1:$C$210,3,FALSE)</f>
        <v>английски език</v>
      </c>
      <c r="G14" s="45" t="str">
        <f>IF(OR(F14="математика",F14="информатика",F14="английски език",F14="немски език",F14="руски език",F14="бълг. език",F14="ІІ - ри чужд език", F14="ИТ/ДБТ"),"+","-")</f>
        <v>+</v>
      </c>
      <c r="H14" s="12" t="str">
        <f>VLOOKUP('Програма-кодове'!I3,Списък!$A$1:$C$210,3,FALSE)</f>
        <v>английски език</v>
      </c>
      <c r="I14" s="45" t="str">
        <f>IF(OR(H14="математика",H14="информатика",H14="английски език",H14="немски език",H14="руски език",H14="бълг. език",H14="ІІ - ри чужд език", H14="ИТ/ДБТ"),"+","-")</f>
        <v>+</v>
      </c>
      <c r="J14" s="12" t="str">
        <f>VLOOKUP('Програма-кодове'!J3,Списък!$A$1:$C$210,3,FALSE)</f>
        <v>информатика</v>
      </c>
      <c r="K14" s="87" t="str">
        <f>IF(OR(J14="математика",J14="информатика",J14="английски език",J14="немски език",J14="руски език",J14="бълг. език",J14="ІІ - ри чужд език", J14="ИТ/ДБТ"),"+","-")</f>
        <v>+</v>
      </c>
      <c r="L14" s="46"/>
      <c r="M14" s="46"/>
      <c r="N14" s="21"/>
    </row>
    <row r="15" spans="1:43" ht="12" customHeight="1">
      <c r="A15" s="13">
        <v>3</v>
      </c>
      <c r="B15" s="12" t="str">
        <f>VLOOKUP('Програма-кодове'!F4,Списък!$A$1:$C$210,3,FALSE)</f>
        <v>информатика</v>
      </c>
      <c r="C15" s="87" t="str">
        <f>IF(OR(B15="математика",B15="информатика",B15="английски език",B15="немски език",B15="руски език",B15="бълг. език",B15="ІІ - ри чужд език", B15="ИТ/ДБТ"),"+","-")</f>
        <v>+</v>
      </c>
      <c r="D15" s="12" t="str">
        <f>VLOOKUP('Програма-кодове'!G4,Списък!$A$1:$C$210,3,FALSE)</f>
        <v>английски език</v>
      </c>
      <c r="E15" s="87" t="str">
        <f>IF(OR(D15="математика",D15="информатика",D15="английски език",D15="немски език",D15="руски език",D15="бълг. език",D15="ІІ - ри чужд език", D15="ИТ/ДБТ"),"+","-")</f>
        <v>+</v>
      </c>
      <c r="F15" s="12" t="str">
        <f>VLOOKUP('Програма-кодове'!H4,Списък!$A$1:$C$210,3,FALSE)</f>
        <v>английски език</v>
      </c>
      <c r="G15" s="45" t="str">
        <f>IF(OR(F15="математика",F15="информатика",F15="английски език",F15="немски език",F15="руски език",F15="бълг. език",F15="ІІ - ри чужд език", F15="ИТ/ДБТ"),"+","-")</f>
        <v>+</v>
      </c>
      <c r="H15" s="12" t="str">
        <f>VLOOKUP('Програма-кодове'!I4,Списък!$A$1:$C$210,3,FALSE)</f>
        <v>английски език</v>
      </c>
      <c r="I15" s="45" t="str">
        <f>IF(OR(H15="математика",H15="информатика",H15="английски език",H15="немски език",H15="руски език",H15="бълг. език",H15="ІІ - ри чужд език", H15="ИТ/ДБТ"),"+","-")</f>
        <v>+</v>
      </c>
      <c r="J15" s="12" t="str">
        <f>VLOOKUP('Програма-кодове'!J4,Списък!$A$1:$C$210,3,FALSE)</f>
        <v>английски език</v>
      </c>
      <c r="K15" s="87" t="str">
        <f>IF(OR(J15="математика",J15="информатика",J15="английски език",J15="немски език",J15="руски език",J15="бълг. език",J15="ІІ - ри чужд език", J15="ИТ/ДБТ"),"+","-")</f>
        <v>+</v>
      </c>
      <c r="L15" s="46"/>
      <c r="M15" s="46"/>
      <c r="N15" s="21"/>
    </row>
    <row r="16" spans="1:43" ht="12" customHeight="1">
      <c r="A16" s="13">
        <v>4</v>
      </c>
      <c r="B16" s="12" t="str">
        <f>VLOOKUP('Програма-кодове'!F5,Списък!$A$1:$C$210,3,FALSE)</f>
        <v>английски език</v>
      </c>
      <c r="C16" s="87" t="str">
        <f>IF(OR(B16="математика",B16="информатика",B16="английски език",B16="немски език",B16="руски език",B16="бълг. език",B16="ІІ - ри чужд език", B16="ИТ/ДБТ"),"+","-")</f>
        <v>+</v>
      </c>
      <c r="D16" s="12" t="str">
        <f>VLOOKUP('Програма-кодове'!G5,Списък!$A$1:$C$210,3,FALSE)</f>
        <v>математика</v>
      </c>
      <c r="E16" s="87" t="str">
        <f>IF(OR(D16="математика",D16="информатика",D16="английски език",D16="немски език",D16="руски език",D16="бълг. език",D16="ІІ - ри чужд език", D16="ИТ/ДБТ"),"+","-")</f>
        <v>+</v>
      </c>
      <c r="F16" s="12" t="str">
        <f>VLOOKUP('Програма-кодове'!H5,Списък!$A$1:$C$210,3,FALSE)</f>
        <v>английски език</v>
      </c>
      <c r="G16" s="45" t="str">
        <f>IF(OR(F16="математика",F16="информатика",F16="английски език",F16="немски език",F16="руски език",F16="бълг. език",F16="ІІ - ри чужд език", F16="ИТ/ДБТ"),"+","-")</f>
        <v>+</v>
      </c>
      <c r="H16" s="12" t="str">
        <f>VLOOKUP('Програма-кодове'!I5,Списък!$A$1:$C$210,3,FALSE)</f>
        <v>английски език</v>
      </c>
      <c r="I16" s="45" t="str">
        <f>IF(OR(H16="математика",H16="информатика",H16="английски език",H16="немски език",H16="руски език",H16="бълг. език",H16="ІІ - ри чужд език", H16="ИТ/ДБТ"),"+","-")</f>
        <v>+</v>
      </c>
      <c r="J16" s="12" t="str">
        <f>VLOOKUP('Програма-кодове'!J5,Списък!$A$1:$C$210,3,FALSE)</f>
        <v>английски език</v>
      </c>
      <c r="K16" s="87" t="str">
        <f>IF(OR(J16="математика",J16="информатика",J16="английски език",J16="немски език",J16="руски език",J16="бълг. език",J16="ІІ - ри чужд език", J16="ИТ/ДБТ"),"+","-")</f>
        <v>+</v>
      </c>
      <c r="L16" s="46"/>
      <c r="M16" s="46"/>
      <c r="N16" s="21"/>
    </row>
    <row r="17" spans="1:41" ht="12" customHeight="1">
      <c r="A17" s="13">
        <v>5</v>
      </c>
      <c r="B17" s="12" t="str">
        <f>VLOOKUP('Програма-кодове'!F6,Списък!$A$1:$C$210,3,FALSE)</f>
        <v>английски език</v>
      </c>
      <c r="C17" s="87" t="str">
        <f>IF(OR(B17="физкултура",B17="музика",B17="рисуване",B17="ИТ/ДБТ",B17="домашен бит и техника"),"+","-")</f>
        <v>-</v>
      </c>
      <c r="D17" s="12" t="str">
        <f>VLOOKUP('Програма-кодове'!G6,Списък!$A$1:$C$210,3,FALSE)</f>
        <v>бълг. език</v>
      </c>
      <c r="E17" s="87" t="str">
        <f>IF(OR(D17="физкултура",D17="музика",D17="рисуване",D17="ИТ/ДБТ",D17="домашен бит и техника"),"+","-")</f>
        <v>-</v>
      </c>
      <c r="F17" s="12" t="str">
        <f>VLOOKUP('Програма-кодове'!H6,Списък!$A$1:$C$210,3,FALSE)</f>
        <v>информатика</v>
      </c>
      <c r="G17" s="45" t="str">
        <f>IF(OR(F17="математика",F17="информатика",F17="английски език",F17="немски език",F17="руски език",F17="бълг. език",F17="ІІ - ри чужд език",F17="ИТ",F17="ИТ/ДБТ",F17="история",F17="свят и личност",F17= "география",F17="химия",F17="биология",F17="физика",F17="философия"),"+","-")</f>
        <v>+</v>
      </c>
      <c r="H17" s="12" t="str">
        <f>VLOOKUP('Програма-кодове'!I6,Списък!$A$1:$C$210,3,FALSE)</f>
        <v>английски език</v>
      </c>
      <c r="I17" s="45" t="str">
        <f>IF(OR(H17="математика",H17="информатика",H17="английски език",H17="немски език",H17="руски език",H17="бълг. език",H17="ІІ - ри чужд език",H17="ИТ",H17="ИТ/ДБТ",H17="история",H17="свят и личност",H17= "география",H17="химия",H17="биология",H17="физика",H17="философия"),"+","-")</f>
        <v>+</v>
      </c>
      <c r="J17" s="12" t="str">
        <f>VLOOKUP('Програма-кодове'!J6,Списък!$A$1:$C$210,3,FALSE)</f>
        <v>философия</v>
      </c>
      <c r="K17" s="87" t="str">
        <f>IF(OR(J17="физкултура",J17="музика",J17="рисуване",J17="ИТ/ДБТ",J17="домашен бит и техника"),"+","-")</f>
        <v>-</v>
      </c>
      <c r="L17" s="46"/>
      <c r="M17" s="46"/>
      <c r="N17" s="21"/>
    </row>
    <row r="18" spans="1:41" ht="12" customHeight="1">
      <c r="A18" s="13">
        <v>6</v>
      </c>
      <c r="B18" s="12" t="str">
        <f>VLOOKUP('Програма-кодове'!F7,Списък!$A$1:$C$210,3,FALSE)</f>
        <v>английски език</v>
      </c>
      <c r="C18" s="87" t="str">
        <f>IF(OR(B18="история",B18="свят и личност",B18= "география",B18="химия",B18="биология",B18="физика",B18="философия"),"+","-")</f>
        <v>-</v>
      </c>
      <c r="D18" s="12" t="str">
        <f>VLOOKUP('Програма-кодове'!G7,Списък!$A$1:$C$210,3,FALSE)</f>
        <v>ИТ/ИТ</v>
      </c>
      <c r="E18" s="87" t="str">
        <f>IF(OR(D18="история",D18="свят и личност",D18= "география",D18="химия",D18="биология",D18="физика",D18="философия"),"+","-")</f>
        <v>-</v>
      </c>
      <c r="F18" s="12" t="str">
        <f>VLOOKUP('Програма-кодове'!H7,Списък!$A$1:$C$210,3,FALSE)</f>
        <v>математика</v>
      </c>
      <c r="G18" s="45" t="str">
        <f>IF(OR(F18="физкултура",F18="музика",F18="рисуване",F18="ИТ/ДБТ",F18="домашен бит и техника"),"+","-")</f>
        <v>-</v>
      </c>
      <c r="H18" s="12" t="str">
        <f>VLOOKUP('Програма-кодове'!I7,Списък!$A$1:$C$210,3,FALSE)</f>
        <v>философия</v>
      </c>
      <c r="I18" s="45" t="str">
        <f>IF(OR(H18="физкултура",H18="музика",H18="рисуване",H18="ИТ/ДБТ",H18="домашен бит и техника"),"+","-")</f>
        <v>-</v>
      </c>
      <c r="J18" s="12" t="str">
        <f>VLOOKUP('Програма-кодове'!J7,Списък!$A$1:$C$210,3,FALSE)</f>
        <v>английски език</v>
      </c>
      <c r="K18" s="87" t="str">
        <f>IF(OR(J18="история",J18="свят и личност",J18= "география",J18="химия",J18="биология",J18="физика",J18="философия"),"+","-")</f>
        <v>-</v>
      </c>
      <c r="L18" s="46"/>
      <c r="M18" s="46"/>
      <c r="N18" s="21"/>
    </row>
    <row r="19" spans="1:41" ht="12" customHeight="1">
      <c r="A19" s="13">
        <v>7</v>
      </c>
      <c r="B19" s="12" t="str">
        <f>VLOOKUP('Програма-кодове'!F15,Списък!$A$1:$C$210,3,FALSE)</f>
        <v>музика</v>
      </c>
      <c r="C19" s="87"/>
      <c r="D19" s="21" t="str">
        <f>VLOOKUP('Програма-кодове'!G8,Списък!$A$1:$C$210,3,FALSE)</f>
        <v>физкултура</v>
      </c>
      <c r="E19" s="87"/>
      <c r="F19" s="97" t="str">
        <f>VLOOKUP('Програма-кодове'!H8,Списък!$A$1:$C$210,3,FALSE)</f>
        <v>философия</v>
      </c>
      <c r="G19" s="98" t="str">
        <f>IF(OR(F19="история",F19="свят и личност",F19= "география",F19="химия",F19="биология",F19="физика",F19="философия"),"+","-")</f>
        <v>+</v>
      </c>
      <c r="H19" s="97" t="str">
        <f>VLOOKUP('Програма-кодове'!I8,Списък!$A$1:$C$210,3,FALSE)</f>
        <v>математика</v>
      </c>
      <c r="I19" s="45" t="str">
        <f>IF(OR(H19="история",H19="свят и личност",H19= "география",H19="химия",H19="биология",H19="физика",H19="философия"),"+","-")</f>
        <v>-</v>
      </c>
      <c r="J19" s="12" t="str">
        <f>VLOOKUP('Програма-кодове'!J8,Списък!$A$1:$C$210,3,FALSE)</f>
        <v>английски език</v>
      </c>
      <c r="K19" s="87"/>
      <c r="L19" s="46"/>
      <c r="M19" s="46"/>
      <c r="N19" s="21"/>
    </row>
    <row r="20" spans="1:41" ht="12" customHeight="1">
      <c r="A20" s="43"/>
      <c r="C20" s="88">
        <f>COUNTIF(C13:C18,"+")/6</f>
        <v>0.5</v>
      </c>
      <c r="E20" s="88">
        <f>COUNTIF(E13:E18,"+")/6</f>
        <v>0.5</v>
      </c>
      <c r="F20" s="21"/>
      <c r="G20" s="60">
        <f>COUNTIF(G13:G19,"+")/7</f>
        <v>0.7142857142857143</v>
      </c>
      <c r="I20" s="60">
        <f>COUNTIF(I13:I19,"+")/7</f>
        <v>0.5714285714285714</v>
      </c>
      <c r="K20" s="88">
        <f>COUNTIF(K13:K18,"+")/6</f>
        <v>0.5</v>
      </c>
      <c r="L20" s="46" t="s">
        <v>95</v>
      </c>
      <c r="M20" s="47">
        <f>(C20+E20+G20+I20+K20)/5</f>
        <v>0.55714285714285716</v>
      </c>
      <c r="N20" s="21"/>
    </row>
    <row r="21" spans="1:41" ht="3" customHeight="1">
      <c r="A21" s="14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46"/>
      <c r="M21" s="46"/>
      <c r="N21" s="21"/>
    </row>
    <row r="22" spans="1:41" s="13" customFormat="1" ht="12" customHeight="1">
      <c r="B22" s="13" t="s">
        <v>5</v>
      </c>
      <c r="D22" s="13" t="s">
        <v>6</v>
      </c>
      <c r="F22" s="13" t="s">
        <v>7</v>
      </c>
      <c r="G22" s="43"/>
      <c r="H22" s="13" t="s">
        <v>8</v>
      </c>
      <c r="J22" s="13" t="s">
        <v>9</v>
      </c>
      <c r="K22" s="12"/>
      <c r="L22" s="46"/>
      <c r="M22" s="46"/>
      <c r="N22" s="21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2" customHeight="1">
      <c r="A23" s="13">
        <v>1</v>
      </c>
      <c r="B23" s="12" t="str">
        <f>VLOOKUP('Програма-кодове'!K2,Списък!$A$1:$C$210,3,FALSE)</f>
        <v>история</v>
      </c>
      <c r="C23" s="45" t="str">
        <f>IF(OR(B23="история",B23="свят и личност",B23= "география",B23="химия",B23="биология",B23="физика",B23="философия"),"+","-")</f>
        <v>+</v>
      </c>
      <c r="D23" s="12" t="str">
        <f>VLOOKUP('Програма-кодове'!L2,Списък!$A$1:$C$210,3,FALSE)</f>
        <v>бълг. език</v>
      </c>
      <c r="E23" s="45" t="str">
        <f>IF(OR(D23="история",D23="свят и личност",D23= "география",D23="химия",D23="биология",D23="физика",D23="философия"),"+","-")</f>
        <v>-</v>
      </c>
      <c r="F23" s="12" t="str">
        <f>VLOOKUP('Програма-кодове'!M2,Списък!$A$1:$C$210,3,FALSE)</f>
        <v>география</v>
      </c>
      <c r="G23" s="45" t="str">
        <f>IF(OR(F23="история",F23="свят и личност",F23= "география",F23="химия",F23="биология",F23="физика",F23="философия"),"+","-")</f>
        <v>+</v>
      </c>
      <c r="H23" s="12" t="str">
        <f>VLOOKUP('Програма-кодове'!N2,Списък!$A$1:$C$210,3,FALSE)</f>
        <v>английски език</v>
      </c>
      <c r="I23" s="45" t="str">
        <f>IF(OR(H23="история",H23="свят и личност",H23= "география",H23="химия",H23="биология",H23="физика",H23="философия"),"+","-")</f>
        <v>-</v>
      </c>
      <c r="J23" s="12" t="str">
        <f>VLOOKUP('Програма-кодове'!O2,Списък!$A$1:$C$210,3,FALSE)</f>
        <v>физкултура</v>
      </c>
      <c r="K23" s="45" t="str">
        <f>IF(OR(J23="история",J23="свят и личност",J23= "география",J23="химия",J23="биология",J23="физика",J23="философия"),"+","-")</f>
        <v>-</v>
      </c>
      <c r="L23" s="46"/>
      <c r="M23" s="46"/>
      <c r="N23" s="21"/>
    </row>
    <row r="24" spans="1:41" ht="12" customHeight="1">
      <c r="A24" s="13">
        <v>2</v>
      </c>
      <c r="B24" s="12" t="str">
        <f>VLOOKUP('Програма-кодове'!K3,Списък!$A$1:$C$210,3,FALSE)</f>
        <v>английски език</v>
      </c>
      <c r="C24" s="45" t="str">
        <f>IF(OR(B24="математика",B24="информатика",B24="английски език",B24="немски език",B24="руски език",B24="бълг. език",B24="ІІ - ри чужд език", B24="ИТ/ДБТ"),"+","-")</f>
        <v>+</v>
      </c>
      <c r="D24" s="12" t="str">
        <f>VLOOKUP('Програма-кодове'!L3,Списък!$A$1:$C$210,3,FALSE)</f>
        <v>бълг. език</v>
      </c>
      <c r="E24" s="45" t="str">
        <f>IF(OR(D24="математика",D24="информатика",D24="английски език",D24="немски език",D24="руски език",D24="бълг. език",D24="ІІ - ри чужд език", D24="ИТ/ДБТ"),"+","-")</f>
        <v>+</v>
      </c>
      <c r="F24" s="12" t="str">
        <f>VLOOKUP('Програма-кодове'!M3,Списък!$A$1:$C$210,3,FALSE)</f>
        <v>математика</v>
      </c>
      <c r="G24" s="45" t="str">
        <f>IF(OR(F24="математика",F24="информатика",F24="английски език",F24="немски език",F24="руски език",F24="бълг. език",F24="ІІ - ри чужд език", F24="ИТ/ДБТ"),"+","-")</f>
        <v>+</v>
      </c>
      <c r="H24" s="12" t="str">
        <f>VLOOKUP('Програма-кодове'!N3,Списък!$A$1:$C$210,3,FALSE)</f>
        <v>биология</v>
      </c>
      <c r="I24" s="45" t="str">
        <f>IF(OR(H24="математика",H24="информатика",H24="английски език",H24="немски език",H24="руски език",H24="бълг. език",H24="ІІ - ри чужд език", H24="ИТ/ДБТ"),"+","-")</f>
        <v>-</v>
      </c>
      <c r="J24" s="12" t="str">
        <f>VLOOKUP('Програма-кодове'!O3,Списък!$A$1:$C$210,3,FALSE)</f>
        <v>история</v>
      </c>
      <c r="K24" s="45" t="str">
        <f>IF(OR(J24="математика",J24="информатика",J24="английски език",J24="немски език",J24="руски език",J24="бълг. език",J24="ІІ - ри чужд език", J24="ИТ/ДБТ"),"+","-")</f>
        <v>-</v>
      </c>
      <c r="L24" s="46"/>
      <c r="M24" s="46"/>
      <c r="N24" s="21"/>
    </row>
    <row r="25" spans="1:41" ht="12" customHeight="1">
      <c r="A25" s="13">
        <v>3</v>
      </c>
      <c r="B25" s="12" t="str">
        <f>VLOOKUP('Програма-кодове'!K4,Списък!$A$1:$C$210,3,FALSE)</f>
        <v>география</v>
      </c>
      <c r="C25" s="45" t="str">
        <f>IF(OR(B25="математика",B25="информатика",B25="английски език",B25="немски език",B25="руски език",B25="бълг. език",B25="ІІ - ри чужд език", B25="ИТ/ДБТ"),"+","-")</f>
        <v>-</v>
      </c>
      <c r="D25" s="12" t="str">
        <f>VLOOKUP('Програма-кодове'!L4,Списък!$A$1:$C$210,3,FALSE)</f>
        <v>химия</v>
      </c>
      <c r="E25" s="45" t="str">
        <f>IF(OR(D25="математика",D25="информатика",D25="английски език",D25="немски език",D25="руски език",D25="бълг. език",D25="ІІ - ри чужд език", D25="ИТ/ДБТ"),"+","-")</f>
        <v>-</v>
      </c>
      <c r="F25" s="12" t="str">
        <f>VLOOKUP('Програма-кодове'!M4,Списък!$A$1:$C$210,3,FALSE)</f>
        <v>английски език</v>
      </c>
      <c r="G25" s="45" t="str">
        <f>IF(OR(F25="математика",F25="информатика",F25="английски език",F25="немски език",F25="руски език",F25="бълг. език",F25="ІІ - ри чужд език", F25="ИТ/ДБТ"),"+","-")</f>
        <v>+</v>
      </c>
      <c r="H25" s="12" t="str">
        <f>VLOOKUP('Програма-кодове'!N4,Списък!$A$1:$C$210,3,FALSE)</f>
        <v>физика</v>
      </c>
      <c r="I25" s="45" t="str">
        <f>IF(OR(H25="математика",H25="информатика",H25="английски език",H25="немски език",H25="руски език",H25="бълг. език",H25="ІІ - ри чужд език", H25="ИТ/ДБТ"),"+","-")</f>
        <v>-</v>
      </c>
      <c r="J25" s="12" t="str">
        <f>VLOOKUP('Програма-кодове'!O4,Списък!$A$1:$C$210,3,FALSE)</f>
        <v>химия</v>
      </c>
      <c r="K25" s="45" t="str">
        <f>IF(OR(J25="математика",J25="информатика",J25="английски език",J25="немски език",J25="руски език",J25="бълг. език",J25="ІІ - ри чужд език", J25="ИТ/ДБТ"),"+","-")</f>
        <v>-</v>
      </c>
      <c r="L25" s="46"/>
      <c r="M25" s="46"/>
      <c r="N25" s="21"/>
    </row>
    <row r="26" spans="1:41" ht="12" customHeight="1">
      <c r="A26" s="13">
        <v>4</v>
      </c>
      <c r="B26" s="12" t="str">
        <f>VLOOKUP('Програма-кодове'!K5,Списък!$A$1:$C$210,3,FALSE)</f>
        <v>бълг. език</v>
      </c>
      <c r="C26" s="45" t="str">
        <f>IF(OR(B26="математика",B26="информатика",B26="английски език",B26="немски език",B26="руски език",B26="бълг. език",B26="ІІ - ри чужд език", B26="ИТ/ДБТ"),"+","-")</f>
        <v>+</v>
      </c>
      <c r="D26" s="12" t="str">
        <f>VLOOKUP('Програма-кодове'!L5,Списък!$A$1:$C$210,3,FALSE)</f>
        <v>география</v>
      </c>
      <c r="E26" s="45" t="str">
        <f>IF(OR(D26="математика",D26="информатика",D26="английски език",D26="немски език",D26="руски език",D26="бълг. език",D26="ІІ - ри чужд език", D26="ИТ/ДБТ"),"+","-")</f>
        <v>-</v>
      </c>
      <c r="F26" s="12" t="str">
        <f>VLOOKUP('Програма-кодове'!M5,Списък!$A$1:$C$210,3,FALSE)</f>
        <v>история</v>
      </c>
      <c r="G26" s="45" t="str">
        <f>IF(OR(F26="математика",F26="информатика",F26="английски език",F26="немски език",F26="руски език",F26="бълг. език",F26="ІІ - ри чужд език", F26="ИТ/ДБТ"),"+","-")</f>
        <v>-</v>
      </c>
      <c r="H26" s="12" t="str">
        <f>VLOOKUP('Програма-кодове'!N5,Списък!$A$1:$C$210,3,FALSE)</f>
        <v>математика</v>
      </c>
      <c r="I26" s="45" t="str">
        <f>IF(OR(H26="математика",H26="информатика",H26="английски език",H26="немски език",H26="руски език",H26="бълг. език",H26="ІІ - ри чужд език", H26="ИТ/ДБТ"),"+","-")</f>
        <v>+</v>
      </c>
      <c r="J26" s="12" t="str">
        <f>VLOOKUP('Програма-кодове'!O5,Списък!$A$1:$C$210,3,FALSE)</f>
        <v>биология</v>
      </c>
      <c r="K26" s="45" t="str">
        <f>IF(OR(J26="математика",J26="информатика",J26="английски език",J26="немски език",J26="руски език",J26="бълг. език",J26="ІІ - ри чужд език", J26="ИТ/ДБТ"),"+","-")</f>
        <v>-</v>
      </c>
      <c r="L26" s="46"/>
      <c r="M26" s="46"/>
      <c r="N26" s="21"/>
    </row>
    <row r="27" spans="1:41" ht="12" customHeight="1">
      <c r="A27" s="13">
        <v>5</v>
      </c>
      <c r="B27" s="12" t="str">
        <f>VLOOKUP('Програма-кодове'!K6,Списък!$A$1:$C$210,3,FALSE)</f>
        <v>бълг. език</v>
      </c>
      <c r="C27" s="45" t="str">
        <f>IF(OR(B27="математика",B27="информатика",B27="английски език",B27="немски език",B27="руски език",B27="бълг. език",B27="ІІ - ри чужд език",B27="ИТ",B27="ИТ/ДБТ",B27="история",B27="свят и личност",B27= "география",B27="химия",B27="биология",B27="физика",B27="философия"),"+","-")</f>
        <v>+</v>
      </c>
      <c r="D27" s="12" t="str">
        <f>VLOOKUP('Програма-кодове'!L6,Списък!$A$1:$C$210,3,FALSE)</f>
        <v>история</v>
      </c>
      <c r="E27" s="45" t="str">
        <f>IF(OR(D27="математика",D27="информатика",D27="английски език",D27="немски език",D27="руски език",D27="бълг. език",D27="ІІ - ри чужд език",D27="ИТ",D27="ИТ/ДБТ",D27="история",D27="свят и личност",D27= "география",D27="химия",D27="биология",D27="физика",D27="философия"),"+","-")</f>
        <v>+</v>
      </c>
      <c r="F27" s="12" t="str">
        <f>VLOOKUP('Програма-кодове'!M6,Списък!$A$1:$C$210,3,FALSE)</f>
        <v>химия</v>
      </c>
      <c r="G27" s="45" t="str">
        <f>IF(OR(F27="математика",F27="информатика",F27="английски език",F27="немски език",F27="руски език",F27="бълг. език",F27="ІІ - ри чужд език",F27="ИТ",F27="ИТ/ДБТ",F27="история",F27="свят и личност",F27= "география",F27="химия",F27="биология",F27="физика",F27="философия"),"+","-")</f>
        <v>+</v>
      </c>
      <c r="H27" s="12" t="str">
        <f>VLOOKUP('Програма-кодове'!N6,Списък!$A$1:$C$210,3,FALSE)</f>
        <v>география</v>
      </c>
      <c r="I27" s="45" t="str">
        <f>IF(OR(H27="математика",H27="информатика",H27="английски език",H27="немски език",H27="руски език",H27="бълг. език",H27="ІІ - ри чужд език",H27="ИТ",H27="ИТ/ДБТ",H27="история",H27="свят и личност",H27= "география",H27="химия",H27="биология",H27="физика",H27="философия"),"+","-")</f>
        <v>+</v>
      </c>
      <c r="J27" s="12" t="str">
        <f>VLOOKUP('Програма-кодове'!O6,Списък!$A$1:$C$210,3,FALSE)</f>
        <v>математика</v>
      </c>
      <c r="K27" s="45" t="str">
        <f>IF(OR(J27="математика",J27="информатика",J27="английски език",J27="немски език",J27="руски език",J27="бълг. език",J27="ІІ - ри чужд език",J27="ИТ",J27="ИТ/ДБТ",J27="история",J27="свят и личност",J27= "география",J27="химия",J27="биология",J27="физика",J27="философия"),"+","-")</f>
        <v>+</v>
      </c>
      <c r="L27" s="46"/>
      <c r="M27" s="46"/>
      <c r="N27" s="21"/>
    </row>
    <row r="28" spans="1:41" ht="12" customHeight="1">
      <c r="A28" s="13">
        <v>6</v>
      </c>
      <c r="B28" s="12" t="str">
        <f>VLOOKUP('Програма-кодове'!K7,Списък!$A$1:$C$210,3,FALSE)</f>
        <v>химия</v>
      </c>
      <c r="C28" s="45" t="str">
        <f>IF(OR(B28="физкултура",B28="музика",B28="рисуване",B28="ИТ/ДБТ",B28="домашен бит и техника"),"+","-")</f>
        <v>-</v>
      </c>
      <c r="D28" s="12" t="str">
        <f>VLOOKUP('Програма-кодове'!L7,Списък!$A$1:$C$210,3,FALSE)</f>
        <v>ІІ - ри чужд език</v>
      </c>
      <c r="E28" s="45" t="str">
        <f>IF(OR(D28="физкултура",D28="музика",D28="рисуване",D28="ИТ/ДБТ",D28="домашен бит и техника"),"+","-")</f>
        <v>-</v>
      </c>
      <c r="F28" s="12">
        <f>VLOOKUP('Програма-кодове'!M7,Списък!$A$1:$C$210,3,FALSE)</f>
        <v>0</v>
      </c>
      <c r="G28" s="45" t="str">
        <f>IF(OR(F28="физкултура",F28="музика",F28="рисуване",F28="ИТ/ДБТ",F28="домашен бит и техника"),"+","-")</f>
        <v>-</v>
      </c>
      <c r="H28" s="12">
        <f>VLOOKUP('Програма-кодове'!N7,Списък!$A$1:$C$210,3,FALSE)</f>
        <v>0</v>
      </c>
      <c r="I28" s="45" t="str">
        <f>IF(OR(H28="физкултура",H28="музика",H28="рисуване",H28="ИТ/ДБТ",H28="домашен бит и техника"),"+","-")</f>
        <v>-</v>
      </c>
      <c r="J28" s="12" t="str">
        <f>VLOOKUP('Програма-кодове'!O7,Списък!$A$1:$C$210,3,FALSE)</f>
        <v>бълг. език</v>
      </c>
      <c r="K28" s="45" t="str">
        <f>IF(OR(J28="физкултура",J28="музика",J28="рисуване",J28="ИТ/ДБТ",J28="домашен бит и техника"),"+","-")</f>
        <v>-</v>
      </c>
      <c r="L28" s="46"/>
      <c r="M28" s="46"/>
      <c r="N28" s="21"/>
    </row>
    <row r="29" spans="1:41" ht="12" customHeight="1">
      <c r="A29" s="13">
        <v>7</v>
      </c>
      <c r="B29" s="12" t="str">
        <f>VLOOKUP('Програма-кодове'!K8,Списък!$A$1:$C$210,3,FALSE)</f>
        <v>рисуване</v>
      </c>
      <c r="C29" s="45" t="str">
        <f>IF(OR(B29="история",B29="свят и личност",B29= "география",B29="химия",B29="биология",B29="физика",B29="философия"),"+","-")</f>
        <v>-</v>
      </c>
      <c r="D29" s="12" t="str">
        <f>VLOOKUP('Програма-кодове'!L8,Списък!$A$1:$C$210,3,FALSE)</f>
        <v>ІІ - ри чужд език</v>
      </c>
      <c r="E29" s="45" t="str">
        <f>IF(OR(D29="история",D29="свят и личност",D29= "география",D29="химия",D29="биология",D29="физика",D29="философия"),"+","-")</f>
        <v>-</v>
      </c>
      <c r="F29" s="12">
        <f>VLOOKUP('Програма-кодове'!M8,Списък!$A$1:$C$210,3,FALSE)</f>
        <v>0</v>
      </c>
      <c r="G29" s="45" t="str">
        <f>IF(OR(F29="история",F29="свят и личност",F29= "география",F29="химия",F29="биология",F29="физика",F29="философия"),"+","-")</f>
        <v>-</v>
      </c>
      <c r="H29" s="12">
        <f>VLOOKUP('Програма-кодове'!N8,Списък!$A$1:$C$210,3,FALSE)</f>
        <v>0</v>
      </c>
      <c r="I29" s="45" t="str">
        <f>IF(OR(H29="история",H29="свят и личност",H29= "география",H29="химия",H29="биология",H29="физика",H29="философия"),"+","-")</f>
        <v>-</v>
      </c>
      <c r="J29" s="12" t="str">
        <f>VLOOKUP('Програма-кодове'!O8,Списък!$A$1:$C$210,3,FALSE)</f>
        <v>бълг. език</v>
      </c>
      <c r="K29" s="45" t="str">
        <f>IF(OR(J29="история",J29="свят и личност",J29= "география",J29="химия",J29="биология",J29="физика",J29="философия"),"+","-")</f>
        <v>-</v>
      </c>
      <c r="L29" s="46"/>
      <c r="M29" s="46"/>
      <c r="N29" s="21"/>
    </row>
    <row r="30" spans="1:41" ht="12" customHeight="1">
      <c r="C30" s="60">
        <f>COUNTIF(C23:C29,"+")/7</f>
        <v>0.5714285714285714</v>
      </c>
      <c r="E30" s="60">
        <f>COUNTIF(E23:E29,"+")/7</f>
        <v>0.2857142857142857</v>
      </c>
      <c r="F30" s="12" t="e">
        <f>VLOOKUP('Програма-кодове'!#REF!,Списък!$A$1:$C$210,3,FALSE)</f>
        <v>#REF!</v>
      </c>
      <c r="G30" s="60">
        <f>COUNTIF(G23:G29,"+")/7</f>
        <v>0.5714285714285714</v>
      </c>
      <c r="I30" s="60">
        <f>COUNTIF(I23:I29,"+")/7</f>
        <v>0.2857142857142857</v>
      </c>
      <c r="K30" s="60">
        <f>COUNTIF(K23:K29,"+")/7</f>
        <v>0.14285714285714285</v>
      </c>
      <c r="L30" s="46" t="s">
        <v>95</v>
      </c>
      <c r="M30" s="47">
        <f>(C30+E30+G30+I30+K30)/5</f>
        <v>0.37142857142857133</v>
      </c>
      <c r="N30" s="21"/>
    </row>
    <row r="31" spans="1:41" ht="1.5" customHeight="1">
      <c r="A31" s="14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46"/>
      <c r="M31" s="46"/>
      <c r="N31" s="21"/>
    </row>
    <row r="32" spans="1:41" s="13" customFormat="1" ht="12" customHeight="1">
      <c r="B32" s="13" t="s">
        <v>10</v>
      </c>
      <c r="D32" s="13" t="s">
        <v>11</v>
      </c>
      <c r="F32" s="13" t="s">
        <v>12</v>
      </c>
      <c r="H32" s="13" t="s">
        <v>13</v>
      </c>
      <c r="J32" s="13" t="s">
        <v>14</v>
      </c>
      <c r="K32" s="12"/>
      <c r="L32" s="46"/>
      <c r="M32" s="46"/>
      <c r="N32" s="21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2" customHeight="1">
      <c r="A33" s="13">
        <v>1</v>
      </c>
      <c r="B33" s="12" t="str">
        <f>VLOOKUP('Програма-кодове'!P2,Списък!$A$1:$C$210,3,FALSE)</f>
        <v>информатика</v>
      </c>
      <c r="C33" s="45" t="str">
        <f>IF(OR(B33="история",B33="свят и личност",B33= "география",B33="химия",B33="биология",B33="физика",B33="философия"),"+","-")</f>
        <v>-</v>
      </c>
      <c r="D33" s="12" t="str">
        <f>VLOOKUP('Програма-кодове'!Q2,Списък!$A$1:$C$210,3,FALSE)</f>
        <v>история</v>
      </c>
      <c r="E33" s="45" t="str">
        <f>IF(OR(D33="история",D33="свят и личност",D33= "география",D33="химия",D33="биология",D33="физика",D33="философия"),"+","-")</f>
        <v>+</v>
      </c>
      <c r="F33" s="12" t="str">
        <f>VLOOKUP('Програма-кодове'!R2,Списък!$A$1:$C$210,3,FALSE)</f>
        <v>физкултура</v>
      </c>
      <c r="G33" s="45" t="str">
        <f>IF(OR(F33="история",F33="свят и личност",F33= "география",F33="химия",F33="биология",F33="физика",F33="философия"),"+","-")</f>
        <v>-</v>
      </c>
      <c r="H33" s="12" t="str">
        <f>VLOOKUP('Програма-кодове'!S2,Списък!$A$1:$C$210,3,FALSE)</f>
        <v>английски език</v>
      </c>
      <c r="I33" s="45" t="str">
        <f>IF(OR(H33="история",H33="свят и личност",H33= "география",H33="химия",H33="биология",H33="физика",H33="философия"),"+","-")</f>
        <v>-</v>
      </c>
      <c r="J33" s="12" t="str">
        <f>VLOOKUP('Програма-кодове'!T2,Списък!$A$1:$C$210,3,FALSE)</f>
        <v>биология</v>
      </c>
      <c r="K33" s="45" t="str">
        <f>IF(OR(J33="история",J33="свят и личност",J33= "география",J33="химия",J33="биология",J33="физика",J33="философия"),"+","-")</f>
        <v>+</v>
      </c>
      <c r="L33" s="46"/>
      <c r="M33" s="46"/>
      <c r="N33" s="21"/>
    </row>
    <row r="34" spans="1:41" ht="12" customHeight="1">
      <c r="A34" s="13">
        <v>2</v>
      </c>
      <c r="B34" s="12" t="str">
        <f>VLOOKUP('Програма-кодове'!P3,Списък!$A$1:$C$210,3,FALSE)</f>
        <v>математика</v>
      </c>
      <c r="C34" s="45" t="str">
        <f>IF(OR(B34="математика",B34="информатика",B34="английски език",B34="немски език",B34="руски език",B34="бълг. език",B34="ІІ - ри чужд език", B34="ИТ/ДБТ"),"+","-")</f>
        <v>+</v>
      </c>
      <c r="D34" s="12" t="str">
        <f>VLOOKUP('Програма-кодове'!Q3,Списък!$A$1:$C$210,3,FALSE)</f>
        <v>бълг. език</v>
      </c>
      <c r="E34" s="45" t="str">
        <f>IF(OR(D34="математика",D34="информатика",D34="английски език",D34="немски език",D34="руски език",D34="бълг. език",D34="ІІ - ри чужд език", D34="ИТ/ДБТ"),"+","-")</f>
        <v>+</v>
      </c>
      <c r="F34" s="12" t="str">
        <f>VLOOKUP('Програма-кодове'!R3,Списък!$A$1:$C$210,3,FALSE)</f>
        <v>информатика</v>
      </c>
      <c r="G34" s="45" t="str">
        <f>IF(OR(F34="математика",F34="информатика",F34="английски език",F34="немски език",F34="руски език",F34="бълг. език",F34="ІІ - ри чужд език", F34="ИТ/ДБТ"),"+","-")</f>
        <v>+</v>
      </c>
      <c r="H34" s="12" t="str">
        <f>VLOOKUP('Програма-кодове'!S3,Списък!$A$1:$C$210,3,FALSE)</f>
        <v>английски език</v>
      </c>
      <c r="I34" s="45" t="str">
        <f>IF(OR(H34="математика",H34="информатика",H34="английски език",H34="немски език",H34="руски език",H34="бълг. език",H34="ІІ - ри чужд език", H34="ИТ/ДБТ"),"+","-")</f>
        <v>+</v>
      </c>
      <c r="J34" s="12" t="str">
        <f>VLOOKUP('Програма-кодове'!T3,Списък!$A$1:$C$210,3,FALSE)</f>
        <v>биология</v>
      </c>
      <c r="K34" s="45" t="str">
        <f>IF(OR(J34="математика",J34="информатика",J34="английски език",J34="немски език",J34="руски език",J34="бълг. език",J34="ІІ - ри чужд език", J34="ИТ/ДБТ"),"+","-")</f>
        <v>-</v>
      </c>
      <c r="L34" s="46"/>
      <c r="M34" s="46"/>
      <c r="N34" s="21"/>
    </row>
    <row r="35" spans="1:41" ht="12" customHeight="1">
      <c r="A35" s="13">
        <v>3</v>
      </c>
      <c r="B35" s="12" t="str">
        <f>VLOOKUP('Програма-кодове'!P4,Списък!$A$1:$C$210,3,FALSE)</f>
        <v>математика</v>
      </c>
      <c r="C35" s="45" t="str">
        <f>IF(OR(B35="математика",B35="информатика",B35="английски език",B35="немски език",B35="руски език",B35="бълг. език",B35="ІІ - ри чужд език", B35="ИТ/ДБТ"),"+","-")</f>
        <v>+</v>
      </c>
      <c r="D35" s="12" t="str">
        <f>VLOOKUP('Програма-кодове'!Q4,Списък!$A$1:$C$210,3,FALSE)</f>
        <v>бълг. език</v>
      </c>
      <c r="E35" s="45" t="str">
        <f>IF(OR(D35="математика",D35="информатика",D35="английски език",D35="немски език",D35="руски език",D35="бълг. език",D35="ІІ - ри чужд език", D35="ИТ/ДБТ"),"+","-")</f>
        <v>+</v>
      </c>
      <c r="F35" s="12" t="str">
        <f>VLOOKUP('Програма-кодове'!R4,Списък!$A$1:$C$210,3,FALSE)</f>
        <v>английски език</v>
      </c>
      <c r="G35" s="45" t="str">
        <f>IF(OR(F35="математика",F35="информатика",F35="английски език",F35="немски език",F35="руски език",F35="бълг. език",F35="ІІ - ри чужд език", F35="ИТ/ДБТ"),"+","-")</f>
        <v>+</v>
      </c>
      <c r="H35" s="12" t="str">
        <f>VLOOKUP('Програма-кодове'!S4,Списък!$A$1:$C$210,3,FALSE)</f>
        <v>история</v>
      </c>
      <c r="I35" s="45" t="str">
        <f>IF(OR(H35="математика",H35="информатика",H35="английски език",H35="немски език",H35="руски език",H35="бълг. език",H35="ІІ - ри чужд език", H35="ИТ/ДБТ"),"+","-")</f>
        <v>-</v>
      </c>
      <c r="J35" s="12" t="str">
        <f>VLOOKUP('Програма-кодове'!T4,Списък!$A$1:$C$210,3,FALSE)</f>
        <v>информатика</v>
      </c>
      <c r="K35" s="45" t="str">
        <f>IF(OR(J35="математика",J35="информатика",J35="английски език",J35="немски език",J35="руски език",J35="бълг. език",J35="ІІ - ри чужд език", J35="ИТ/ДБТ"),"+","-")</f>
        <v>+</v>
      </c>
      <c r="L35" s="46"/>
      <c r="M35" s="46"/>
      <c r="N35" s="21"/>
    </row>
    <row r="36" spans="1:41" ht="12" customHeight="1">
      <c r="A36" s="13">
        <v>4</v>
      </c>
      <c r="B36" s="12" t="str">
        <f>VLOOKUP('Програма-кодове'!P5,Списък!$A$1:$C$210,3,FALSE)</f>
        <v>английски език</v>
      </c>
      <c r="C36" s="45" t="str">
        <f>IF(OR(B36="математика",B36="информатика",B36="английски език",B36="немски език",B36="руски език",B36="бълг. език",B36="ІІ - ри чужд език", B36="ИТ/ДБТ"),"+","-")</f>
        <v>+</v>
      </c>
      <c r="D36" s="12" t="str">
        <f>VLOOKUP('Програма-кодове'!Q5,Списък!$A$1:$C$210,3,FALSE)</f>
        <v>химия</v>
      </c>
      <c r="E36" s="45" t="str">
        <f>IF(OR(D36="математика",D36="информатика",D36="английски език",D36="немски език",D36="руски език",D36="бълг. език",D36="ІІ - ри чужд език", D36="ИТ/ДБТ"),"+","-")</f>
        <v>-</v>
      </c>
      <c r="F36" s="12" t="str">
        <f>VLOOKUP('Програма-кодове'!R5,Списък!$A$1:$C$210,3,FALSE)</f>
        <v>биология</v>
      </c>
      <c r="G36" s="45" t="str">
        <f>IF(OR(F36="математика",F36="информатика",F36="английски език",F36="немски език",F36="руски език",F36="бълг. език",F36="ІІ - ри чужд език", F36="ИТ/ДБТ"),"+","-")</f>
        <v>-</v>
      </c>
      <c r="H36" s="12" t="str">
        <f>VLOOKUP('Програма-кодове'!S5,Списък!$A$1:$C$210,3,FALSE)</f>
        <v>информатика</v>
      </c>
      <c r="I36" s="45" t="str">
        <f>IF(OR(H36="математика",H36="информатика",H36="английски език",H36="немски език",H36="руски език",H36="бълг. език",H36="ІІ - ри чужд език", H36="ИТ/ДБТ"),"+","-")</f>
        <v>+</v>
      </c>
      <c r="J36" s="12" t="str">
        <f>VLOOKUP('Програма-кодове'!T5,Списък!$A$1:$C$210,3,FALSE)</f>
        <v>физкултура</v>
      </c>
      <c r="K36" s="45" t="str">
        <f>IF(OR(J36="математика",J36="информатика",J36="английски език",J36="немски език",J36="руски език",J36="бълг. език",J36="ІІ - ри чужд език", J36="ИТ/ДБТ"),"+","-")</f>
        <v>-</v>
      </c>
      <c r="L36" s="46"/>
      <c r="M36" s="46"/>
      <c r="N36" s="21"/>
    </row>
    <row r="37" spans="1:41" ht="12" customHeight="1">
      <c r="A37" s="13">
        <v>5</v>
      </c>
      <c r="B37" s="12" t="str">
        <f>VLOOKUP('Програма-кодове'!P6,Списък!$A$1:$C$210,3,FALSE)</f>
        <v>английски език</v>
      </c>
      <c r="C37" s="45" t="str">
        <f>IF(OR(B37="математика",B37="информатика",B37="английски език",B37="немски език",B37="руски език",B37="бълг. език",B37="ІІ - ри чужд език",B37="ИТ",B37="ИТ/ДБТ",B37="история",B37="свят и личност",B37= "география",B37="химия",B37="биология",B37="физика",B37="философия"),"+","-")</f>
        <v>+</v>
      </c>
      <c r="D37" s="12" t="str">
        <f>VLOOKUP('Програма-кодове'!Q6,Списък!$A$1:$C$210,3,FALSE)</f>
        <v>информатика</v>
      </c>
      <c r="E37" s="45" t="str">
        <f>IF(OR(D37="математика",D37="информатика",D37="английски език",D37="немски език",D37="руски език",D37="бълг. език",D37="ІІ - ри чужд език",D37="ИТ",D37="ИТ/ДБТ",D37="история",D37="свят и личност",D37= "география",D37="химия",D37="биология",D37="физика",D37="философия"),"+","-")</f>
        <v>+</v>
      </c>
      <c r="F37" s="12" t="str">
        <f>VLOOKUP('Програма-кодове'!R6,Списък!$A$1:$C$210,3,FALSE)</f>
        <v>химия</v>
      </c>
      <c r="G37" s="45" t="str">
        <f>IF(OR(F37="математика",F37="информатика",F37="английски език",F37="немски език",F37="руски език",F37="бълг. език",F37="ІІ - ри чужд език",F37="ИТ",F37="ИТ/ДБТ",F37="история",F37="свят и личност",F37= "география",F37="химия",F37="биология",F37="физика",F37="философия"),"+","-")</f>
        <v>+</v>
      </c>
      <c r="H37" s="12" t="str">
        <f>VLOOKUP('Програма-кодове'!S6,Списък!$A$1:$C$210,3,FALSE)</f>
        <v>биология</v>
      </c>
      <c r="I37" s="45" t="str">
        <f>IF(OR(H37="математика",H37="информатика",H37="английски език",H37="немски език",H37="руски език",H37="бълг. език",H37="ІІ - ри чужд език",H37="ИТ",H37="ИТ/ДБТ",H37="история",H37="свят и личност",H37= "география",H37="химия",H37="биология",H37="физика",H37="философия"),"+","-")</f>
        <v>+</v>
      </c>
      <c r="J37" s="12" t="str">
        <f>VLOOKUP('Програма-кодове'!T6,Списък!$A$1:$C$210,3,FALSE)</f>
        <v>математика</v>
      </c>
      <c r="K37" s="45" t="str">
        <f>IF(OR(J37="математика",J37="информатика",J37="английски език",J37="немски език",J37="руски език",J37="бълг. език",J37="ІІ - ри чужд език",J37="ИТ",J37="ИТ/ДБТ",J37="история",J37="свят и личност",J37= "география",J37="химия",J37="биология",J37="физика",J37="философия"),"+","-")</f>
        <v>+</v>
      </c>
      <c r="L37" s="46"/>
      <c r="M37" s="46"/>
      <c r="N37" s="21"/>
    </row>
    <row r="38" spans="1:41" ht="12" customHeight="1">
      <c r="A38" s="13">
        <v>6</v>
      </c>
      <c r="B38" s="12" t="str">
        <f>VLOOKUP('Програма-кодове'!P7,Списък!$A$1:$C$210,3,FALSE)</f>
        <v>география</v>
      </c>
      <c r="C38" s="45" t="str">
        <f>IF(OR(B38="физкултура",B38="музика",B38="рисуване",B38="ИТ/ДБТ",B38="домашен бит и техника"),"+","-")</f>
        <v>-</v>
      </c>
      <c r="D38" s="12" t="str">
        <f>VLOOKUP('Програма-кодове'!Q7,Списък!$A$1:$C$210,3,FALSE)</f>
        <v>физкултура</v>
      </c>
      <c r="E38" s="45" t="str">
        <f>IF(OR(D38="физкултура",D38="музика",D38="рисуване",D38="ИТ/ДБТ",D38="домашен бит и техника"),"+","-")</f>
        <v>+</v>
      </c>
      <c r="F38" s="12" t="str">
        <f>VLOOKUP('Програма-кодове'!R7,Списък!$A$1:$C$210,3,FALSE)</f>
        <v>математика</v>
      </c>
      <c r="G38" s="45" t="str">
        <f>IF(OR(F38="физкултура",F38="музика",F38="рисуване",F38="ИТ/ДБТ",F38="домашен бит и техника"),"+","-")</f>
        <v>-</v>
      </c>
      <c r="H38" s="12" t="str">
        <f>VLOOKUP('Програма-кодове'!S7,Списък!$A$1:$C$210,3,FALSE)</f>
        <v>бълг. език</v>
      </c>
      <c r="I38" s="45" t="str">
        <f>IF(OR(H38="физкултура",H38="музика",H38="рисуване",H38="ИТ/ДБТ",H38="домашен бит и техника"),"+","-")</f>
        <v>-</v>
      </c>
      <c r="J38" s="12" t="str">
        <f>VLOOKUP('Програма-кодове'!T7,Списък!$A$1:$C$210,3,FALSE)</f>
        <v>английски език</v>
      </c>
      <c r="K38" s="45" t="str">
        <f>IF(OR(J38="физкултура",J38="музика",J38="рисуване",J38="ИТ/ДБТ",J38="домашен бит и техника"),"+","-")</f>
        <v>-</v>
      </c>
      <c r="L38" s="46"/>
      <c r="M38" s="46"/>
      <c r="N38" s="21"/>
    </row>
    <row r="39" spans="1:41" ht="12" customHeight="1">
      <c r="A39" s="43">
        <v>7</v>
      </c>
      <c r="B39" s="12" t="str">
        <f>VLOOKUP('Програма-кодове'!P8,Списък!$A$1:$C$210,3,FALSE)</f>
        <v>биология</v>
      </c>
      <c r="C39" s="45" t="str">
        <f>IF(OR(B39="история",B39="свят и личност",B39= "география",B39="химия",B39="биология",B39="физика",B39="философия"),"+","-")</f>
        <v>+</v>
      </c>
      <c r="D39" s="12" t="str">
        <f>VLOOKUP('Програма-кодове'!Q8,Списък!$A$1:$C$210,3,FALSE)</f>
        <v>математика</v>
      </c>
      <c r="E39" s="45" t="str">
        <f>IF(OR(D39="история",D39="свят и личност",D39= "география",D39="химия",D39="биология",D39="физика",D39="философия"),"+","-")</f>
        <v>-</v>
      </c>
      <c r="F39" s="12" t="str">
        <f>VLOOKUP('Програма-кодове'!R8,Списък!$A$1:$C$210,3,FALSE)</f>
        <v>история</v>
      </c>
      <c r="G39" s="45" t="str">
        <f>IF(OR(F39="история",F39="свят и личност",F39= "география",F39="химия",F39="биология",F39="физика",F39="философия"),"+","-")</f>
        <v>+</v>
      </c>
      <c r="H39" s="12" t="str">
        <f>VLOOKUP('Програма-кодове'!S8,Списък!$A$1:$C$210,3,FALSE)</f>
        <v>бълг. език</v>
      </c>
      <c r="I39" s="45" t="str">
        <f>IF(OR(H39="история",H39="свят и личност",H39= "география",H39="химия",H39="биология",H39="физика",H39="философия"),"+","-")</f>
        <v>-</v>
      </c>
      <c r="J39" s="12" t="str">
        <f>VLOOKUP('Програма-кодове'!T8,Списък!$A$1:$C$210,3,FALSE)</f>
        <v>история</v>
      </c>
      <c r="K39" s="45" t="str">
        <f>IF(OR(J39="история",J39="свят и личност",J39= "география",J39="химия",J39="биология",J39="физика",J39="философия"),"+","-")</f>
        <v>+</v>
      </c>
      <c r="L39" s="46"/>
      <c r="M39" s="46"/>
      <c r="N39" s="21"/>
    </row>
    <row r="40" spans="1:41" ht="12" customHeight="1">
      <c r="C40" s="60">
        <f>COUNTIF(C33:C39,"+")/7</f>
        <v>0.7142857142857143</v>
      </c>
      <c r="E40" s="60">
        <f>COUNTIF(E33:E39,"+")/7</f>
        <v>0.7142857142857143</v>
      </c>
      <c r="G40" s="60">
        <f>COUNTIF(G33:G39,"+")/7</f>
        <v>0.5714285714285714</v>
      </c>
      <c r="I40" s="60">
        <f>COUNTIF(I33:I39,"+")/7</f>
        <v>0.42857142857142855</v>
      </c>
      <c r="K40" s="60">
        <f>COUNTIF(K33:K39,"+")/7</f>
        <v>0.5714285714285714</v>
      </c>
      <c r="L40" s="46" t="s">
        <v>95</v>
      </c>
      <c r="M40" s="47">
        <f>(C40+E40+G40+I40+K40)/5</f>
        <v>0.6</v>
      </c>
      <c r="N40" s="21"/>
    </row>
    <row r="41" spans="1:41" ht="1.5" customHeight="1">
      <c r="A41" s="14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46"/>
      <c r="M41" s="46"/>
      <c r="N41" s="21"/>
    </row>
    <row r="42" spans="1:41" s="13" customFormat="1" ht="12" customHeight="1">
      <c r="B42" s="13" t="s">
        <v>15</v>
      </c>
      <c r="D42" s="13" t="s">
        <v>16</v>
      </c>
      <c r="F42" s="13" t="s">
        <v>17</v>
      </c>
      <c r="H42" s="13" t="s">
        <v>46</v>
      </c>
      <c r="J42" s="13" t="s">
        <v>18</v>
      </c>
      <c r="K42" s="12"/>
      <c r="L42" s="46"/>
      <c r="M42" s="46"/>
      <c r="N42" s="21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2" customHeight="1">
      <c r="A43" s="13">
        <v>1</v>
      </c>
      <c r="B43" s="12" t="str">
        <f>VLOOKUP('Програма-кодове'!U2,Списък!$A$1:$C$210,3,FALSE)</f>
        <v>ІІ - ри чужд език</v>
      </c>
      <c r="C43" s="45" t="str">
        <f>IF(OR(B43="история",B43="свят и личност",B43= "география",B43="химия",B43="биология",B43="физика",B43="философия"),"+","-")</f>
        <v>-</v>
      </c>
      <c r="D43" s="12" t="str">
        <f>VLOOKUP('Програма-кодове'!V2,Списък!$A$1:$C$210,3,FALSE)</f>
        <v>английски език</v>
      </c>
      <c r="E43" s="45" t="str">
        <f>IF(OR(D43="история",D43="свят и личност",D43= "география",D43="химия",D43="биология",D43="физика",D43="философия"),"+","-")</f>
        <v>-</v>
      </c>
      <c r="F43" s="12" t="str">
        <f>VLOOKUP('Програма-кодове'!W2,Списък!$A$1:$C$210,3,FALSE)</f>
        <v>ІІ - ри чужд език</v>
      </c>
      <c r="G43" s="45" t="str">
        <f>IF(OR(F43="история",F43="свят и личност",F43= "география",F43="химия",F43="биология",F43="физика",F43="философия"),"+","-")</f>
        <v>-</v>
      </c>
      <c r="H43" s="21" t="str">
        <f>VLOOKUP('Програма-кодове'!X2,Списък!$A$1:$C$210,3,FALSE)</f>
        <v>математика</v>
      </c>
      <c r="I43" s="45" t="str">
        <f>IF(OR(H43="история",H43="свят и личност",H43= "география",H43="химия",H43="биология",H43="физика",H43="философия"),"+","-")</f>
        <v>-</v>
      </c>
      <c r="J43" s="21" t="str">
        <f>VLOOKUP('Програма-кодове'!Y2,Списък!$A$1:$C$210,3,FALSE)</f>
        <v>география</v>
      </c>
      <c r="K43" s="45" t="str">
        <f>IF(OR(J43="история",J43="свят и личност",J43= "география",J43="химия",J43="биология",J43="физика",J43="философия"),"+","-")</f>
        <v>+</v>
      </c>
      <c r="L43" s="46"/>
      <c r="M43" s="46"/>
      <c r="N43" s="21"/>
    </row>
    <row r="44" spans="1:41" ht="12" customHeight="1">
      <c r="A44" s="13">
        <v>2</v>
      </c>
      <c r="B44" s="12" t="str">
        <f>VLOOKUP('Програма-кодове'!U3,Списък!$A$1:$C$210,3,FALSE)</f>
        <v>ІІ - ри чужд език</v>
      </c>
      <c r="C44" s="45" t="str">
        <f>IF(OR(B44="математика",B44="информатика",B44="английски език",B44="немски език",B44="руски език",B44="бълг. език",B44="ІІ - ри чужд език", B44="ИТ/ДБТ"),"+","-")</f>
        <v>+</v>
      </c>
      <c r="D44" s="12" t="str">
        <f>VLOOKUP('Програма-кодове'!V3,Списък!$A$1:$C$210,3,FALSE)</f>
        <v>математика</v>
      </c>
      <c r="E44" s="45" t="str">
        <f>IF(OR(D44="математика",D44="информатика",D44="английски език",D44="немски език",D44="руски език",D44="бълг. език",D44="ІІ - ри чужд език", D44="ИТ/ДБТ"),"+","-")</f>
        <v>+</v>
      </c>
      <c r="F44" s="12" t="str">
        <f>VLOOKUP('Програма-кодове'!W3,Списък!$A$1:$C$210,3,FALSE)</f>
        <v>ІІ - ри чужд език</v>
      </c>
      <c r="G44" s="45" t="str">
        <f>IF(OR(F44="математика",F44="информатика",F44="английски език",F44="немски език",F44="руски език",F44="бълг. език",F44="ІІ - ри чужд език", F44="ИТ/ДБТ"),"+","-")</f>
        <v>+</v>
      </c>
      <c r="H44" s="21" t="str">
        <f>VLOOKUP('Програма-кодове'!X3,Списък!$A$1:$C$210,3,FALSE)</f>
        <v>физкултура</v>
      </c>
      <c r="I44" s="45" t="str">
        <f>IF(OR(H44="математика",H44="информатика",H44="английски език",H44="немски език",H44="руски език",H44="бълг. език",H44="ІІ - ри чужд език", H44="ИТ/ДБТ"),"+","-")</f>
        <v>-</v>
      </c>
      <c r="J44" s="21" t="str">
        <f>VLOOKUP('Програма-кодове'!Y3,Списък!$A$1:$C$210,3,FALSE)</f>
        <v>английски език</v>
      </c>
      <c r="K44" s="45" t="str">
        <f>IF(OR(J44="математика",J44="информатика",J44="английски език",J44="немски език",J44="руски език",J44="бълг. език",J44="ІІ - ри чужд език", J44="ИТ/ДБТ"),"+","-")</f>
        <v>+</v>
      </c>
      <c r="L44" s="46"/>
      <c r="M44" s="46"/>
      <c r="N44" s="21"/>
    </row>
    <row r="45" spans="1:41" ht="12" customHeight="1">
      <c r="A45" s="13">
        <v>3</v>
      </c>
      <c r="B45" s="12" t="str">
        <f>VLOOKUP('Програма-кодове'!U4,Списък!$A$1:$C$210,3,FALSE)</f>
        <v>биология</v>
      </c>
      <c r="C45" s="45" t="str">
        <f>IF(OR(B45="математика",B45="информатика",B45="английски език",B45="немски език",B45="руски език",B45="бълг. език",B45="ІІ - ри чужд език", B45="ИТ/ДБТ"),"+","-")</f>
        <v>-</v>
      </c>
      <c r="D45" s="12" t="str">
        <f>VLOOKUP('Програма-кодове'!V4,Списък!$A$1:$C$210,3,FALSE)</f>
        <v>история</v>
      </c>
      <c r="E45" s="45" t="str">
        <f>IF(OR(D45="математика",D45="информатика",D45="английски език",D45="немски език",D45="руски език",D45="бълг. език",D45="ІІ - ри чужд език", D45="ИТ/ДБТ"),"+","-")</f>
        <v>-</v>
      </c>
      <c r="F45" s="12" t="str">
        <f>VLOOKUP('Програма-кодове'!W4,Списък!$A$1:$C$210,3,FALSE)</f>
        <v>математика</v>
      </c>
      <c r="G45" s="45" t="str">
        <f>IF(OR(F45="математика",F45="информатика",F45="английски език",F45="немски език",F45="руски език",F45="бълг. език",F45="ІІ - ри чужд език", F45="ИТ/ДБТ"),"+","-")</f>
        <v>+</v>
      </c>
      <c r="H45" s="21" t="str">
        <f>VLOOKUP('Програма-кодове'!X4,Списък!$A$1:$C$210,3,FALSE)</f>
        <v>английски език</v>
      </c>
      <c r="I45" s="45" t="str">
        <f>IF(OR(H45="математика",H45="информатика",H45="английски език",H45="немски език",H45="руски език",H45="бълг. език",H45="ІІ - ри чужд език", H45="ИТ/ДБТ"),"+","-")</f>
        <v>+</v>
      </c>
      <c r="J45" s="21" t="str">
        <f>VLOOKUP('Програма-кодове'!Y4,Списък!$A$1:$C$210,3,FALSE)</f>
        <v>биология</v>
      </c>
      <c r="K45" s="45" t="str">
        <f>IF(OR(J45="математика",J45="информатика",J45="английски език",J45="немски език",J45="руски език",J45="бълг. език",J45="ІІ - ри чужд език", J45="ИТ/ДБТ"),"+","-")</f>
        <v>-</v>
      </c>
      <c r="L45" s="46"/>
      <c r="M45" s="46"/>
      <c r="N45" s="21"/>
    </row>
    <row r="46" spans="1:41" ht="12" customHeight="1">
      <c r="A46" s="13">
        <v>4</v>
      </c>
      <c r="B46" s="12" t="str">
        <f>VLOOKUP('Програма-кодове'!U5,Списък!$A$1:$C$210,3,FALSE)</f>
        <v>история</v>
      </c>
      <c r="C46" s="45" t="str">
        <f>IF(OR(B46="математика",B46="информатика",B46="английски език",B46="немски език",B46="руски език",B46="бълг. език",B46="ІІ - ри чужд език", B46="ИТ/ДБТ"),"+","-")</f>
        <v>-</v>
      </c>
      <c r="D46" s="12" t="str">
        <f>VLOOKUP('Програма-кодове'!V5,Списък!$A$1:$C$210,3,FALSE)</f>
        <v>ІІ - ри чужд език</v>
      </c>
      <c r="E46" s="45" t="str">
        <f>IF(OR(D46="математика",D46="информатика",D46="английски език",D46="немски език",D46="руски език",D46="бълг. език",D46="ІІ - ри чужд език", D46="ИТ/ДБТ"),"+","-")</f>
        <v>+</v>
      </c>
      <c r="F46" s="12" t="str">
        <f>VLOOKUP('Програма-кодове'!W5,Списък!$A$1:$C$210,3,FALSE)</f>
        <v>английски език</v>
      </c>
      <c r="G46" s="45" t="str">
        <f>IF(OR(F46="математика",F46="информатика",F46="английски език",F46="немски език",F46="руски език",F46="бълг. език",F46="ІІ - ри чужд език", F46="ИТ/ДБТ"),"+","-")</f>
        <v>+</v>
      </c>
      <c r="H46" s="21" t="str">
        <f>VLOOKUP('Програма-кодове'!X5,Списък!$A$1:$C$210,3,FALSE)</f>
        <v>география</v>
      </c>
      <c r="I46" s="45" t="str">
        <f>IF(OR(H46="математика",H46="информатика",H46="английски език",H46="немски език",H46="руски език",H46="бълг. език",H46="ІІ - ри чужд език", H46="ИТ/ДБТ"),"+","-")</f>
        <v>-</v>
      </c>
      <c r="J46" s="21" t="str">
        <f>VLOOKUP('Програма-кодове'!Y5,Списък!$A$1:$C$210,3,FALSE)</f>
        <v>ІІ - ри чужд език</v>
      </c>
      <c r="K46" s="45" t="str">
        <f>IF(OR(J46="математика",J46="информатика",J46="английски език",J46="немски език",J46="руски език",J46="бълг. език",J46="ІІ - ри чужд език", J46="ИТ/ДБТ"),"+","-")</f>
        <v>+</v>
      </c>
      <c r="L46" s="46"/>
      <c r="M46" s="46"/>
      <c r="N46" s="21"/>
    </row>
    <row r="47" spans="1:41" ht="12" customHeight="1">
      <c r="A47" s="13">
        <v>5</v>
      </c>
      <c r="B47" s="12" t="str">
        <f>VLOOKUP('Програма-кодове'!U6,Списък!$A$1:$C$210,3,FALSE)</f>
        <v>математика</v>
      </c>
      <c r="C47" s="45" t="str">
        <f>IF(OR(B47="математика",B47="информатика",B47="английски език",B47="немски език",B47="руски език",B47="бълг. език",B47="ІІ - ри чужд език",B47="ИТ",B47="ИТ/ДБТ",B47="история",B47="свят и личност",B47= "география",B47="химия",B47="биология",B47="физика",B47="философия"),"+","-")</f>
        <v>+</v>
      </c>
      <c r="D47" s="12" t="str">
        <f>VLOOKUP('Програма-кодове'!V6,Списък!$A$1:$C$210,3,FALSE)</f>
        <v>ІІ - ри чужд език</v>
      </c>
      <c r="E47" s="45" t="str">
        <f>IF(OR(D47="математика",D47="информатика",D47="английски език",D47="немски език",D47="руски език",D47="бълг. език",D47="ІІ - ри чужд език",D47="ИТ",D47="ИТ/ДБТ",D47="история",D47="свят и личност",D47= "география",D47="химия",D47="биология",D47="физика",D47="философия"),"+","-")</f>
        <v>+</v>
      </c>
      <c r="F47" s="12" t="str">
        <f>VLOOKUP('Програма-кодове'!W6,Списък!$A$1:$C$210,3,FALSE)</f>
        <v>география</v>
      </c>
      <c r="G47" s="45" t="str">
        <f>IF(OR(F47="математика",F47="информатика",F47="английски език",F47="немски език",F47="руски език",F47="бълг. език",F47="ІІ - ри чужд език",F47="ИТ",F47="ИТ/ДБТ",F47="история",F47="свят и личност",F47= "география",F47="химия",F47="биология",F47="физика",F47="философия"),"+","-")</f>
        <v>+</v>
      </c>
      <c r="H47" s="21" t="str">
        <f>VLOOKUP('Програма-кодове'!X6,Списък!$A$1:$C$210,3,FALSE)</f>
        <v>история</v>
      </c>
      <c r="I47" s="45" t="str">
        <f>IF(OR(H47="математика",H47="информатика",H47="английски език",H47="немски език",H47="руски език",H47="бълг. език",H47="ІІ - ри чужд език",H47="ИТ",H47="ИТ/ДБТ",H47="история",H47="свят и личност",H47= "география",H47="химия",H47="биология",H47="физика",H47="философия"),"+","-")</f>
        <v>+</v>
      </c>
      <c r="J47" s="21" t="str">
        <f>VLOOKUP('Програма-кодове'!Y6,Списък!$A$1:$C$210,3,FALSE)</f>
        <v>ІІ - ри чужд език</v>
      </c>
      <c r="K47" s="45" t="str">
        <f>IF(OR(J47="математика",J47="информатика",J47="английски език",J47="немски език",J47="руски език",J47="бълг. език",J47="ІІ - ри чужд език",J47="ИТ",J47="ИТ/ДБТ",J47="история",J47="свят и личност",J47= "география",J47="химия",J47="биология",J47="физика",J47="философия"),"+","-")</f>
        <v>+</v>
      </c>
      <c r="L47" s="46"/>
      <c r="M47" s="46"/>
      <c r="N47" s="21"/>
    </row>
    <row r="48" spans="1:41" ht="12" customHeight="1">
      <c r="A48" s="13">
        <v>6</v>
      </c>
      <c r="B48" s="12" t="str">
        <f>VLOOKUP('Програма-кодове'!U7,Списък!$A$1:$C$210,3,FALSE)</f>
        <v>математика</v>
      </c>
      <c r="C48" s="45" t="str">
        <f>IF(OR(B48="физкултура",B48="музика",B48="рисуване",B48="ИТ/ДБТ",B48="домашен бит и техника"),"+","-")</f>
        <v>-</v>
      </c>
      <c r="D48" s="12" t="str">
        <f>VLOOKUP('Програма-кодове'!V7,Списък!$A$1:$C$210,3,FALSE)</f>
        <v>информатика</v>
      </c>
      <c r="E48" s="45" t="str">
        <f>IF(OR(D48="физкултура",D48="музика",D48="рисуване",D48="ИТ/ДБТ",D48="домашен бит и техника"),"+","-")</f>
        <v>-</v>
      </c>
      <c r="F48" s="12" t="str">
        <f>VLOOKUP('Програма-кодове'!W7,Списък!$A$1:$C$210,3,FALSE)</f>
        <v>бълг. език</v>
      </c>
      <c r="G48" s="45" t="str">
        <f>IF(OR(F48="физкултура",F48="музика",F48="рисуване",F48="ИТ/ДБТ",F48="домашен бит и техника"),"+","-")</f>
        <v>-</v>
      </c>
      <c r="H48" s="21" t="str">
        <f>VLOOKUP('Програма-кодове'!X7,Списък!$A$1:$C$210,3,FALSE)</f>
        <v>биология</v>
      </c>
      <c r="I48" s="45" t="str">
        <f>IF(OR(H48="физкултура",H48="музика",H48="рисуване",H48="ИТ/ДБТ",H48="домашен бит и техника"),"+","-")</f>
        <v>-</v>
      </c>
      <c r="J48" s="21" t="str">
        <f>VLOOKUP('Програма-кодове'!Y7,Списък!$A$1:$C$210,3,FALSE)</f>
        <v>история</v>
      </c>
      <c r="K48" s="45" t="str">
        <f>IF(OR(J48="физкултура",J48="музика",J48="рисуване",J48="ИТ/ДБТ",J48="домашен бит и техника"),"+","-")</f>
        <v>-</v>
      </c>
      <c r="L48" s="46"/>
      <c r="M48" s="46"/>
      <c r="N48" s="21"/>
    </row>
    <row r="49" spans="1:43" ht="12" customHeight="1">
      <c r="A49" s="13">
        <v>7</v>
      </c>
      <c r="B49" s="12" t="str">
        <f>VLOOKUP('Програма-кодове'!U8,Списък!$A$1:$C$210,3,FALSE)</f>
        <v>английски език</v>
      </c>
      <c r="C49" s="45" t="str">
        <f>IF(OR(B49="история",B49="свят и личност",B49= "география",B49="химия",B49="биология",B49="физика",B49="философия"),"+","-")</f>
        <v>-</v>
      </c>
      <c r="D49" s="12" t="str">
        <f>VLOOKUP('Програма-кодове'!V8,Списък!$A$1:$C$210,3,FALSE)</f>
        <v>география</v>
      </c>
      <c r="E49" s="45" t="str">
        <f>IF(OR(D49="история",D49="свят и личност",D49= "география",D49="химия",D49="биология",D49="физика",D49="философия"),"+","-")</f>
        <v>+</v>
      </c>
      <c r="F49" s="12" t="str">
        <f>VLOOKUP('Програма-кодове'!W8,Списък!$A$1:$C$210,3,FALSE)</f>
        <v>информатика</v>
      </c>
      <c r="G49" s="45" t="str">
        <f>IF(OR(F49="история",F49="свят и личност",F49= "география",F49="химия",F49="биология",F49="физика",F49="философия"),"+","-")</f>
        <v>-</v>
      </c>
      <c r="H49" s="21" t="str">
        <f>VLOOKUP('Програма-кодове'!X8,Списък!$A$1:$C$210,3,FALSE)</f>
        <v>бълг. език</v>
      </c>
      <c r="I49" s="45" t="str">
        <f>IF(OR(H49="история",H49="свят и личност",H49= "география",H49="химия",H49="биология",H49="физика",H49="философия"),"+","-")</f>
        <v>-</v>
      </c>
      <c r="J49" s="21" t="str">
        <f>VLOOKUP('Програма-кодове'!Y8,Списък!$A$1:$C$210,3,FALSE)</f>
        <v>химия</v>
      </c>
      <c r="K49" s="45" t="str">
        <f>IF(OR(J49="история",J49="свят и личност",J49= "география",J49="химия",J49="биология",J49="физика",J49="философия"),"+","-")</f>
        <v>+</v>
      </c>
      <c r="L49" s="46"/>
      <c r="M49" s="46"/>
      <c r="N49" s="21"/>
    </row>
    <row r="50" spans="1:43" ht="12" customHeight="1">
      <c r="C50" s="60">
        <f>COUNTIF(C43:C49,"+")/7</f>
        <v>0.2857142857142857</v>
      </c>
      <c r="E50" s="60">
        <f>COUNTIF(E43:E49,"+")/7</f>
        <v>0.5714285714285714</v>
      </c>
      <c r="G50" s="60">
        <f>COUNTIF(G43:G49,"+")/7</f>
        <v>0.5714285714285714</v>
      </c>
      <c r="H50" s="21"/>
      <c r="I50" s="60">
        <f>COUNTIF(I43:I49,"+")/7</f>
        <v>0.2857142857142857</v>
      </c>
      <c r="J50" s="21"/>
      <c r="K50" s="60">
        <f>COUNTIF(K43:K49,"+")/7</f>
        <v>0.7142857142857143</v>
      </c>
      <c r="L50" s="46" t="s">
        <v>95</v>
      </c>
      <c r="M50" s="47">
        <f>(C50+E50+G50+I50+K50)/5</f>
        <v>0.48571428571428565</v>
      </c>
      <c r="N50" s="21"/>
    </row>
    <row r="51" spans="1:43" ht="1.5" customHeight="1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46"/>
      <c r="M51" s="46"/>
      <c r="N51" s="21"/>
    </row>
    <row r="52" spans="1:43" s="13" customFormat="1" ht="12" customHeight="1">
      <c r="B52" s="13" t="s">
        <v>48</v>
      </c>
      <c r="D52" s="13" t="s">
        <v>49</v>
      </c>
      <c r="F52" s="13" t="s">
        <v>50</v>
      </c>
      <c r="H52" s="13" t="s">
        <v>51</v>
      </c>
      <c r="J52" s="13" t="s">
        <v>52</v>
      </c>
      <c r="K52" s="12"/>
      <c r="L52" s="46"/>
      <c r="M52" s="46"/>
      <c r="N52" s="21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3" ht="12" customHeight="1">
      <c r="A53" s="13">
        <v>1</v>
      </c>
      <c r="B53" s="12" t="str">
        <f>VLOOKUP('Програма-кодове'!Z2,Списък!$A$1:$C$210,3,FALSE)</f>
        <v>физика</v>
      </c>
      <c r="C53" s="45" t="str">
        <f>IF(OR(B53="история",B53="свят и личност",B53= "география",B53="химия",B53="биология",B53="физика",B53="философия"),"+","-")</f>
        <v>+</v>
      </c>
      <c r="D53" s="12" t="str">
        <f>VLOOKUP('Програма-кодове'!AA2,Списък!$A$1:$C$210,3,FALSE)</f>
        <v>английски език</v>
      </c>
      <c r="E53" s="45" t="str">
        <f>IF(OR(D53="история",D53="свят и личност",D53= "география",D53="химия",D53="биология",D53="физика",D53="философия"),"+","-")</f>
        <v>-</v>
      </c>
      <c r="F53" s="12" t="str">
        <f>VLOOKUP('Програма-кодове'!AB2,Списък!$A$1:$C$210,3,FALSE)</f>
        <v>бълг. език</v>
      </c>
      <c r="G53" s="45" t="str">
        <f>IF(OR(F53="история",F53="свят и личност",F53= "география",F53="химия",F53="биология",F53="физика",F53="философия"),"+","-")</f>
        <v>-</v>
      </c>
      <c r="H53" s="12" t="str">
        <f>VLOOKUP('Програма-кодове'!AC2,Списък!$A$1:$C$210,3,FALSE)</f>
        <v>информатика</v>
      </c>
      <c r="I53" s="45" t="str">
        <f>IF(OR(H53="история",H53="свят и личност",H53= "география",H53="химия",H53="биология",H53="физика",H53="философия"),"+","-")</f>
        <v>-</v>
      </c>
      <c r="J53" s="12" t="str">
        <f>VLOOKUP('Програма-кодове'!AD2,Списък!$A$1:$C$210,3,FALSE)</f>
        <v>биология</v>
      </c>
      <c r="K53" s="45" t="str">
        <f>IF(OR(J53="история",J53="свят и личност",J53= "география",J53="химия",J53="биология",J53="физика",J53="философия"),"+","-")</f>
        <v>+</v>
      </c>
      <c r="L53" s="46"/>
      <c r="M53" s="46"/>
      <c r="N53" s="21"/>
    </row>
    <row r="54" spans="1:43" ht="12" customHeight="1">
      <c r="A54" s="13">
        <v>2</v>
      </c>
      <c r="B54" s="12" t="str">
        <f>VLOOKUP('Програма-кодове'!Z3,Списък!$A$1:$C$210,3,FALSE)</f>
        <v>информатика</v>
      </c>
      <c r="C54" s="45" t="str">
        <f>IF(OR(B54="математика",B54="информатика",B54="английски език",B54="немски език",B54="руски език",B54="бълг. език",B54="ІІ - ри чужд език", B54="ИТ/ДБТ"),"+","-")</f>
        <v>+</v>
      </c>
      <c r="D54" s="12" t="str">
        <f>VLOOKUP('Програма-кодове'!AA3,Списък!$A$1:$C$210,3,FALSE)</f>
        <v>английски език</v>
      </c>
      <c r="E54" s="45" t="str">
        <f>IF(OR(D54="математика",D54="информатика",D54="английски език",D54="немски език",D54="руски език",D54="бълг. език",D54="ІІ - ри чужд език", D54="ИТ/ДБТ"),"+","-")</f>
        <v>+</v>
      </c>
      <c r="F54" s="12" t="str">
        <f>VLOOKUP('Програма-кодове'!AB3,Списък!$A$1:$C$210,3,FALSE)</f>
        <v>бълг. език</v>
      </c>
      <c r="G54" s="45" t="str">
        <f>IF(OR(F54="математика",F54="информатика",F54="английски език",F54="немски език",F54="руски език",F54="бълг. език",F54="ІІ - ри чужд език", F54="ИТ/ДБТ"),"+","-")</f>
        <v>+</v>
      </c>
      <c r="H54" s="12" t="str">
        <f>VLOOKUP('Програма-кодове'!AC3,Списък!$A$1:$C$210,3,FALSE)</f>
        <v>математика</v>
      </c>
      <c r="I54" s="45" t="str">
        <f>IF(OR(H54="математика",H54="информатика",H54="английски език",H54="немски език",H54="руски език",H54="бълг. език",H54="ІІ - ри чужд език", H54="ИТ/ДБТ"),"+","-")</f>
        <v>+</v>
      </c>
      <c r="J54" s="12" t="str">
        <f>VLOOKUP('Програма-кодове'!AD3,Списък!$A$1:$C$210,3,FALSE)</f>
        <v>физика</v>
      </c>
      <c r="K54" s="45" t="str">
        <f>IF(OR(J54="математика",J54="информатика",J54="английски език",J54="немски език",J54="руски език",J54="бълг. език",J54="ІІ - ри чужд език", J54="ИТ/ДБТ"),"+","-")</f>
        <v>-</v>
      </c>
      <c r="L54" s="46"/>
      <c r="M54" s="46"/>
      <c r="N54" s="21"/>
    </row>
    <row r="55" spans="1:43" ht="12" customHeight="1">
      <c r="A55" s="13">
        <v>3</v>
      </c>
      <c r="B55" s="12" t="str">
        <f>VLOOKUP('Програма-кодове'!Z4,Списък!$A$1:$C$210,3,FALSE)</f>
        <v>математика</v>
      </c>
      <c r="C55" s="45" t="str">
        <f>IF(OR(B55="математика",B55="информатика",B55="английски език",B55="немски език",B55="руски език",B55="бълг. език",B55="ІІ - ри чужд език", B55="ИТ/ДБТ"),"+","-")</f>
        <v>+</v>
      </c>
      <c r="D55" s="12" t="str">
        <f>VLOOKUP('Програма-кодове'!AA4,Списък!$A$1:$C$210,3,FALSE)</f>
        <v>математика</v>
      </c>
      <c r="E55" s="45" t="str">
        <f>IF(OR(D55="математика",D55="информатика",D55="английски език",D55="немски език",D55="руски език",D55="бълг. език",D55="ІІ - ри чужд език", D55="ИТ/ДБТ"),"+","-")</f>
        <v>+</v>
      </c>
      <c r="F55" s="12" t="str">
        <f>VLOOKUP('Програма-кодове'!AB4,Списък!$A$1:$C$210,3,FALSE)</f>
        <v>информатика</v>
      </c>
      <c r="G55" s="45" t="str">
        <f>IF(OR(F55="математика",F55="информатика",F55="английски език",F55="немски език",F55="руски език",F55="бълг. език",F55="ІІ - ри чужд език", F55="ИТ/ДБТ"),"+","-")</f>
        <v>+</v>
      </c>
      <c r="H55" s="12" t="str">
        <f>VLOOKUP('Програма-кодове'!AC4,Списък!$A$1:$C$210,3,FALSE)</f>
        <v>немски език</v>
      </c>
      <c r="I55" s="45" t="str">
        <f>IF(OR(H55="математика",H55="информатика",H55="английски език",H55="немски език",H55="руски език",H55="бълг. език",H55="ІІ - ри чужд език", H55="ИТ/ДБТ"),"+","-")</f>
        <v>+</v>
      </c>
      <c r="J55" s="12" t="str">
        <f>VLOOKUP('Програма-кодове'!AD4,Списък!$A$1:$C$210,3,FALSE)</f>
        <v>бълг. език</v>
      </c>
      <c r="K55" s="45" t="str">
        <f>IF(OR(J55="математика",J55="информатика",J55="английски език",J55="немски език",J55="руски език",J55="бълг. език",J55="ІІ - ри чужд език", J55="ИТ/ДБТ"),"+","-")</f>
        <v>+</v>
      </c>
      <c r="L55" s="46"/>
      <c r="M55" s="46"/>
      <c r="N55" s="21"/>
    </row>
    <row r="56" spans="1:43" ht="12" customHeight="1">
      <c r="A56" s="13">
        <v>4</v>
      </c>
      <c r="B56" s="12" t="str">
        <f>VLOOKUP('Програма-кодове'!Z5,Списък!$A$1:$C$210,3,FALSE)</f>
        <v>английски език</v>
      </c>
      <c r="C56" s="45" t="str">
        <f>IF(OR(B56="математика",B56="информатика",B56="английски език",B56="немски език",B56="руски език",B56="бълг. език",B56="ІІ - ри чужд език", B56="ИТ/ДБТ"),"+","-")</f>
        <v>+</v>
      </c>
      <c r="D56" s="12" t="str">
        <f>VLOOKUP('Програма-кодове'!AA5,Списък!$A$1:$C$210,3,FALSE)</f>
        <v>математика</v>
      </c>
      <c r="E56" s="45" t="str">
        <f>IF(OR(D56="математика",D56="информатика",D56="английски език",D56="немски език",D56="руски език",D56="бълг. език",D56="ІІ - ри чужд език", D56="ИТ/ДБТ"),"+","-")</f>
        <v>+</v>
      </c>
      <c r="F56" s="12" t="str">
        <f>VLOOKUP('Програма-кодове'!AB5,Списък!$A$1:$C$210,3,FALSE)</f>
        <v>физика</v>
      </c>
      <c r="G56" s="45" t="str">
        <f>IF(OR(F56="математика",F56="информатика",F56="английски език",F56="немски език",F56="руски език",F56="бълг. език",F56="ІІ - ри чужд език", F56="ИТ/ДБТ"),"+","-")</f>
        <v>-</v>
      </c>
      <c r="H56" s="12" t="str">
        <f>VLOOKUP('Програма-кодове'!AC5,Списък!$A$1:$C$210,3,FALSE)</f>
        <v>философия</v>
      </c>
      <c r="I56" s="45" t="str">
        <f>IF(OR(H56="математика",H56="информатика",H56="английски език",H56="немски език",H56="руски език",H56="бълг. език",H56="ІІ - ри чужд език", H56="ИТ/ДБТ"),"+","-")</f>
        <v>-</v>
      </c>
      <c r="J56" s="12" t="str">
        <f>VLOOKUP('Програма-кодове'!AD5,Списък!$A$1:$C$210,3,FALSE)</f>
        <v>бълг. език</v>
      </c>
      <c r="K56" s="45" t="str">
        <f>IF(OR(J56="математика",J56="информатика",J56="английски език",J56="немски език",J56="руски език",J56="бълг. език",J56="ІІ - ри чужд език", J56="ИТ/ДБТ"),"+","-")</f>
        <v>+</v>
      </c>
      <c r="L56" s="46"/>
      <c r="M56" s="46"/>
      <c r="N56" s="21"/>
    </row>
    <row r="57" spans="1:43" ht="12" customHeight="1">
      <c r="A57" s="13">
        <v>5</v>
      </c>
      <c r="B57" s="12" t="str">
        <f>VLOOKUP('Програма-кодове'!Z6,Списък!$A$1:$C$210,3,FALSE)</f>
        <v>английски език</v>
      </c>
      <c r="C57" s="45" t="str">
        <f>IF(OR(B57="математика",B57="информатика",B57="английски език",B57="немски език",B57="руски език",B57="бълг. език",B57="ІІ - ри чужд език",B57="ИТ",B57="ИТ/ДБТ",B57="история",B57="свят и личност",B57= "география",B57="химия",B57="биология",B57="физика",B57="философия"),"+","-")</f>
        <v>+</v>
      </c>
      <c r="D57" s="12" t="str">
        <f>VLOOKUP('Програма-кодове'!AA6,Списък!$A$1:$C$210,3,FALSE)</f>
        <v>информатика</v>
      </c>
      <c r="E57" s="45" t="str">
        <f>IF(OR(D57="математика",D57="информатика",D57="английски език",D57="немски език",D57="руски език",D57="бълг. език",D57="ІІ - ри чужд език",D57="ИТ",D57="ИТ/ДБТ",D57="история",D57="свят и личност",D57= "география",D57="химия",D57="биология",D57="физика",D57="философия"),"+","-")</f>
        <v>+</v>
      </c>
      <c r="F57" s="12" t="str">
        <f>VLOOKUP('Програма-кодове'!AB6,Списък!$A$1:$C$210,3,FALSE)</f>
        <v>физкултура</v>
      </c>
      <c r="G57" s="45" t="str">
        <f>IF(OR(F57="математика",F57="информатика",F57="английски език",F57="немски език",F57="руски език",F57="бълг. език",F57="ІІ - ри чужд език",F57="ИТ",F57="ИТ/ДБТ",F57="история",F57="свят и личност",F57= "география",F57="химия",F57="биология",F57="физика",F57="философия"),"+","-")</f>
        <v>-</v>
      </c>
      <c r="H57" s="12" t="str">
        <f>VLOOKUP('Програма-кодове'!AC6,Списък!$A$1:$C$210,3,FALSE)</f>
        <v>физика</v>
      </c>
      <c r="I57" s="45" t="str">
        <f>IF(OR(H57="математика",H57="информатика",H57="английски език",H57="немски език",H57="руски език",H57="бълг. език",H57="ІІ - ри чужд език",H57="ИТ",H57="ИТ/ДБТ",H57="история",H57="свят и личност",H57= "география",H57="химия",H57="биология",H57="физика",H57="философия"),"+","-")</f>
        <v>+</v>
      </c>
      <c r="J57" s="12" t="str">
        <f>VLOOKUP('Програма-кодове'!AD6,Списък!$A$1:$C$210,3,FALSE)</f>
        <v>философия</v>
      </c>
      <c r="K57" s="45" t="str">
        <f>IF(OR(J57="математика",J57="информатика",J57="английски език",J57="немски език",J57="руски език",J57="бълг. език",J57="ІІ - ри чужд език",J57="ИТ",J57="ИТ/ДБТ",J57="история",J57="свят и личност",J57= "география",J57="химия",J57="биология",J57="физика",J57="философия"),"+","-")</f>
        <v>+</v>
      </c>
      <c r="L57" s="46"/>
      <c r="M57" s="46"/>
      <c r="N57" s="21"/>
    </row>
    <row r="58" spans="1:43" ht="12" customHeight="1">
      <c r="A58" s="13">
        <v>6</v>
      </c>
      <c r="B58" s="12" t="str">
        <f>VLOOKUP('Програма-кодове'!Z7,Списък!$A$1:$C$210,3,FALSE)</f>
        <v>бълг. език</v>
      </c>
      <c r="C58" s="45" t="str">
        <f>IF(OR(B58="физкултура",B58="музика",B58="рисуване",B58="ИТ/ДБТ",B58="домашен бит и техника"),"+","-")</f>
        <v>-</v>
      </c>
      <c r="D58" s="12" t="str">
        <f>VLOOKUP('Програма-кодове'!AA7,Списък!$A$1:$C$210,3,FALSE)</f>
        <v>физика</v>
      </c>
      <c r="E58" s="45" t="str">
        <f>IF(OR(D58="физкултура",D58="музика",D58="рисуване",D58="ИТ/ДБТ",D58="домашен бит и техника"),"+","-")</f>
        <v>-</v>
      </c>
      <c r="F58" s="12" t="str">
        <f>VLOOKUP('Програма-кодове'!AB7,Списък!$A$1:$C$210,3,FALSE)</f>
        <v>свят и личност</v>
      </c>
      <c r="G58" s="45" t="str">
        <f>IF(OR(F58="физкултура",F58="музика",F58="рисуване",F58="ИТ/ДБТ",F58="домашен бит и техника"),"+","-")</f>
        <v>-</v>
      </c>
      <c r="H58" s="12" t="str">
        <f>VLOOKUP('Програма-кодове'!AC7,Списък!$A$1:$C$210,3,FALSE)</f>
        <v>физкултура</v>
      </c>
      <c r="I58" s="45" t="str">
        <f>IF(OR(H58="физкултура",H58="музика",H58="рисуване",H58="ИТ/ДБТ",H58="домашен бит и техника"),"+","-")</f>
        <v>+</v>
      </c>
      <c r="J58" s="12" t="str">
        <f>VLOOKUP('Програма-кодове'!AD7,Списък!$A$1:$C$210,3,FALSE)</f>
        <v>химия</v>
      </c>
      <c r="K58" s="45" t="str">
        <f>IF(OR(J58="физкултура",J58="музика",J58="рисуване",J58="ИТ/ДБТ",J58="домашен бит и техника"),"+","-")</f>
        <v>-</v>
      </c>
      <c r="L58" s="46"/>
      <c r="M58" s="46"/>
      <c r="N58" s="21"/>
    </row>
    <row r="59" spans="1:43" ht="12" customHeight="1">
      <c r="A59" s="13">
        <v>7</v>
      </c>
      <c r="B59" s="12" t="str">
        <f>VLOOKUP('Програма-кодове'!Z8,Списък!$A$1:$C$210,3,FALSE)</f>
        <v>бълг. език</v>
      </c>
      <c r="C59" s="45" t="str">
        <f>IF(OR(B59="история",B59="свят и личност",B59= "география",B59="химия",B59="биология",B59="физика",B59="философия"),"+","-")</f>
        <v>-</v>
      </c>
      <c r="D59" s="12" t="str">
        <f>VLOOKUP('Програма-кодове'!AA8,Списък!$A$1:$C$210,3,FALSE)</f>
        <v>физкултура</v>
      </c>
      <c r="E59" s="45" t="str">
        <f>IF(OR(D59="история",D59="свят и личност",D59= "география",D59="химия",D59="биология",D59="физика",D59="философия"),"+","-")</f>
        <v>-</v>
      </c>
      <c r="F59" s="12" t="str">
        <f>VLOOKUP('Програма-кодове'!AB8,Списък!$A$1:$C$210,3,FALSE)</f>
        <v>математика</v>
      </c>
      <c r="G59" s="45" t="str">
        <f>IF(OR(F59="история",F59="свят и личност",F59= "география",F59="химия",F59="биология",F59="физика",F59="философия"),"+","-")</f>
        <v>-</v>
      </c>
      <c r="H59" s="12" t="str">
        <f>VLOOKUP('Програма-кодове'!AC8,Списък!$A$1:$C$210,3,FALSE)</f>
        <v>география</v>
      </c>
      <c r="I59" s="45" t="str">
        <f>IF(OR(H59="история",H59="свят и личност",H59= "география",H59="химия",H59="биология",H59="физика",H59="философия"),"+","-")</f>
        <v>+</v>
      </c>
      <c r="J59" s="12" t="str">
        <f>VLOOKUP('Програма-кодове'!AD8,Списък!$A$1:$C$210,3,FALSE)</f>
        <v>химия</v>
      </c>
      <c r="K59" s="45" t="str">
        <f>IF(OR(J59="история",J59="свят и личност",J59= "география",J59="химия",J59="биология",J59="физика",J59="философия"),"+","-")</f>
        <v>+</v>
      </c>
      <c r="L59" s="46"/>
      <c r="M59" s="46"/>
      <c r="N59" s="21"/>
    </row>
    <row r="60" spans="1:43" ht="12" customHeight="1">
      <c r="C60" s="60">
        <f>COUNTIF(C53:C59,"+")/7</f>
        <v>0.7142857142857143</v>
      </c>
      <c r="E60" s="60">
        <f>COUNTIF(E53:E59,"+")/7</f>
        <v>0.5714285714285714</v>
      </c>
      <c r="G60" s="60">
        <f>COUNTIF(G53:G59,"+")/7</f>
        <v>0.2857142857142857</v>
      </c>
      <c r="I60" s="60">
        <f>COUNTIF(I53:I59,"+")/7</f>
        <v>0.7142857142857143</v>
      </c>
      <c r="K60" s="60">
        <f>COUNTIF(K53:K59,"+")/7</f>
        <v>0.7142857142857143</v>
      </c>
      <c r="L60" s="46" t="s">
        <v>95</v>
      </c>
      <c r="M60" s="47">
        <f>(C60+E60+G60+I60+K60)/5</f>
        <v>0.6</v>
      </c>
      <c r="N60" s="21"/>
    </row>
    <row r="61" spans="1:43" s="21" customFormat="1" ht="12" customHeight="1">
      <c r="A61" s="394" t="s">
        <v>96</v>
      </c>
      <c r="B61" s="394"/>
      <c r="C61" s="394"/>
      <c r="D61" s="394"/>
      <c r="E61" s="394"/>
      <c r="F61" s="394"/>
      <c r="G61" s="394"/>
      <c r="H61" s="394"/>
      <c r="I61" s="394"/>
      <c r="J61" s="394"/>
      <c r="K61" s="394"/>
      <c r="L61" s="394"/>
      <c r="M61" s="57" t="e">
        <f>AVERAGE(A10:K10,A20:K20,A30:K30,A40:K40,A50:K50,A60:K60)</f>
        <v>#REF!</v>
      </c>
    </row>
    <row r="62" spans="1:43" ht="24.75" customHeight="1" thickBot="1">
      <c r="A62" s="393" t="s">
        <v>25</v>
      </c>
      <c r="B62" s="393"/>
      <c r="C62" s="393"/>
      <c r="D62" s="393"/>
      <c r="E62" s="393"/>
      <c r="F62" s="393"/>
      <c r="G62" s="393"/>
      <c r="H62" s="393"/>
      <c r="I62" s="393"/>
      <c r="J62" s="393"/>
      <c r="K62" s="393"/>
      <c r="L62" s="393"/>
      <c r="M62" s="393"/>
      <c r="N62" s="21"/>
    </row>
    <row r="63" spans="1:43" s="13" customFormat="1" ht="12" customHeight="1" thickTop="1">
      <c r="B63" s="13">
        <v>5</v>
      </c>
      <c r="D63" s="13">
        <v>6</v>
      </c>
      <c r="F63" s="13">
        <v>7</v>
      </c>
      <c r="L63" s="54"/>
      <c r="M63" s="54"/>
      <c r="P63" s="21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</row>
    <row r="64" spans="1:43" ht="12" customHeight="1">
      <c r="A64" s="13">
        <v>1</v>
      </c>
      <c r="B64" s="12" t="str">
        <f>VLOOKUP('Програма-кодове'!C9,Списък!$A$1:$C$210,3,FALSE)</f>
        <v>английски език</v>
      </c>
      <c r="C64" s="87" t="str">
        <f>IF(OR(B64="история",B64="свят и личност",B64= "география",B64="химия",B64="биология",B64="физика",B64="философия"),"+","-")</f>
        <v>-</v>
      </c>
      <c r="D64" s="12" t="str">
        <f>VLOOKUP('Програма-кодове'!D9,Списък!$A$1:$C$210,3,FALSE)</f>
        <v>английски език</v>
      </c>
      <c r="E64" s="87" t="str">
        <f>IF(OR(D64="история",D64="свят и личност",D64= "география",D64="химия",D64="биология",D64="физика",D64="философия"),"+","-")</f>
        <v>-</v>
      </c>
      <c r="F64" s="12" t="str">
        <f>VLOOKUP('Програма-кодове'!E9,Списък!$A$1:$C$210,3,FALSE)</f>
        <v>география</v>
      </c>
      <c r="G64" s="87" t="str">
        <f>IF(OR(F64="история",F64="свят и личност",F64= "география",F64="химия",F64="биология",F64="физика",F64="философия"),"+","-")</f>
        <v>+</v>
      </c>
      <c r="L64" s="46"/>
      <c r="M64" s="46"/>
      <c r="P64" s="21"/>
    </row>
    <row r="65" spans="1:16" ht="12" customHeight="1">
      <c r="A65" s="13">
        <v>2</v>
      </c>
      <c r="B65" s="12" t="str">
        <f>VLOOKUP('Програма-кодове'!C10,Списък!$A$1:$C$210,3,FALSE)</f>
        <v>бълг. език</v>
      </c>
      <c r="C65" s="87" t="str">
        <f>IF(OR(B65="математика",B65="информатика",B65="английски език",B65="немски език",B65="руски език",B65="бълг. език",B65="ІІ - ри чужд език", B65="ИТ/ДБТ"),"+","-")</f>
        <v>+</v>
      </c>
      <c r="D65" s="12" t="str">
        <f>VLOOKUP('Програма-кодове'!D10,Списък!$A$1:$C$210,3,FALSE)</f>
        <v>физкултура</v>
      </c>
      <c r="E65" s="87" t="str">
        <f>IF(OR(D65="математика",D65="информатика",D65="английски език",D65="немски език",D65="руски език",D65="бълг. език",D65="ІІ - ри чужд език", D65="ИТ/ДБТ"),"+","-")</f>
        <v>-</v>
      </c>
      <c r="F65" s="12" t="str">
        <f>VLOOKUP('Програма-кодове'!E10,Списък!$A$1:$C$210,3,FALSE)</f>
        <v>математика</v>
      </c>
      <c r="G65" s="87" t="str">
        <f>IF(OR(F65="математика",F65="информатика",F65="английски език",F65="немски език",F65="руски език",F65="бълг. език",F65="ІІ - ри чужд език", F65="ИТ/ДБТ"),"+","-")</f>
        <v>+</v>
      </c>
      <c r="L65" s="46"/>
      <c r="M65" s="46"/>
      <c r="P65" s="21"/>
    </row>
    <row r="66" spans="1:16" ht="12" customHeight="1">
      <c r="A66" s="13">
        <v>3</v>
      </c>
      <c r="B66" s="12" t="str">
        <f>VLOOKUP('Програма-кодове'!C11,Списък!$A$1:$C$210,3,FALSE)</f>
        <v>математика</v>
      </c>
      <c r="C66" s="87" t="str">
        <f>IF(OR(B66="математика",B66="информатика",B66="английски език",B66="немски език",B66="руски език",B66="бълг. език",B66="ІІ - ри чужд език", B66="ИТ/ДБТ"),"+","-")</f>
        <v>+</v>
      </c>
      <c r="D66" s="12" t="str">
        <f>VLOOKUP('Програма-кодове'!D11,Списък!$A$1:$C$210,3,FALSE)</f>
        <v>математика</v>
      </c>
      <c r="E66" s="87" t="str">
        <f>IF(OR(D66="математика",D66="информатика",D66="английски език",D66="немски език",D66="руски език",D66="бълг. език",D66="ІІ - ри чужд език", D66="ИТ/ДБТ"),"+","-")</f>
        <v>+</v>
      </c>
      <c r="F66" s="12" t="str">
        <f>VLOOKUP('Програма-кодове'!E11,Списък!$A$1:$C$210,3,FALSE)</f>
        <v>математика</v>
      </c>
      <c r="G66" s="87" t="str">
        <f>IF(OR(F66="математика",F66="информатика",F66="английски език",F66="немски език",F66="руски език",F66="бълг. език",F66="ІІ - ри чужд език", F66="ИТ/ДБТ"),"+","-")</f>
        <v>+</v>
      </c>
      <c r="L66" s="46"/>
      <c r="M66" s="46"/>
      <c r="P66" s="21"/>
    </row>
    <row r="67" spans="1:16" ht="12" customHeight="1">
      <c r="A67" s="13">
        <v>4</v>
      </c>
      <c r="B67" s="12" t="str">
        <f>VLOOKUP('Програма-кодове'!C12,Списък!$A$1:$C$210,3,FALSE)</f>
        <v>музика</v>
      </c>
      <c r="C67" s="87" t="str">
        <f>IF(OR(B67="математика",B67="информатика",B67="английски език",B67="немски език",B67="руски език",B67="бълг. език",B67="ІІ - ри чужд език", B67="ИТ/ДБТ"),"+","-")</f>
        <v>-</v>
      </c>
      <c r="D67" s="12" t="str">
        <f>VLOOKUP('Програма-кодове'!D12,Списък!$A$1:$C$210,3,FALSE)</f>
        <v>физика</v>
      </c>
      <c r="E67" s="87" t="str">
        <f>IF(OR(D67="математика",D67="информатика",D67="английски език",D67="немски език",D67="руски език",D67="бълг. език",D67="ІІ - ри чужд език", D67="ИТ/ДБТ"),"+","-")</f>
        <v>-</v>
      </c>
      <c r="F67" s="12" t="str">
        <f>VLOOKUP('Програма-кодове'!E12,Списък!$A$1:$C$210,3,FALSE)</f>
        <v>история</v>
      </c>
      <c r="G67" s="87" t="str">
        <f>IF(OR(F67="математика",F67="информатика",F67="английски език",F67="немски език",F67="руски език",F67="бълг. език",F67="ІІ - ри чужд език", F67="ИТ/ДБТ"),"+","-")</f>
        <v>-</v>
      </c>
      <c r="L67" s="46"/>
      <c r="M67" s="46"/>
      <c r="P67" s="21"/>
    </row>
    <row r="68" spans="1:16" ht="12" customHeight="1">
      <c r="A68" s="13">
        <v>5</v>
      </c>
      <c r="B68" s="12" t="str">
        <f>VLOOKUP('Програма-кодове'!C13,Списък!$A$1:$C$210,3,FALSE)</f>
        <v>география</v>
      </c>
      <c r="C68" s="87" t="str">
        <f>IF(OR(B68="физкултура",B68="музика",B68="рисуване",B68="ИТ/ДБТ",B68="домашен бит и техника"),"+","-")</f>
        <v>-</v>
      </c>
      <c r="D68" s="12" t="str">
        <f>VLOOKUP('Програма-кодове'!D13,Списък!$A$1:$C$210,3,FALSE)</f>
        <v>музика</v>
      </c>
      <c r="E68" s="87" t="str">
        <f>IF(OR(D68="физкултура",D68="музика",D68="рисуване",D68="ИТ/ДБТ",D68="домашен бит и техника"),"+","-")</f>
        <v>+</v>
      </c>
      <c r="F68" s="12" t="str">
        <f>VLOOKUP('Програма-кодове'!E13,Списък!$A$1:$C$210,3,FALSE)</f>
        <v>бълг. език</v>
      </c>
      <c r="G68" s="87" t="str">
        <f>IF(OR(F68="физкултура",F68="музика",F68="рисуване",F68="ИТ/ДБТ",F68="домашен бит и техника"),"+","-")</f>
        <v>-</v>
      </c>
      <c r="L68" s="46"/>
      <c r="M68" s="46"/>
      <c r="P68" s="21"/>
    </row>
    <row r="69" spans="1:16" ht="12" customHeight="1">
      <c r="A69" s="13">
        <v>6</v>
      </c>
      <c r="B69" s="12" t="str">
        <f>VLOOKUP('Програма-кодове'!C14,Списък!$A$1:$C$210,3,FALSE)</f>
        <v>рисуване</v>
      </c>
      <c r="C69" s="87" t="str">
        <f>IF(OR(B69="история",B69="свят и личност",B69= "география",B69="химия",B69="биология",B69="физика",B69="философия"),"+","-")</f>
        <v>-</v>
      </c>
      <c r="D69" s="12" t="str">
        <f>VLOOKUP('Програма-кодове'!D14,Списък!$A$1:$C$210,3,FALSE)</f>
        <v>бълг. език</v>
      </c>
      <c r="E69" s="87" t="str">
        <f>IF(OR(D69="история",D69="свят и личност",D69= "география",D69="химия",D69="биология",D69="физика",D69="философия"),"+","-")</f>
        <v>-</v>
      </c>
      <c r="F69" s="12" t="str">
        <f>VLOOKUP('Програма-кодове'!E14,Списък!$A$1:$C$210,3,FALSE)</f>
        <v>музика</v>
      </c>
      <c r="G69" s="87" t="str">
        <f>IF(OR(F69="история",F69="свят и личност",F69= "география",F69="химия",F69="биология",F69="физика",F69="философия"),"+","-")</f>
        <v>-</v>
      </c>
      <c r="L69" s="46"/>
      <c r="M69" s="46"/>
      <c r="P69" s="21"/>
    </row>
    <row r="70" spans="1:16" ht="12" customHeight="1">
      <c r="A70" s="43">
        <v>7</v>
      </c>
      <c r="B70" s="12">
        <f>VLOOKUP('Програма-кодове'!C15,Списък!$A$1:$C$210,3,FALSE)</f>
        <v>0</v>
      </c>
      <c r="C70" s="87"/>
      <c r="D70" s="21">
        <f>VLOOKUP('Програма-кодове'!D15,Списък!$A$1:$C$210,3,FALSE)</f>
        <v>0</v>
      </c>
      <c r="E70" s="87"/>
      <c r="F70" s="21">
        <f>VLOOKUP('Програма-кодове'!E15,Списък!$A$1:$C$210,3,FALSE)</f>
        <v>0</v>
      </c>
      <c r="G70" s="87"/>
      <c r="L70" s="46"/>
      <c r="M70" s="46"/>
      <c r="P70" s="21"/>
    </row>
    <row r="71" spans="1:16" ht="12" customHeight="1">
      <c r="B71" s="45"/>
      <c r="C71" s="88">
        <f>COUNTIF(C64:C69,"+")/6</f>
        <v>0.33333333333333331</v>
      </c>
      <c r="D71" s="12" t="e">
        <f>VLOOKUP('Програма-кодове'!#REF!,Списък!$A$1:$C$210,3,FALSE)</f>
        <v>#REF!</v>
      </c>
      <c r="E71" s="88">
        <f>COUNTIF(E64:E69,"+")/6</f>
        <v>0.33333333333333331</v>
      </c>
      <c r="F71" s="12" t="e">
        <f>VLOOKUP('Програма-кодове'!#REF!,Списък!$A$1:$C$210,3,FALSE)</f>
        <v>#REF!</v>
      </c>
      <c r="G71" s="88">
        <f>COUNTIF(G64:G69,"+")/6</f>
        <v>0.5</v>
      </c>
      <c r="L71" s="46" t="s">
        <v>95</v>
      </c>
      <c r="M71" s="47">
        <f>(C71+E71+G71)/3</f>
        <v>0.38888888888888884</v>
      </c>
      <c r="P71" s="21"/>
    </row>
    <row r="72" spans="1:16" ht="1.5" customHeight="1">
      <c r="A72" s="14"/>
      <c r="B72" s="15"/>
      <c r="C72" s="15"/>
      <c r="D72" s="15"/>
      <c r="E72" s="15"/>
      <c r="F72" s="15"/>
      <c r="G72" s="15"/>
      <c r="H72" s="15"/>
      <c r="I72" s="15"/>
      <c r="J72" s="15"/>
      <c r="L72" s="46"/>
      <c r="M72" s="46"/>
      <c r="N72" s="21"/>
    </row>
    <row r="73" spans="1:16" s="21" customFormat="1" ht="12" customHeight="1">
      <c r="A73" s="43"/>
      <c r="B73" s="13" t="s">
        <v>113</v>
      </c>
      <c r="C73" s="13"/>
      <c r="D73" s="13" t="s">
        <v>1</v>
      </c>
      <c r="E73" s="13"/>
      <c r="F73" s="13" t="s">
        <v>2</v>
      </c>
      <c r="G73" s="13"/>
      <c r="H73" s="13" t="s">
        <v>3</v>
      </c>
      <c r="I73" s="13"/>
      <c r="J73" s="13" t="s">
        <v>4</v>
      </c>
      <c r="K73" s="12"/>
      <c r="L73" s="46"/>
      <c r="M73" s="46"/>
    </row>
    <row r="74" spans="1:16" s="21" customFormat="1" ht="12" customHeight="1">
      <c r="A74" s="43"/>
      <c r="B74" s="12" t="str">
        <f>VLOOKUP('Програма-кодове'!F9,Списък!$A$1:$C$210,3,FALSE)</f>
        <v>английски език</v>
      </c>
      <c r="C74" s="45" t="str">
        <f>IF(OR(B74="история",B74="свят и личност",B74= "география",B74="химия",B74="биология",B74="физика",B74="философия"),"+","-")</f>
        <v>-</v>
      </c>
      <c r="D74" s="12" t="str">
        <f>VLOOKUP('Програма-кодове'!G9,Списък!$A$1:$C$210,3,FALSE)</f>
        <v>бълг. език</v>
      </c>
      <c r="E74" s="45" t="str">
        <f>IF(OR(D74="история",D74="свят и личност",D74= "география",D74="химия",D74="биология",D74="физика",D74="философия"),"+","-")</f>
        <v>-</v>
      </c>
      <c r="F74" s="12" t="str">
        <f>VLOOKUP('Програма-кодове'!H9,Списък!$A$1:$C$210,3,FALSE)</f>
        <v>информатика</v>
      </c>
      <c r="G74" s="45" t="str">
        <f>IF(OR(F74="история",F74="свят и личност",F74= "география",F74="химия",F74="биология",F74="физика",F74="философия"),"+","-")</f>
        <v>-</v>
      </c>
      <c r="H74" s="12" t="str">
        <f>VLOOKUP('Програма-кодове'!I9,Списък!$A$1:$C$210,3,FALSE)</f>
        <v>английски език</v>
      </c>
      <c r="I74" s="87" t="str">
        <f>IF(OR(H74="история",H74="свят и личност",H74= "география",H74="химия",H74="биология",H74="физика",H74="философия"),"+","-")</f>
        <v>-</v>
      </c>
      <c r="J74" s="12" t="str">
        <f>VLOOKUP('Програма-кодове'!J9,Списък!$A$1:$C$210,3,FALSE)</f>
        <v>физкултура</v>
      </c>
      <c r="K74" s="87" t="str">
        <f>IF(OR(J74="история",J74="свят и личност",J74= "география",J74="химия",J74="биология",J74="физика",J74="философия"),"+","-")</f>
        <v>-</v>
      </c>
      <c r="L74" s="46"/>
      <c r="M74" s="46"/>
    </row>
    <row r="75" spans="1:16" s="21" customFormat="1" ht="12" customHeight="1">
      <c r="A75" s="43"/>
      <c r="B75" s="12" t="str">
        <f>VLOOKUP('Програма-кодове'!F10,Списък!$A$1:$C$210,3,FALSE)</f>
        <v>информатика</v>
      </c>
      <c r="C75" s="45" t="str">
        <f>IF(OR(B75="математика",B75="информатика",B75="английски език",B75="немски език",B75="руски език",B75="бълг. език",B75="ІІ - ри чужд език", B75="ИТ/ДБТ"),"+","-")</f>
        <v>+</v>
      </c>
      <c r="D75" s="12" t="str">
        <f>VLOOKUP('Програма-кодове'!G10,Списък!$A$1:$C$210,3,FALSE)</f>
        <v>философия</v>
      </c>
      <c r="E75" s="45" t="str">
        <f>IF(OR(D75="математика",D75="информатика",D75="английски език",D75="немски език",D75="руски език",D75="бълг. език",D75="ІІ - ри чужд език", D75="ИТ/ДБТ"),"+","-")</f>
        <v>-</v>
      </c>
      <c r="F75" s="12" t="str">
        <f>VLOOKUP('Програма-кодове'!H10,Списък!$A$1:$C$210,3,FALSE)</f>
        <v>английски език</v>
      </c>
      <c r="G75" s="45" t="str">
        <f>IF(OR(F75="математика",F75="информатика",F75="английски език",F75="немски език",F75="руски език",F75="бълг. език",F75="ІІ - ри чужд език", F75="ИТ/ДБТ"),"+","-")</f>
        <v>+</v>
      </c>
      <c r="H75" s="12" t="str">
        <f>VLOOKUP('Програма-кодове'!I10,Списък!$A$1:$C$210,3,FALSE)</f>
        <v>математика</v>
      </c>
      <c r="I75" s="87" t="str">
        <f>IF(OR(H75="математика",H75="информатика",H75="английски език",H75="немски език",H75="руски език",H75="бълг. език",H75="ІІ - ри чужд език", H75="ИТ/ДБТ"),"+","-")</f>
        <v>+</v>
      </c>
      <c r="J75" s="12" t="str">
        <f>VLOOKUP('Програма-кодове'!J10,Списък!$A$1:$C$210,3,FALSE)</f>
        <v>английски език</v>
      </c>
      <c r="K75" s="87" t="str">
        <f>IF(OR(J75="математика",J75="информатика",J75="английски език",J75="немски език",J75="руски език",J75="бълг. език",J75="ІІ - ри чужд език", J75="ИТ/ДБТ"),"+","-")</f>
        <v>+</v>
      </c>
      <c r="L75" s="46"/>
      <c r="M75" s="46"/>
    </row>
    <row r="76" spans="1:16" s="21" customFormat="1" ht="12" customHeight="1">
      <c r="A76" s="43"/>
      <c r="B76" s="12" t="str">
        <f>VLOOKUP('Програма-кодове'!F11,Списък!$A$1:$C$210,3,FALSE)</f>
        <v>английски език</v>
      </c>
      <c r="C76" s="45" t="str">
        <f t="shared" ref="C76:E77" si="0">IF(OR(B76="математика",B76="информатика",B76="английски език",B76="немски език",B76="руски език",B76="бълг. език",B76="ІІ - ри чужд език", B76="ИТ/ДБТ"),"+","-")</f>
        <v>+</v>
      </c>
      <c r="D76" s="12" t="str">
        <f>VLOOKUP('Програма-кодове'!G11,Списък!$A$1:$C$210,3,FALSE)</f>
        <v>информатика</v>
      </c>
      <c r="E76" s="45" t="str">
        <f t="shared" si="0"/>
        <v>+</v>
      </c>
      <c r="F76" s="12" t="str">
        <f>VLOOKUP('Програма-кодове'!H11,Списък!$A$1:$C$210,3,FALSE)</f>
        <v>английски език</v>
      </c>
      <c r="G76" s="45" t="str">
        <f>IF(OR(F76="математика",F76="информатика",F76="английски език",F76="немски език",F76="руски език",F76="бълг. език",F76="ІІ - ри чужд език", F76="ИТ/ДБТ"),"+","-")</f>
        <v>+</v>
      </c>
      <c r="H76" s="12" t="str">
        <f>VLOOKUP('Програма-кодове'!I11,Списък!$A$1:$C$210,3,FALSE)</f>
        <v>английски език</v>
      </c>
      <c r="I76" s="87" t="str">
        <f>IF(OR(H76="математика",H76="информатика",H76="английски език",H76="немски език",H76="руски език",H76="бълг. език",H76="ІІ - ри чужд език", H76="ИТ/ДБТ"),"+","-")</f>
        <v>+</v>
      </c>
      <c r="J76" s="12" t="str">
        <f>VLOOKUP('Програма-кодове'!J11,Списък!$A$1:$C$210,3,FALSE)</f>
        <v>английски език</v>
      </c>
      <c r="K76" s="87" t="str">
        <f>IF(OR(J76="математика",J76="информатика",J76="английски език",J76="немски език",J76="руски език",J76="бълг. език",J76="ІІ - ри чужд език", J76="ИТ/ДБТ"),"+","-")</f>
        <v>+</v>
      </c>
      <c r="L76" s="46"/>
      <c r="M76" s="46"/>
    </row>
    <row r="77" spans="1:16" s="21" customFormat="1" ht="12" customHeight="1">
      <c r="A77" s="43"/>
      <c r="B77" s="12" t="str">
        <f>VLOOKUP('Програма-кодове'!F12,Списък!$A$1:$C$210,3,FALSE)</f>
        <v>английски език</v>
      </c>
      <c r="C77" s="45" t="str">
        <f t="shared" si="0"/>
        <v>+</v>
      </c>
      <c r="D77" s="12" t="str">
        <f>VLOOKUP('Програма-кодове'!G12,Списък!$A$1:$C$210,3,FALSE)</f>
        <v>английски език</v>
      </c>
      <c r="E77" s="45" t="str">
        <f t="shared" si="0"/>
        <v>+</v>
      </c>
      <c r="F77" s="12" t="str">
        <f>VLOOKUP('Програма-кодове'!H12,Списък!$A$1:$C$210,3,FALSE)</f>
        <v>бълг. език</v>
      </c>
      <c r="G77" s="45" t="str">
        <f>IF(OR(F77="математика",F77="информатика",F77="английски език",F77="немски език",F77="руски език",F77="бълг. език",F77="ІІ - ри чужд език", F77="ИТ/ДБТ"),"+","-")</f>
        <v>+</v>
      </c>
      <c r="H77" s="12" t="str">
        <f>VLOOKUP('Програма-кодове'!I12,Списък!$A$1:$C$210,3,FALSE)</f>
        <v>английски език</v>
      </c>
      <c r="I77" s="87" t="str">
        <f>IF(OR(H77="математика",H77="информатика",H77="английски език",H77="немски език",H77="руски език",H77="бълг. език",H77="ІІ - ри чужд език", H77="ИТ/ДБТ"),"+","-")</f>
        <v>+</v>
      </c>
      <c r="J77" s="12" t="str">
        <f>VLOOKUP('Програма-кодове'!J12,Списък!$A$1:$C$210,3,FALSE)</f>
        <v>английски език</v>
      </c>
      <c r="K77" s="87" t="str">
        <f>IF(OR(J77="математика",J77="информатика",J77="английски език",J77="немски език",J77="руски език",J77="бълг. език",J77="ІІ - ри чужд език", J77="ИТ/ДБТ"),"+","-")</f>
        <v>+</v>
      </c>
      <c r="L77" s="46"/>
      <c r="M77" s="46"/>
    </row>
    <row r="78" spans="1:16" s="21" customFormat="1" ht="12" customHeight="1">
      <c r="A78" s="43"/>
      <c r="B78" s="12" t="str">
        <f>VLOOKUP('Програма-кодове'!F13,Списък!$A$1:$C$210,3,FALSE)</f>
        <v>английски език</v>
      </c>
      <c r="C78" s="45" t="str">
        <f>IF(OR(B78="математика",B78="информатика",B78="английски език",B78="немски език",B78="руски език",B78="бълг. език",B78="ІІ - ри чужд език",B78="ИТ",B78="ИТ/ДБТ",B78="история",B78="свят и личност",B78= "география",B78="химия",B78="биология",B78="физика",B78="философия"),"+","-")</f>
        <v>+</v>
      </c>
      <c r="D78" s="12" t="str">
        <f>VLOOKUP('Програма-кодове'!G13,Списък!$A$1:$C$210,3,FALSE)</f>
        <v>английски език</v>
      </c>
      <c r="E78" s="45" t="str">
        <f>IF(OR(D78="математика",D78="информатика",D78="английски език",D78="немски език",D78="руски език",D78="бълг. език",D78="ІІ - ри чужд език",D78="ИТ",D78="ИТ/ДБТ",D78="история",D78="свят и личност",D78= "география",D78="химия",D78="биология",D78="физика",D78="философия"),"+","-")</f>
        <v>+</v>
      </c>
      <c r="F78" s="12" t="str">
        <f>VLOOKUP('Програма-кодове'!H13,Списък!$A$1:$C$210,3,FALSE)</f>
        <v>английски език</v>
      </c>
      <c r="G78" s="45" t="str">
        <f>IF(OR(F78="математика",F78="информатика",F78="английски език",F78="немски език",F78="руски език",F78="бълг. език",F78="ІІ - ри чужд език",F78="ИТ",F78="ИТ/ДБТ",F78="история",F78="свят и личност",F78= "география",F78="химия",F78="биология",F78="физика",F78="философия"),"+","-")</f>
        <v>+</v>
      </c>
      <c r="H78" s="12" t="str">
        <f>VLOOKUP('Програма-кодове'!I13,Списък!$A$1:$C$210,3,FALSE)</f>
        <v>физкултура</v>
      </c>
      <c r="I78" s="87" t="str">
        <f>IF(OR(H78="физкултура",H78="музика",H78="рисуване",H78="ИТ/ДБТ",H78="домашен бит и техника"),"+","-")</f>
        <v>+</v>
      </c>
      <c r="J78" s="12" t="str">
        <f>VLOOKUP('Програма-кодове'!J13,Списък!$A$1:$C$210,3,FALSE)</f>
        <v>информатика</v>
      </c>
      <c r="K78" s="87" t="str">
        <f>IF(OR(J78="физкултура",J78="музика",J78="рисуване",J78="ИТ/ДБТ",J78="домашен бит и техника"),"+","-")</f>
        <v>-</v>
      </c>
      <c r="L78" s="46"/>
      <c r="M78" s="46"/>
    </row>
    <row r="79" spans="1:16" s="21" customFormat="1" ht="12" customHeight="1">
      <c r="A79" s="43"/>
      <c r="B79" s="12" t="str">
        <f>VLOOKUP('Програма-кодове'!F14,Списък!$A$1:$C$210,3,FALSE)</f>
        <v>философия</v>
      </c>
      <c r="C79" s="45" t="str">
        <f>IF(OR(B79="физкултура",B79="музика",B79="рисуване",B79="ИТ/ДБТ",B79="домашен бит и техника"),"+","-")</f>
        <v>-</v>
      </c>
      <c r="D79" s="12" t="str">
        <f>VLOOKUP('Програма-кодове'!G14,Списък!$A$1:$C$210,3,FALSE)</f>
        <v>английски език</v>
      </c>
      <c r="E79" s="45" t="str">
        <f>IF(OR(D79="физкултура",D79="музика",D79="рисуване",D79="ИТ/ДБТ",D79="домашен бит и техника"),"+","-")</f>
        <v>-</v>
      </c>
      <c r="F79" s="12" t="str">
        <f>VLOOKUP('Програма-кодове'!H14,Списък!$A$1:$C$210,3,FALSE)</f>
        <v>английски език</v>
      </c>
      <c r="G79" s="45" t="str">
        <f>IF(OR(F79="физкултура",F79="музика",F79="рисуване",F79="ИТ/ДБТ",F79="домашен бит и техника"),"+","-")</f>
        <v>-</v>
      </c>
      <c r="H79" s="12" t="str">
        <f>VLOOKUP('Програма-кодове'!I14,Списък!$A$1:$C$210,3,FALSE)</f>
        <v>информатика</v>
      </c>
      <c r="I79" s="87" t="str">
        <f>IF(OR(H79="история",H79="свят и личност",H79= "география",H79="химия",H79="биология",H79="физика",H79="философия"),"+","-")</f>
        <v>-</v>
      </c>
      <c r="J79" s="12" t="str">
        <f>VLOOKUP('Програма-кодове'!J14,Списък!$A$1:$C$210,3,FALSE)</f>
        <v>бълг. език</v>
      </c>
      <c r="K79" s="87" t="str">
        <f>IF(OR(J79="история",J79="свят и личност",J79= "география",J79="химия",J79="биология",J79="физика",J79="философия"),"+","-")</f>
        <v>-</v>
      </c>
      <c r="L79" s="46"/>
      <c r="M79" s="46"/>
    </row>
    <row r="80" spans="1:16" s="21" customFormat="1" ht="12" customHeight="1">
      <c r="A80" s="43"/>
      <c r="B80" s="97" t="e">
        <f>VLOOKUP('Програма-кодове'!#REF!,Списък!$A$1:$C$210,3,FALSE)</f>
        <v>#REF!</v>
      </c>
      <c r="C80" s="98" t="e">
        <f>IF(OR(B80="история",B80="свят и личност",B80= "география",B80="химия",B80="биология",B80="физика",B80="философия"),"+","-")</f>
        <v>#REF!</v>
      </c>
      <c r="D80" s="97" t="str">
        <f>VLOOKUP('Програма-кодове'!G15,Списък!$A$1:$C$210,3,FALSE)</f>
        <v>английски език</v>
      </c>
      <c r="E80" s="98" t="str">
        <f>IF(OR(D80="история",D80="свят и личност",D80= "география",D80="химия",D80="биология",D80="физика",D80="философия"),"+","-")</f>
        <v>-</v>
      </c>
      <c r="F80" s="97" t="str">
        <f>VLOOKUP('Програма-кодове'!H15,Списък!$A$1:$C$210,3,FALSE)</f>
        <v>физкултура</v>
      </c>
      <c r="G80" s="45" t="str">
        <f>IF(OR(F80="история",F80="свят и личност",F80= "география",F80="химия",F80="биология",F80="физика",F80="философия"),"+","-")</f>
        <v>-</v>
      </c>
      <c r="H80" s="12" t="str">
        <f>VLOOKUP('Програма-кодове'!I15,Списък!$A$1:$C$210,3,FALSE)</f>
        <v>бълг. език</v>
      </c>
      <c r="I80" s="87"/>
      <c r="J80" s="12" t="str">
        <f>VLOOKUP('Програма-кодове'!J15,Списък!$A$1:$C$210,3,FALSE)</f>
        <v>бълг. език</v>
      </c>
      <c r="K80" s="87"/>
      <c r="L80" s="46"/>
      <c r="M80" s="46"/>
    </row>
    <row r="81" spans="1:41" s="21" customFormat="1" ht="12" customHeight="1">
      <c r="A81" s="43"/>
      <c r="B81" s="45"/>
      <c r="C81" s="60">
        <f>COUNTIF(C74:C80,"+")/7</f>
        <v>0.5714285714285714</v>
      </c>
      <c r="D81" s="45"/>
      <c r="E81" s="60">
        <f>COUNTIF(E74:E80,"+")/7</f>
        <v>0.42857142857142855</v>
      </c>
      <c r="F81" s="12"/>
      <c r="G81" s="60">
        <f>COUNTIF(G74:G80,"+")/7</f>
        <v>0.5714285714285714</v>
      </c>
      <c r="H81" s="12"/>
      <c r="I81" s="88">
        <f>COUNTIF(I74:I79,"+")/6</f>
        <v>0.66666666666666663</v>
      </c>
      <c r="J81" s="12"/>
      <c r="K81" s="88">
        <f>COUNTIF(K74:K79,"+")/6</f>
        <v>0.5</v>
      </c>
      <c r="L81" s="46" t="s">
        <v>95</v>
      </c>
      <c r="M81" s="47">
        <f>(C81+E81+G81+I81+K81)/5</f>
        <v>0.54761904761904767</v>
      </c>
    </row>
    <row r="82" spans="1:41" s="21" customFormat="1" ht="2.25" customHeight="1">
      <c r="A82" s="14"/>
      <c r="B82" s="73"/>
      <c r="C82" s="74"/>
      <c r="D82" s="73"/>
      <c r="E82" s="74"/>
      <c r="F82" s="15"/>
      <c r="G82" s="74"/>
      <c r="H82" s="15"/>
      <c r="I82" s="74"/>
      <c r="J82" s="15"/>
      <c r="K82" s="74"/>
      <c r="L82" s="46"/>
      <c r="M82" s="47"/>
    </row>
    <row r="83" spans="1:41" s="13" customFormat="1" ht="12" customHeight="1">
      <c r="B83" s="13" t="s">
        <v>5</v>
      </c>
      <c r="D83" s="13" t="s">
        <v>6</v>
      </c>
      <c r="F83" s="13" t="s">
        <v>7</v>
      </c>
      <c r="H83" s="13" t="s">
        <v>8</v>
      </c>
      <c r="J83" s="13" t="s">
        <v>9</v>
      </c>
      <c r="K83" s="12"/>
      <c r="L83" s="46"/>
      <c r="M83" s="46"/>
      <c r="N83" s="21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2" customHeight="1">
      <c r="A84" s="13">
        <v>1</v>
      </c>
      <c r="B84" s="12" t="str">
        <f>VLOOKUP('Програма-кодове'!K9,Списък!$A$1:$C$210,3,FALSE)</f>
        <v>математика</v>
      </c>
      <c r="C84" s="45" t="str">
        <f>IF(OR(B84="история",B84="свят и личност",B84= "география",B84="химия",B84="биология",B84="физика",B84="философия"),"+","-")</f>
        <v>-</v>
      </c>
      <c r="D84" s="21" t="str">
        <f>VLOOKUP('Програма-кодове'!L9,Списък!$A$1:$C$210,3,FALSE)</f>
        <v>история</v>
      </c>
      <c r="E84" s="45" t="str">
        <f>IF(OR(D84="история",D84="свят и личност",D84= "география",D84="химия",D84="биология",D84="физика",D84="философия"),"+","-")</f>
        <v>+</v>
      </c>
      <c r="F84" s="12" t="str">
        <f>VLOOKUP('Програма-кодове'!M9,Списък!$A$1:$C$210,3,FALSE)</f>
        <v>биология</v>
      </c>
      <c r="G84" s="45" t="str">
        <f>IF(OR(F84="история",F84="свят и личност",F84= "география",F84="химия",F84="биология",F84="физика",F84="философия"),"+","-")</f>
        <v>+</v>
      </c>
      <c r="H84" s="12" t="str">
        <f>VLOOKUP('Програма-кодове'!N9,Списък!$A$1:$C$210,3,FALSE)</f>
        <v>физкултура</v>
      </c>
      <c r="I84" s="45" t="str">
        <f>IF(OR(H84="история",H84="свят и личност",H84= "география",H84="химия",H84="биология",H84="физика",H84="философия"),"+","-")</f>
        <v>-</v>
      </c>
      <c r="J84" s="12" t="str">
        <f>VLOOKUP('Програма-кодове'!O9,Списък!$A$1:$C$210,3,FALSE)</f>
        <v>физика</v>
      </c>
      <c r="K84" s="45" t="str">
        <f>IF(OR(J84="история",J84="свят и личност",J84= "география",J84="химия",J84="биология",J84="физика",J84="философия"),"+","-")</f>
        <v>+</v>
      </c>
      <c r="L84" s="46"/>
      <c r="M84" s="46"/>
      <c r="N84" s="21"/>
    </row>
    <row r="85" spans="1:41" ht="12" customHeight="1">
      <c r="A85" s="13">
        <v>2</v>
      </c>
      <c r="B85" s="12" t="str">
        <f>VLOOKUP('Програма-кодове'!K10,Списък!$A$1:$C$210,3,FALSE)</f>
        <v>физика</v>
      </c>
      <c r="C85" s="45" t="str">
        <f>IF(OR(B85="математика",B85="информатика",B85="английски език",B85="немски език",B85="руски език",B85="бълг. език",B85="ІІ - ри чужд език", B85="ИТ/ДБТ"),"+","-")</f>
        <v>-</v>
      </c>
      <c r="D85" s="21" t="str">
        <f>VLOOKUP('Програма-кодове'!L10,Списък!$A$1:$C$210,3,FALSE)</f>
        <v>математика</v>
      </c>
      <c r="E85" s="45" t="str">
        <f>IF(OR(D85="математика",D85="информатика",D85="английски език",D85="немски език",D85="руски език",D85="бълг. език",D85="ІІ - ри чужд език", D85="ИТ/ДБТ"),"+","-")</f>
        <v>+</v>
      </c>
      <c r="F85" s="12" t="str">
        <f>VLOOKUP('Програма-кодове'!M10,Списък!$A$1:$C$210,3,FALSE)</f>
        <v>история</v>
      </c>
      <c r="G85" s="45" t="str">
        <f>IF(OR(F85="математика",F85="информатика",F85="английски език",F85="немски език",F85="руски език",F85="бълг. език",F85="ІІ - ри чужд език", F85="ИТ/ДБТ"),"+","-")</f>
        <v>-</v>
      </c>
      <c r="H85" s="12" t="str">
        <f>VLOOKUP('Програма-кодове'!N10,Списък!$A$1:$C$210,3,FALSE)</f>
        <v>биология</v>
      </c>
      <c r="I85" s="45" t="str">
        <f>IF(OR(H85="математика",H85="информатика",H85="английски език",H85="немски език",H85="руски език",H85="бълг. език",H85="ІІ - ри чужд език", H85="ИТ/ДБТ"),"+","-")</f>
        <v>-</v>
      </c>
      <c r="J85" s="12" t="str">
        <f>VLOOKUP('Програма-кодове'!O10,Списък!$A$1:$C$210,3,FALSE)</f>
        <v>физкултура</v>
      </c>
      <c r="K85" s="45" t="str">
        <f>IF(OR(J85="математика",J85="информатика",J85="английски език",J85="немски език",J85="руски език",J85="бълг. език",J85="ІІ - ри чужд език", J85="ИТ/ДБТ"),"+","-")</f>
        <v>-</v>
      </c>
      <c r="L85" s="46"/>
      <c r="M85" s="46"/>
      <c r="N85" s="21"/>
    </row>
    <row r="86" spans="1:41" ht="12" customHeight="1">
      <c r="A86" s="13">
        <v>3</v>
      </c>
      <c r="B86" s="12" t="str">
        <f>VLOOKUP('Програма-кодове'!K11,Списък!$A$1:$C$210,3,FALSE)</f>
        <v>история</v>
      </c>
      <c r="C86" s="45" t="str">
        <f>IF(OR(B86="математика",B86="информатика",B86="английски език",B86="немски език",B86="руски език",B86="бълг. език",B86="ІІ - ри чужд език", B86="ИТ/ДБТ"),"+","-")</f>
        <v>-</v>
      </c>
      <c r="D86" s="21" t="str">
        <f>VLOOKUP('Програма-кодове'!L11,Списък!$A$1:$C$210,3,FALSE)</f>
        <v>математика</v>
      </c>
      <c r="E86" s="45" t="str">
        <f>IF(OR(D86="математика",D86="информатика",D86="английски език",D86="немски език",D86="руски език",D86="бълг. език",D86="ІІ - ри чужд език", D86="ИТ/ДБТ"),"+","-")</f>
        <v>+</v>
      </c>
      <c r="F86" s="12" t="str">
        <f>VLOOKUP('Програма-кодове'!M11,Списък!$A$1:$C$210,3,FALSE)</f>
        <v>физкултура</v>
      </c>
      <c r="G86" s="45" t="str">
        <f>IF(OR(F86="математика",F86="информатика",F86="английски език",F86="немски език",F86="руски език",F86="бълг. език",F86="ІІ - ри чужд език", F86="ИТ/ДБТ"),"+","-")</f>
        <v>-</v>
      </c>
      <c r="H86" s="12" t="str">
        <f>VLOOKUP('Програма-кодове'!N11,Списък!$A$1:$C$210,3,FALSE)</f>
        <v>бълг. език</v>
      </c>
      <c r="I86" s="45" t="str">
        <f>IF(OR(H86="математика",H86="информатика",H86="английски език",H86="немски език",H86="руски език",H86="бълг. език",H86="ІІ - ри чужд език", H86="ИТ/ДБТ"),"+","-")</f>
        <v>+</v>
      </c>
      <c r="J86" s="12" t="str">
        <f>VLOOKUP('Програма-кодове'!O11,Списък!$A$1:$C$210,3,FALSE)</f>
        <v>биология</v>
      </c>
      <c r="K86" s="45" t="str">
        <f>IF(OR(J86="математика",J86="информатика",J86="английски език",J86="немски език",J86="руски език",J86="бълг. език",J86="ІІ - ри чужд език", J86="ИТ/ДБТ"),"+","-")</f>
        <v>-</v>
      </c>
      <c r="L86" s="46"/>
      <c r="M86" s="46"/>
      <c r="N86" s="21"/>
    </row>
    <row r="87" spans="1:41" ht="12" customHeight="1">
      <c r="A87" s="13">
        <v>4</v>
      </c>
      <c r="B87" s="12" t="str">
        <f>VLOOKUP('Програма-кодове'!K12,Списък!$A$1:$C$210,3,FALSE)</f>
        <v>английски език</v>
      </c>
      <c r="C87" s="45" t="str">
        <f>IF(OR(B87="математика",B87="информатика",B87="английски език",B87="немски език",B87="руски език",B87="бълг. език",B87="ІІ - ри чужд език", B87="ИТ/ДБТ"),"+","-")</f>
        <v>+</v>
      </c>
      <c r="D87" s="21" t="str">
        <f>VLOOKUP('Програма-кодове'!L12,Списък!$A$1:$C$210,3,FALSE)</f>
        <v>биология</v>
      </c>
      <c r="E87" s="45" t="str">
        <f>IF(OR(D87="математика",D87="информатика",D87="английски език",D87="немски език",D87="руски език",D87="бълг. език",D87="ІІ - ри чужд език", D87="ИТ/ДБТ"),"+","-")</f>
        <v>-</v>
      </c>
      <c r="F87" s="12" t="str">
        <f>VLOOKUP('Програма-кодове'!M12,Списък!$A$1:$C$210,3,FALSE)</f>
        <v>физика</v>
      </c>
      <c r="G87" s="45" t="str">
        <f>IF(OR(F87="математика",F87="информатика",F87="английски език",F87="немски език",F87="руски език",F87="бълг. език",F87="ІІ - ри чужд език", F87="ИТ/ДБТ"),"+","-")</f>
        <v>-</v>
      </c>
      <c r="H87" s="12" t="str">
        <f>VLOOKUP('Програма-кодове'!N12,Списък!$A$1:$C$210,3,FALSE)</f>
        <v>бълг. език</v>
      </c>
      <c r="I87" s="45" t="str">
        <f>IF(OR(H87="математика",H87="информатика",H87="английски език",H87="немски език",H87="руски език",H87="бълг. език",H87="ІІ - ри чужд език", H87="ИТ/ДБТ"),"+","-")</f>
        <v>+</v>
      </c>
      <c r="J87" s="12" t="str">
        <f>VLOOKUP('Програма-кодове'!O12,Списък!$A$1:$C$210,3,FALSE)</f>
        <v>география</v>
      </c>
      <c r="K87" s="45" t="str">
        <f>IF(OR(J87="математика",J87="информатика",J87="английски език",J87="немски език",J87="руски език",J87="бълг. език",J87="ІІ - ри чужд език", J87="ИТ/ДБТ"),"+","-")</f>
        <v>-</v>
      </c>
      <c r="L87" s="46"/>
      <c r="M87" s="46"/>
      <c r="N87" s="21"/>
    </row>
    <row r="88" spans="1:41" ht="12" customHeight="1">
      <c r="A88" s="13">
        <v>5</v>
      </c>
      <c r="B88" s="12" t="str">
        <f>VLOOKUP('Програма-кодове'!K13,Списък!$A$1:$C$210,3,FALSE)</f>
        <v>биология</v>
      </c>
      <c r="C88" s="45" t="str">
        <f>IF(OR(B88="математика",B88="информатика",B88="английски език",B88="немски език",B88="руски език",B88="бълг. език",B88="ІІ - ри чужд език",B88="ИТ",B88="ИТ/ДБТ",B88="история",B88="свят и личност",B88= "география",B88="химия",B88="биология",B88="физика",B88="философия"),"+","-")</f>
        <v>+</v>
      </c>
      <c r="D88" s="21" t="str">
        <f>VLOOKUP('Програма-кодове'!L13,Списък!$A$1:$C$210,3,FALSE)</f>
        <v>английски език</v>
      </c>
      <c r="E88" s="45" t="str">
        <f>IF(OR(D88="математика",D88="информатика",D88="английски език",D88="немски език",D88="руски език",D88="бълг. език",D88="ІІ - ри чужд език",D88="ИТ",D88="ИТ/ДБТ",D88="история",D88="свят и личност",D88= "география",D88="химия",D88="биология",D88="физика",D88="философия"),"+","-")</f>
        <v>+</v>
      </c>
      <c r="F88" s="12" t="str">
        <f>VLOOKUP('Програма-кодове'!M13,Списък!$A$1:$C$210,3,FALSE)</f>
        <v>информатика</v>
      </c>
      <c r="G88" s="45" t="str">
        <f>IF(OR(F88="математика",F88="информатика",F88="английски език",F88="немски език",F88="руски език",F88="бълг. език",F88="ІІ - ри чужд език",F88="ИТ",F88="ИТ/ДБТ",F88="история",F88="свят и личност",F88= "география",F88="химия",F88="биология",F88="физика",F88="философия"),"+","-")</f>
        <v>+</v>
      </c>
      <c r="H88" s="12" t="str">
        <f>VLOOKUP('Програма-кодове'!N13,Списък!$A$1:$C$210,3,FALSE)</f>
        <v>физика</v>
      </c>
      <c r="I88" s="45" t="str">
        <f>IF(OR(H88="математика",H88="информатика",H88="английски език",H88="немски език",H88="руски език",H88="бълг. език",H88="ІІ - ри чужд език",H88="ИТ",H88="ИТ/ДБТ",H88="история",H88="свят и личност",H88= "география",H88="химия",H88="биология",H88="физика",H88="философия"),"+","-")</f>
        <v>+</v>
      </c>
      <c r="J88" s="12" t="str">
        <f>VLOOKUP('Програма-кодове'!O13,Списък!$A$1:$C$210,3,FALSE)</f>
        <v>история</v>
      </c>
      <c r="K88" s="45" t="str">
        <f>IF(OR(J88="математика",J88="информатика",J88="английски език",J88="немски език",J88="руски език",J88="бълг. език",J88="ІІ - ри чужд език",J88="ИТ",J88="ИТ/ДБТ",J88="история",J88="свят и личност",J88= "география",J88="химия",J88="биология",J88="физика",J88="философия"),"+","-")</f>
        <v>+</v>
      </c>
      <c r="L88" s="46"/>
      <c r="M88" s="46"/>
      <c r="N88" s="21"/>
    </row>
    <row r="89" spans="1:41" ht="12" customHeight="1">
      <c r="A89" s="13">
        <v>6</v>
      </c>
      <c r="B89" s="12" t="str">
        <f>VLOOKUP('Програма-кодове'!K14,Списък!$A$1:$C$210,3,FALSE)</f>
        <v>философия</v>
      </c>
      <c r="C89" s="45" t="str">
        <f>IF(OR(B89="физкултура",B89="музика",B89="рисуване",B89="ИТ/ДБТ",B89="домашен бит и техника"),"+","-")</f>
        <v>-</v>
      </c>
      <c r="D89" s="21" t="str">
        <f>VLOOKUP('Програма-кодове'!L14,Списък!$A$1:$C$210,3,FALSE)</f>
        <v>физика</v>
      </c>
      <c r="E89" s="45" t="str">
        <f>IF(OR(D89="физкултура",D89="музика",D89="рисуване",D89="ИТ/ДБТ",D89="домашен бит и техника"),"+","-")</f>
        <v>-</v>
      </c>
      <c r="F89" s="12" t="str">
        <f>VLOOKUP('Програма-кодове'!M14,Списък!$A$1:$C$210,3,FALSE)</f>
        <v>бълг. език</v>
      </c>
      <c r="G89" s="45" t="str">
        <f>IF(OR(F89="физкултура",F89="музика",F89="рисуване",F89="ИТ/ДБТ",F89="домашен бит и техника"),"+","-")</f>
        <v>-</v>
      </c>
      <c r="H89" s="12" t="str">
        <f>VLOOKUP('Програма-кодове'!N14,Списък!$A$1:$C$210,3,FALSE)</f>
        <v>информатика</v>
      </c>
      <c r="I89" s="45" t="str">
        <f>IF(OR(H89="физкултура",H89="музика",H89="рисуване",H89="ИТ/ДБТ",H89="домашен бит и техника"),"+","-")</f>
        <v>-</v>
      </c>
      <c r="J89" s="12" t="str">
        <f>VLOOKUP('Програма-кодове'!O14,Списък!$A$1:$C$210,3,FALSE)</f>
        <v>английски език</v>
      </c>
      <c r="K89" s="45" t="str">
        <f>IF(OR(J89="физкултура",J89="музика",J89="рисуване",J89="ИТ/ДБТ",J89="домашен бит и техника"),"+","-")</f>
        <v>-</v>
      </c>
      <c r="L89" s="46"/>
      <c r="M89" s="46"/>
      <c r="N89" s="21"/>
    </row>
    <row r="90" spans="1:41" ht="12" customHeight="1">
      <c r="A90" s="13">
        <v>7</v>
      </c>
      <c r="B90" s="12" t="str">
        <f>VLOOKUP('Програма-кодове'!K15,Списък!$A$1:$C$210,3,FALSE)</f>
        <v>информатика</v>
      </c>
      <c r="C90" s="45" t="str">
        <f>IF(OR(B90="история",B90="свят и личност",B90= "география",B90="химия",B90="биология",B90="физика",B90="философия"),"+","-")</f>
        <v>-</v>
      </c>
      <c r="D90" s="21" t="str">
        <f>VLOOKUP('Програма-кодове'!L15,Списък!$A$1:$C$210,3,FALSE)</f>
        <v>физкултура</v>
      </c>
      <c r="E90" s="45" t="str">
        <f>IF(OR(D90="история",D90="свят и личност",D90= "география",D90="химия",D90="биология",D90="физика",D90="философия"),"+","-")</f>
        <v>-</v>
      </c>
      <c r="F90" s="12" t="str">
        <f>VLOOKUP('Програма-кодове'!M15,Списък!$A$1:$C$210,3,FALSE)</f>
        <v>бълг. език</v>
      </c>
      <c r="G90" s="45" t="str">
        <f>IF(OR(F90="история",F90="свят и личност",F90= "география",F90="химия",F90="биология",F90="физика",F90="философия"),"+","-")</f>
        <v>-</v>
      </c>
      <c r="H90" s="12" t="str">
        <f>VLOOKUP('Програма-кодове'!N15,Списък!$A$1:$C$210,3,FALSE)</f>
        <v>история</v>
      </c>
      <c r="I90" s="45" t="str">
        <f>IF(OR(H90="история",H90="свят и личност",H90= "география",H90="химия",H90="биология",H90="физика",H90="философия"),"+","-")</f>
        <v>+</v>
      </c>
      <c r="J90" s="12" t="str">
        <f>VLOOKUP('Програма-кодове'!O15,Списък!$A$1:$C$210,3,FALSE)</f>
        <v>математика</v>
      </c>
      <c r="K90" s="45" t="str">
        <f>IF(OR(J90="история",J90="свят и личност",J90= "география",J90="химия",J90="биология",J90="физика",J90="философия"),"+","-")</f>
        <v>-</v>
      </c>
      <c r="L90" s="46"/>
      <c r="M90" s="46"/>
      <c r="N90" s="21"/>
    </row>
    <row r="91" spans="1:41" ht="12" customHeight="1">
      <c r="C91" s="60">
        <f>COUNTIF(C84:C90,"+")/7</f>
        <v>0.2857142857142857</v>
      </c>
      <c r="D91" s="99" t="e">
        <f>VLOOKUP('Програма-кодове'!#REF!,Списък!$A$1:$C$210,3,FALSE)</f>
        <v>#REF!</v>
      </c>
      <c r="E91" s="60">
        <f>COUNTIF(E84:E90,"+")/7</f>
        <v>0.5714285714285714</v>
      </c>
      <c r="F91" s="12" t="e">
        <f>VLOOKUP('Програма-кодове'!#REF!,Списък!$A$1:$C$210,3,FALSE)</f>
        <v>#REF!</v>
      </c>
      <c r="G91" s="60">
        <f>COUNTIF(G84:G90,"+")/7</f>
        <v>0.2857142857142857</v>
      </c>
      <c r="I91" s="60">
        <f>COUNTIF(I84:I90,"+")/7</f>
        <v>0.5714285714285714</v>
      </c>
      <c r="K91" s="60">
        <f>COUNTIF(K84:K90,"+")/7</f>
        <v>0.2857142857142857</v>
      </c>
      <c r="L91" s="46" t="s">
        <v>95</v>
      </c>
      <c r="M91" s="47">
        <f>(C91+E91+G91+I91+K91)/5</f>
        <v>0.4</v>
      </c>
      <c r="N91" s="21"/>
    </row>
    <row r="92" spans="1:41" ht="1.5" customHeight="1">
      <c r="A92" s="14"/>
      <c r="B92" s="15"/>
      <c r="C92" s="15"/>
      <c r="D92" s="15"/>
      <c r="E92" s="15"/>
      <c r="F92" s="15" t="str">
        <f>IF(OR(E92="математика",E92="информатика",E92="английски език",E92="немски език",E92="руски език",E92="бълг. език",E92="ІІ - ри чужд език"),"+","-")</f>
        <v>-</v>
      </c>
      <c r="G92" s="15"/>
      <c r="H92" s="15"/>
      <c r="I92" s="15"/>
      <c r="J92" s="15"/>
      <c r="L92" s="46"/>
      <c r="M92" s="46"/>
      <c r="N92" s="21"/>
    </row>
    <row r="93" spans="1:41" s="13" customFormat="1" ht="12" customHeight="1">
      <c r="B93" s="13" t="s">
        <v>10</v>
      </c>
      <c r="D93" s="13" t="s">
        <v>11</v>
      </c>
      <c r="F93" s="44" t="str">
        <f>IF(OR(E93="математика",E93="информатика",E93="английски език",E93="немски език",E93="руски език",E93="бълг. език",E93="ІІ - ри чужд език",E93="ИТ",E93="история",E93="история/география/СиЛ",E93= "география",E93="химия",E93="биология",E93="физика",E93="философия"),"+","-")</f>
        <v>-</v>
      </c>
      <c r="H93" s="13" t="s">
        <v>13</v>
      </c>
      <c r="J93" s="13" t="s">
        <v>14</v>
      </c>
      <c r="K93" s="12"/>
      <c r="L93" s="46"/>
      <c r="M93" s="46"/>
      <c r="N93" s="21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2" customHeight="1">
      <c r="A94" s="13">
        <v>1</v>
      </c>
      <c r="B94" s="12" t="str">
        <f>VLOOKUP('Програма-кодове'!P9,Списък!$A$1:$C$209,3,FALSE)</f>
        <v>математика</v>
      </c>
      <c r="C94" s="45" t="str">
        <f>IF(OR(B94="история",B94="свят и личност",B94= "география",B94="химия",B94="биология",B94="физика",B94="философия"),"+","-")</f>
        <v>-</v>
      </c>
      <c r="D94" s="12" t="str">
        <f>VLOOKUP('Програма-кодове'!Q9,Списък!$A$1:$C$209,3,FALSE)</f>
        <v>английски език</v>
      </c>
      <c r="E94" s="45" t="str">
        <f>IF(OR(D94="история",D94="свят и личност",D94= "география",D94="химия",D94="биология",D94="физика",D94="философия"),"+","-")</f>
        <v>-</v>
      </c>
      <c r="F94" s="12" t="str">
        <f>VLOOKUP('Програма-кодове'!R9,Списък!$A$1:$C$209,3,FALSE)</f>
        <v>математика</v>
      </c>
      <c r="G94" s="45" t="str">
        <f>IF(OR(F94="история",F94="свят и личност",F94= "география",F94="химия",F94="биология",F94="физика",F94="философия"),"+","-")</f>
        <v>-</v>
      </c>
      <c r="H94" s="12" t="str">
        <f>VLOOKUP('Програма-кодове'!S9,Списък!$A$1:$C$209,3,FALSE)</f>
        <v>информатика</v>
      </c>
      <c r="I94" s="45" t="str">
        <f>IF(OR(H94="история",H94="свят и личност",H94= "география",H94="химия",H94="биология",H94="физика",H94="философия"),"+","-")</f>
        <v>-</v>
      </c>
      <c r="J94" s="12" t="str">
        <f>VLOOKUP('Програма-кодове'!T9,Списък!$A$1:$C$209,3,FALSE)</f>
        <v>философия</v>
      </c>
      <c r="K94" s="45" t="str">
        <f>IF(OR(J94="история",J94="свят и личност",J94= "география",J94="химия",J94="биология",J94="физика",J94="философия"),"+","-")</f>
        <v>+</v>
      </c>
      <c r="L94" s="46"/>
      <c r="M94" s="46"/>
      <c r="N94" s="21"/>
    </row>
    <row r="95" spans="1:41" ht="12" customHeight="1">
      <c r="A95" s="13">
        <v>2</v>
      </c>
      <c r="B95" s="12" t="str">
        <f>VLOOKUP('Програма-кодове'!P10,Списък!$A$1:$C$209,3,FALSE)</f>
        <v>информатика</v>
      </c>
      <c r="C95" s="45" t="str">
        <f>IF(OR(B95="математика",B95="информатика",B95="английски език",B95="немски език",B95="руски език",B95="бълг. език",B95="ІІ - ри чужд език", B95="ИТ/ДБТ"),"+","-")</f>
        <v>+</v>
      </c>
      <c r="D95" s="12" t="str">
        <f>VLOOKUP('Програма-кодове'!Q10,Списък!$A$1:$C$209,3,FALSE)</f>
        <v>английски език</v>
      </c>
      <c r="E95" s="45" t="str">
        <f>IF(OR(D95="математика",D95="информатика",D95="английски език",D95="немски език",D95="руски език",D95="бълг. език",D95="ІІ - ри чужд език", D95="ИТ/ДБТ"),"+","-")</f>
        <v>+</v>
      </c>
      <c r="F95" s="12" t="str">
        <f>VLOOKUP('Програма-кодове'!R10,Списък!$A$1:$C$209,3,FALSE)</f>
        <v>математика</v>
      </c>
      <c r="G95" s="45" t="str">
        <f>IF(OR(F95="математика",F95="информатика",F95="английски език",F95="немски език",F95="руски език",F95="бълг. език",F95="ІІ - ри чужд език", F95="ИТ/ДБТ"),"+","-")</f>
        <v>+</v>
      </c>
      <c r="H95" s="12" t="str">
        <f>VLOOKUP('Програма-кодове'!S10,Списък!$A$1:$C$209,3,FALSE)</f>
        <v>география</v>
      </c>
      <c r="I95" s="45" t="str">
        <f>IF(OR(H95="математика",H95="информатика",H95="английски език",H95="немски език",H95="руски език",H95="бълг. език",H95="ІІ - ри чужд език", H95="ИТ/ДБТ"),"+","-")</f>
        <v>-</v>
      </c>
      <c r="J95" s="12" t="str">
        <f>VLOOKUP('Програма-кодове'!T10,Списък!$A$1:$C$209,3,FALSE)</f>
        <v>бълг. език</v>
      </c>
      <c r="K95" s="45" t="str">
        <f>IF(OR(J95="математика",J95="информатика",J95="английски език",J95="немски език",J95="руски език",J95="бълг. език",J95="ІІ - ри чужд език", J95="ИТ/ДБТ"),"+","-")</f>
        <v>+</v>
      </c>
      <c r="L95" s="46"/>
      <c r="M95" s="46"/>
      <c r="N95" s="21"/>
    </row>
    <row r="96" spans="1:41" ht="12" customHeight="1">
      <c r="A96" s="13">
        <v>3</v>
      </c>
      <c r="B96" s="12" t="str">
        <f>VLOOKUP('Програма-кодове'!P11,Списък!$A$1:$C$209,3,FALSE)</f>
        <v>физика</v>
      </c>
      <c r="C96" s="45" t="str">
        <f>IF(OR(B96="математика",B96="информатика",B96="английски език",B96="немски език",B96="руски език",B96="бълг. език",B96="ІІ - ри чужд език", B96="ИТ/ДБТ"),"+","-")</f>
        <v>-</v>
      </c>
      <c r="D96" s="12" t="str">
        <f>VLOOKUP('Програма-кодове'!Q11,Списък!$A$1:$C$209,3,FALSE)</f>
        <v>информатика</v>
      </c>
      <c r="E96" s="45" t="str">
        <f>IF(OR(D96="математика",D96="информатика",D96="английски език",D96="немски език",D96="руски език",D96="бълг. език",D96="ІІ - ри чужд език", D96="ИТ/ДБТ"),"+","-")</f>
        <v>+</v>
      </c>
      <c r="F96" s="12" t="str">
        <f>VLOOKUP('Програма-кодове'!R11,Списък!$A$1:$C$209,3,FALSE)</f>
        <v>физика</v>
      </c>
      <c r="G96" s="45" t="str">
        <f>IF(OR(F96="математика",F96="информатика",F96="английски език",F96="немски език",F96="руски език",F96="бълг. език",F96="ІІ - ри чужд език", F96="ИТ/ДБТ"),"+","-")</f>
        <v>-</v>
      </c>
      <c r="H96" s="12" t="str">
        <f>VLOOKUP('Програма-кодове'!S11,Списък!$A$1:$C$209,3,FALSE)</f>
        <v>физкултура</v>
      </c>
      <c r="I96" s="45" t="str">
        <f>IF(OR(H96="математика",H96="информатика",H96="английски език",H96="немски език",H96="руски език",H96="бълг. език",H96="ІІ - ри чужд език", H96="ИТ/ДБТ"),"+","-")</f>
        <v>-</v>
      </c>
      <c r="J96" s="12" t="str">
        <f>VLOOKUP('Програма-кодове'!T11,Списък!$A$1:$C$209,3,FALSE)</f>
        <v>бълг. език</v>
      </c>
      <c r="K96" s="45" t="str">
        <f>IF(OR(J96="математика",J96="информатика",J96="английски език",J96="немски език",J96="руски език",J96="бълг. език",J96="ІІ - ри чужд език", J96="ИТ/ДБТ"),"+","-")</f>
        <v>+</v>
      </c>
      <c r="L96" s="46"/>
      <c r="M96" s="46"/>
      <c r="N96" s="21"/>
    </row>
    <row r="97" spans="1:41" ht="12" customHeight="1">
      <c r="A97" s="13">
        <v>4</v>
      </c>
      <c r="B97" s="12" t="str">
        <f>VLOOKUP('Програма-кодове'!P12,Списък!$A$1:$C$209,3,FALSE)</f>
        <v>бълг. език</v>
      </c>
      <c r="C97" s="45" t="str">
        <f>IF(OR(B97="математика",B97="информатика",B97="английски език",B97="немски език",B97="руски език",B97="бълг. език",B97="ІІ - ри чужд език", B97="ИТ/ДБТ"),"+","-")</f>
        <v>+</v>
      </c>
      <c r="D97" s="12" t="str">
        <f>VLOOKUP('Програма-кодове'!Q12,Списък!$A$1:$C$209,3,FALSE)</f>
        <v>физкултура</v>
      </c>
      <c r="E97" s="45" t="str">
        <f>IF(OR(D97="математика",D97="информатика",D97="английски език",D97="немски език",D97="руски език",D97="бълг. език",D97="ІІ - ри чужд език", D97="ИТ/ДБТ"),"+","-")</f>
        <v>-</v>
      </c>
      <c r="F97" s="12" t="str">
        <f>VLOOKUP('Програма-кодове'!R12,Списък!$A$1:$C$209,3,FALSE)</f>
        <v>информатика</v>
      </c>
      <c r="G97" s="45" t="str">
        <f>IF(OR(F97="математика",F97="информатика",F97="английски език",F97="немски език",F97="руски език",F97="бълг. език",F97="ІІ - ри чужд език", F97="ИТ/ДБТ"),"+","-")</f>
        <v>+</v>
      </c>
      <c r="H97" s="12" t="str">
        <f>VLOOKUP('Програма-кодове'!S12,Списък!$A$1:$C$209,3,FALSE)</f>
        <v>немски език</v>
      </c>
      <c r="I97" s="45" t="str">
        <f>IF(OR(H97="математика",H97="информатика",H97="английски език",H97="немски език",H97="руски език",H97="бълг. език",H97="ІІ - ри чужд език", H97="ИТ/ДБТ"),"+","-")</f>
        <v>+</v>
      </c>
      <c r="J97" s="12" t="str">
        <f>VLOOKUP('Програма-кодове'!T12,Списък!$A$1:$C$209,3,FALSE)</f>
        <v>биология</v>
      </c>
      <c r="K97" s="45" t="str">
        <f>IF(OR(J97="математика",J97="информатика",J97="английски език",J97="немски език",J97="руски език",J97="бълг. език",J97="ІІ - ри чужд език", J97="ИТ/ДБТ"),"+","-")</f>
        <v>-</v>
      </c>
      <c r="L97" s="46"/>
      <c r="M97" s="46"/>
      <c r="N97" s="21"/>
    </row>
    <row r="98" spans="1:41" ht="12" customHeight="1">
      <c r="A98" s="13">
        <v>5</v>
      </c>
      <c r="B98" s="12" t="str">
        <f>VLOOKUP('Програма-кодове'!P13,Списък!$A$1:$C$209,3,FALSE)</f>
        <v>бълг. език</v>
      </c>
      <c r="C98" s="45" t="str">
        <f>IF(OR(B98="математика",B98="информатика",B98="английски език",B98="немски език",B98="руски език",B98="бълг. език",B98="ІІ - ри чужд език",B98="ИТ",B98="ИТ/ДБТ",B98="история",B98="свят и личност",B98= "география",B98="химия",B98="биология",B98="физика",B98="философия"),"+","-")</f>
        <v>+</v>
      </c>
      <c r="D98" s="12" t="str">
        <f>VLOOKUP('Програма-кодове'!Q13,Списък!$A$1:$C$209,3,FALSE)</f>
        <v>математика</v>
      </c>
      <c r="E98" s="45" t="str">
        <f>IF(OR(D98="математика",D98="информатика",D98="английски език",D98="немски език",D98="руски език",D98="бълг. език",D98="ІІ - ри чужд език",D98="ИТ",D98="ИТ/ДБТ",D98="история",D98="свят и личност",D98= "география",D98="химия",D98="биология",D98="физика",D98="философия"),"+","-")</f>
        <v>+</v>
      </c>
      <c r="F98" s="12" t="str">
        <f>VLOOKUP('Програма-кодове'!R13,Списък!$A$1:$C$209,3,FALSE)</f>
        <v>философия</v>
      </c>
      <c r="G98" s="45" t="str">
        <f>IF(OR(F98="математика",F98="информатика",F98="английски език",F98="немски език",F98="руски език",F98="бълг. език",F98="ІІ - ри чужд език",F98="ИТ",F98="ИТ/ДБТ",F98="история",F98="свят и личност",F98= "география",F98="химия",F98="биология",F98="физика",F98="философия"),"+","-")</f>
        <v>+</v>
      </c>
      <c r="H98" s="12" t="str">
        <f>VLOOKUP('Програма-кодове'!S13,Списък!$A$1:$C$209,3,FALSE)</f>
        <v>немски език</v>
      </c>
      <c r="I98" s="45" t="str">
        <f>IF(OR(H98="математика",H98="информатика",H98="английски език",H98="немски език",H98="руски език",H98="бълг. език",H98="ІІ - ри чужд език",H98="ИТ",H98="ИТ/ДБТ",H98="история",H98="свят и личност",H98= "география",H98="химия",H98="биология",H98="физика",H98="философия"),"+","-")</f>
        <v>+</v>
      </c>
      <c r="J98" s="12" t="str">
        <f>VLOOKUP('Програма-кодове'!T13,Списък!$A$1:$C$209,3,FALSE)</f>
        <v>химия</v>
      </c>
      <c r="K98" s="45" t="str">
        <f>IF(OR(J98="математика",J98="информатика",J98="английски език",J98="немски език",J98="руски език",J98="бълг. език",J98="ІІ - ри чужд език",J98="ИТ",J98="ИТ/ДБТ",J98="история",J98="свят и личност",J98= "география",J98="химия",J98="биология",J98="физика",J98="философия"),"+","-")</f>
        <v>+</v>
      </c>
      <c r="L98" s="46"/>
      <c r="M98" s="46"/>
      <c r="N98" s="21"/>
    </row>
    <row r="99" spans="1:41" ht="12" customHeight="1">
      <c r="A99" s="13">
        <v>6</v>
      </c>
      <c r="B99" s="12" t="str">
        <f>VLOOKUP('Програма-кодове'!P14,Списък!$A$1:$C$209,3,FALSE)</f>
        <v>физкултура</v>
      </c>
      <c r="C99" s="45" t="str">
        <f>IF(OR(B99="физкултура",B99="музика",B99="рисуване",B99="ИТ/ДБТ",B99="домашен бит и техника"),"+","-")</f>
        <v>+</v>
      </c>
      <c r="D99" s="12" t="str">
        <f>VLOOKUP('Програма-кодове'!Q14,Списък!$A$1:$C$209,3,FALSE)</f>
        <v>химия</v>
      </c>
      <c r="E99" s="45" t="str">
        <f>IF(OR(D99="физкултура",D99="музика",D99="рисуване",D99="ИТ/ДБТ",D99="домашен бит и техника"),"+","-")</f>
        <v>-</v>
      </c>
      <c r="F99" s="12" t="str">
        <f>VLOOKUP('Програма-кодове'!R14,Списък!$A$1:$C$209,3,FALSE)</f>
        <v>английски език</v>
      </c>
      <c r="G99" s="45" t="str">
        <f>IF(OR(F99="физкултура",F99="музика",F99="рисуване",F99="ИТ/ДБТ",F99="домашен бит и техника"),"+","-")</f>
        <v>-</v>
      </c>
      <c r="H99" s="12" t="str">
        <f>VLOOKUP('Програма-кодове'!S14,Списък!$A$1:$C$209,3,FALSE)</f>
        <v>математика</v>
      </c>
      <c r="I99" s="45" t="str">
        <f>IF(OR(H99="физкултура",H99="музика",H99="рисуване",H99="ИТ/ДБТ",H99="домашен бит и техника"),"+","-")</f>
        <v>-</v>
      </c>
      <c r="J99" s="12" t="str">
        <f>VLOOKUP('Програма-кодове'!T14,Списък!$A$1:$C$209,3,FALSE)</f>
        <v>ІІ - ри чужд език</v>
      </c>
      <c r="K99" s="45" t="str">
        <f>IF(OR(J99="физкултура",J99="музика",J99="рисуване",J99="ИТ/ДБТ",J99="домашен бит и техника"),"+","-")</f>
        <v>-</v>
      </c>
      <c r="L99" s="46"/>
      <c r="M99" s="46"/>
      <c r="N99" s="21"/>
    </row>
    <row r="100" spans="1:41" ht="12" customHeight="1">
      <c r="A100" s="13">
        <v>7</v>
      </c>
      <c r="B100" s="12" t="str">
        <f>VLOOKUP('Програма-кодове'!P15,Списък!$A$1:$C$209,3,FALSE)</f>
        <v>философия</v>
      </c>
      <c r="C100" s="45" t="str">
        <f>IF(OR(B100="история",B100="свят и личност",B100= "география",B100="химия",B100="биология",B100="физика",B100="философия"),"+","-")</f>
        <v>+</v>
      </c>
      <c r="D100" s="12" t="str">
        <f>VLOOKUP('Програма-кодове'!Q15,Списък!$A$1:$C$209,3,FALSE)</f>
        <v>биология</v>
      </c>
      <c r="E100" s="45" t="str">
        <f>IF(OR(D100="история",D100="свят и личност",D100= "география",D100="химия",D100="биология",D100="физика",D100="философия"),"+","-")</f>
        <v>+</v>
      </c>
      <c r="F100" s="12" t="str">
        <f>VLOOKUP('Програма-кодове'!R15,Списък!$A$1:$C$209,3,FALSE)</f>
        <v>английски език</v>
      </c>
      <c r="G100" s="45" t="str">
        <f>IF(OR(F100="история",F100="свят и личност",F100= "география",F100="химия",F100="биология",F100="физика",F100="философия"),"+","-")</f>
        <v>-</v>
      </c>
      <c r="H100" s="12" t="str">
        <f>VLOOKUP('Програма-кодове'!S15,Списък!$A$1:$C$209,3,FALSE)</f>
        <v>химия</v>
      </c>
      <c r="I100" s="45" t="str">
        <f>IF(OR(H100="история",H100="свят и личност",H100= "география",H100="химия",H100="биология",H100="физика",H100="философия"),"+","-")</f>
        <v>+</v>
      </c>
      <c r="J100" s="12" t="str">
        <f>VLOOKUP('Програма-кодове'!T15,Списък!$A$1:$C$209,3,FALSE)</f>
        <v>ІІ - ри чужд език</v>
      </c>
      <c r="K100" s="45" t="str">
        <f>IF(OR(J100="история",J100="свят и личност",J100= "география",J100="химия",J100="биология",J100="физика",J100="философия"),"+","-")</f>
        <v>-</v>
      </c>
      <c r="L100" s="46"/>
      <c r="M100" s="46"/>
      <c r="N100" s="21"/>
    </row>
    <row r="101" spans="1:41" ht="12" customHeight="1">
      <c r="C101" s="60">
        <f>COUNTIF(C94:C100,"+")/7</f>
        <v>0.7142857142857143</v>
      </c>
      <c r="E101" s="60">
        <f>COUNTIF(E94:E100,"+")/7</f>
        <v>0.5714285714285714</v>
      </c>
      <c r="G101" s="60">
        <f>COUNTIF(G94:G100,"+")/7</f>
        <v>0.42857142857142855</v>
      </c>
      <c r="I101" s="60">
        <f>COUNTIF(I94:I100,"+")/7</f>
        <v>0.42857142857142855</v>
      </c>
      <c r="J101" s="21"/>
      <c r="K101" s="60">
        <f>COUNTIF(K94:K100,"+")/7</f>
        <v>0.5714285714285714</v>
      </c>
      <c r="L101" s="46" t="s">
        <v>95</v>
      </c>
      <c r="M101" s="47">
        <f>(C101+E101+G101+I101+K101)/5</f>
        <v>0.54285714285714293</v>
      </c>
      <c r="N101" s="21"/>
    </row>
    <row r="102" spans="1:41" ht="1.5" customHeight="1">
      <c r="A102" s="14"/>
      <c r="B102" s="15"/>
      <c r="C102" s="15"/>
      <c r="D102" s="15"/>
      <c r="E102" s="15"/>
      <c r="F102" s="15"/>
      <c r="G102" s="15"/>
      <c r="H102" s="15"/>
      <c r="I102" s="15"/>
      <c r="J102" s="15"/>
      <c r="L102" s="46"/>
      <c r="M102" s="46"/>
      <c r="N102" s="21"/>
    </row>
    <row r="103" spans="1:41" s="13" customFormat="1" ht="12" customHeight="1">
      <c r="B103" s="13" t="s">
        <v>15</v>
      </c>
      <c r="D103" s="13" t="s">
        <v>16</v>
      </c>
      <c r="F103" s="13" t="s">
        <v>17</v>
      </c>
      <c r="H103" s="13" t="s">
        <v>46</v>
      </c>
      <c r="J103" s="13" t="s">
        <v>18</v>
      </c>
      <c r="K103" s="12"/>
      <c r="L103" s="46"/>
      <c r="M103" s="46"/>
      <c r="N103" s="21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2" customHeight="1">
      <c r="A104" s="13">
        <v>1</v>
      </c>
      <c r="B104" s="12" t="str">
        <f>VLOOKUP('Програма-кодове'!U9,Списък!$A$1:$C$209,3,FALSE)</f>
        <v>информатика</v>
      </c>
      <c r="C104" s="45" t="str">
        <f>IF(OR(B104="история",B104="свят и личност",B104= "география",B104="химия",B104="биология",B104="физика",B104="философия"),"+","-")</f>
        <v>-</v>
      </c>
      <c r="D104" s="12" t="str">
        <f>VLOOKUP('Програма-кодове'!V9,Списък!$A$1:$C$209,3,FALSE)</f>
        <v>физика</v>
      </c>
      <c r="E104" s="45" t="str">
        <f>IF(OR(D104="история",D104="свят и личност",D104= "география",D104="химия",D104="биология",D104="физика",D104="философия"),"+","-")</f>
        <v>+</v>
      </c>
      <c r="F104" s="12" t="str">
        <f>VLOOKUP('Програма-кодове'!W9,Списък!$A$1:$C$209,3,FALSE)</f>
        <v>английски език</v>
      </c>
      <c r="G104" s="45" t="str">
        <f>IF(OR(F104="история",F104="свят и личност",F104= "география",F104="химия",F104="биология",F104="физика",F104="философия"),"+","-")</f>
        <v>-</v>
      </c>
      <c r="H104" s="12" t="str">
        <f>VLOOKUP('Програма-кодове'!X9,Списък!$A$1:$C$209,3,FALSE)</f>
        <v>немски език</v>
      </c>
      <c r="I104" s="45" t="str">
        <f>IF(OR(H104="история",H104="свят и личност",H104= "география",H104="химия",H104="биология",H104="физика",H104="философия"),"+","-")</f>
        <v>-</v>
      </c>
      <c r="J104" s="12" t="str">
        <f>VLOOKUP('Програма-кодове'!Y9,Списък!$A$1:$C$209,3,FALSE)</f>
        <v>химия</v>
      </c>
      <c r="K104" s="45" t="str">
        <f>IF(OR(J104="история",J104="свят и личност",J104= "география",J104="химия",J104="биология",J104="физика",J104="философия"),"+","-")</f>
        <v>+</v>
      </c>
      <c r="L104" s="46"/>
      <c r="M104" s="46"/>
      <c r="N104" s="21"/>
    </row>
    <row r="105" spans="1:41" ht="12" customHeight="1">
      <c r="A105" s="13">
        <v>2</v>
      </c>
      <c r="B105" s="12" t="str">
        <f>VLOOKUP('Програма-кодове'!U10,Списък!$A$1:$C$209,3,FALSE)</f>
        <v>физика</v>
      </c>
      <c r="C105" s="45" t="str">
        <f>IF(OR(B105="математика",B105="информатика",B105="английски език",B105="немски език",B105="руски език",B105="бълг. език",B105="ІІ - ри чужд език", B105="ИТ/ДБТ"),"+","-")</f>
        <v>-</v>
      </c>
      <c r="D105" s="12" t="str">
        <f>VLOOKUP('Програма-кодове'!V10,Списък!$A$1:$C$209,3,FALSE)</f>
        <v>химия</v>
      </c>
      <c r="E105" s="45" t="str">
        <f>IF(OR(D105="математика",D105="информатика",D105="английски език",D105="немски език",D105="руски език",D105="бълг. език",D105="ІІ - ри чужд език", D105="ИТ/ДБТ"),"+","-")</f>
        <v>-</v>
      </c>
      <c r="F105" s="12" t="str">
        <f>VLOOKUP('Програма-кодове'!W10,Списък!$A$1:$C$209,3,FALSE)</f>
        <v>английски език</v>
      </c>
      <c r="G105" s="45" t="str">
        <f>IF(OR(F105="математика",F105="информатика",F105="английски език",F105="немски език",F105="руски език",F105="бълг. език",F105="ІІ - ри чужд език", F105="ИТ/ДБТ"),"+","-")</f>
        <v>+</v>
      </c>
      <c r="H105" s="12" t="str">
        <f>VLOOKUP('Програма-кодове'!X10,Списък!$A$1:$C$209,3,FALSE)</f>
        <v>информатика</v>
      </c>
      <c r="I105" s="45" t="str">
        <f>IF(OR(H105="математика",H105="информатика",H105="английски език",H105="немски език",H105="руски език",H105="бълг. език",H105="ІІ - ри чужд език", H105="ИТ/ДБТ"),"+","-")</f>
        <v>+</v>
      </c>
      <c r="J105" s="12" t="str">
        <f>VLOOKUP('Програма-кодове'!Y10,Списък!$A$1:$C$209,3,FALSE)</f>
        <v>химия</v>
      </c>
      <c r="K105" s="45" t="str">
        <f>IF(OR(J105="математика",J105="информатика",J105="английски език",J105="немски език",J105="руски език",J105="бълг. език",J105="ІІ - ри чужд език", J105="ИТ/ДБТ"),"+","-")</f>
        <v>-</v>
      </c>
      <c r="L105" s="46"/>
      <c r="M105" s="46"/>
      <c r="N105" s="21"/>
    </row>
    <row r="106" spans="1:41" ht="12" customHeight="1">
      <c r="A106" s="13">
        <v>3</v>
      </c>
      <c r="B106" s="12" t="str">
        <f>VLOOKUP('Програма-кодове'!U11,Списък!$A$1:$C$209,3,FALSE)</f>
        <v>география</v>
      </c>
      <c r="C106" s="45" t="str">
        <f>IF(OR(B106="математика",B106="информатика",B106="английски език",B106="немски език",B106="руски език",B106="бълг. език",B106="ІІ - ри чужд език", B106="ИТ/ДБТ"),"+","-")</f>
        <v>-</v>
      </c>
      <c r="D106" s="12" t="str">
        <f>VLOOKUP('Програма-кодове'!V11,Списък!$A$1:$C$209,3,FALSE)</f>
        <v>информатика</v>
      </c>
      <c r="E106" s="45" t="str">
        <f>IF(OR(D106="математика",D106="информатика",D106="английски език",D106="немски език",D106="руски език",D106="бълг. език",D106="ІІ - ри чужд език", D106="ИТ/ДБТ"),"+","-")</f>
        <v>+</v>
      </c>
      <c r="F106" s="12" t="str">
        <f>VLOOKUP('Програма-кодове'!W11,Списък!$A$1:$C$209,3,FALSE)</f>
        <v>химия</v>
      </c>
      <c r="G106" s="45" t="str">
        <f>IF(OR(F106="математика",F106="информатика",F106="английски език",F106="немски език",F106="руски език",F106="бълг. език",F106="ІІ - ри чужд език", F106="ИТ/ДБТ"),"+","-")</f>
        <v>-</v>
      </c>
      <c r="H106" s="12" t="str">
        <f>VLOOKUP('Програма-кодове'!X11,Списък!$A$1:$C$209,3,FALSE)</f>
        <v>философия</v>
      </c>
      <c r="I106" s="45" t="str">
        <f>IF(OR(H106="математика",H106="информатика",H106="английски език",H106="немски език",H106="руски език",H106="бълг. език",H106="ІІ - ри чужд език", H106="ИТ/ДБТ"),"+","-")</f>
        <v>-</v>
      </c>
      <c r="J106" s="12" t="str">
        <f>VLOOKUP('Програма-кодове'!Y11,Списък!$A$1:$C$209,3,FALSE)</f>
        <v>биология</v>
      </c>
      <c r="K106" s="45" t="str">
        <f>IF(OR(J106="математика",J106="информатика",J106="английски език",J106="немски език",J106="руски език",J106="бълг. език",J106="ІІ - ри чужд език", J106="ИТ/ДБТ"),"+","-")</f>
        <v>-</v>
      </c>
      <c r="L106" s="46"/>
      <c r="M106" s="46"/>
      <c r="N106" s="21"/>
    </row>
    <row r="107" spans="1:41" ht="12" customHeight="1">
      <c r="A107" s="13">
        <v>4</v>
      </c>
      <c r="B107" s="12" t="str">
        <f>VLOOKUP('Програма-кодове'!U12,Списък!$A$1:$C$209,3,FALSE)</f>
        <v>химия</v>
      </c>
      <c r="C107" s="45" t="str">
        <f>IF(OR(B107="математика",B107="информатика",B107="английски език",B107="немски език",B107="руски език",B107="бълг. език",B107="ІІ - ри чужд език", B107="ИТ/ДБТ"),"+","-")</f>
        <v>-</v>
      </c>
      <c r="D107" s="12" t="str">
        <f>VLOOKUP('Програма-кодове'!V12,Списък!$A$1:$C$209,3,FALSE)</f>
        <v>английски език</v>
      </c>
      <c r="E107" s="45" t="str">
        <f>IF(OR(D107="математика",D107="информатика",D107="английски език",D107="немски език",D107="руски език",D107="бълг. език",D107="ІІ - ри чужд език", D107="ИТ/ДБТ"),"+","-")</f>
        <v>+</v>
      </c>
      <c r="F107" s="12" t="str">
        <f>VLOOKUP('Програма-кодове'!W12,Списък!$A$1:$C$209,3,FALSE)</f>
        <v>информатика</v>
      </c>
      <c r="G107" s="45" t="str">
        <f>IF(OR(F107="математика",F107="информатика",F107="английски език",F107="немски език",F107="руски език",F107="бълг. език",F107="ІІ - ри чужд език", F107="ИТ/ДБТ"),"+","-")</f>
        <v>+</v>
      </c>
      <c r="H107" s="12" t="str">
        <f>VLOOKUP('Програма-кодове'!X12,Списък!$A$1:$C$209,3,FALSE)</f>
        <v>математика</v>
      </c>
      <c r="I107" s="45" t="str">
        <f>IF(OR(H107="математика",H107="информатика",H107="английски език",H107="немски език",H107="руски език",H107="бълг. език",H107="ІІ - ри чужд език", H107="ИТ/ДБТ"),"+","-")</f>
        <v>+</v>
      </c>
      <c r="J107" s="12" t="str">
        <f>VLOOKUP('Програма-кодове'!Y12,Списък!$A$1:$C$209,3,FALSE)</f>
        <v>физкултура</v>
      </c>
      <c r="K107" s="45" t="str">
        <f>IF(OR(J107="математика",J107="информатика",J107="английски език",J107="немски език",J107="руски език",J107="бълг. език",J107="ІІ - ри чужд език", J107="ИТ/ДБТ"),"+","-")</f>
        <v>-</v>
      </c>
      <c r="L107" s="46"/>
      <c r="M107" s="46"/>
      <c r="N107" s="21"/>
    </row>
    <row r="108" spans="1:41" ht="12" customHeight="1">
      <c r="A108" s="13">
        <v>5</v>
      </c>
      <c r="B108" s="12" t="str">
        <f>VLOOKUP('Програма-кодове'!U13,Списък!$A$1:$C$209,3,FALSE)</f>
        <v>бълг. език</v>
      </c>
      <c r="C108" s="45" t="str">
        <f>IF(OR(B108="математика",B108="информатика",B108="английски език",B108="немски език",B108="руски език",B108="бълг. език",B108="ІІ - ри чужд език",B108="ИТ",B108="ИТ/ДБТ",B108="история",B108="свят и личност",B108= "география",B108="химия",B108="биология",B108="физика",B108="философия"),"+","-")</f>
        <v>+</v>
      </c>
      <c r="D108" s="12" t="str">
        <f>VLOOKUP('Програма-кодове'!V13,Списък!$A$1:$C$209,3,FALSE)</f>
        <v>английски език</v>
      </c>
      <c r="E108" s="45" t="str">
        <f>IF(OR(D108="математика",D108="информатика",D108="английски език",D108="немски език",D108="руски език",D108="бълг. език",D108="ІІ - ри чужд език",D108="ИТ",D108="ИТ/ДБТ",D108="история",D108="свят и личност",D108= "география",D108="химия",D108="биология",D108="физика",D108="философия"),"+","-")</f>
        <v>+</v>
      </c>
      <c r="F108" s="12" t="str">
        <f>VLOOKUP('Програма-кодове'!W13,Списък!$A$1:$C$209,3,FALSE)</f>
        <v>биология</v>
      </c>
      <c r="G108" s="45" t="str">
        <f>IF(OR(F108="математика",F108="информатика",F108="английски език",F108="немски език",F108="руски език",F108="бълг. език",F108="ІІ - ри чужд език",F108="ИТ",F108="ИТ/ДБТ",F108="история",F108="свят и личност",F108= "география",F108="химия",F108="биология",F108="физика",F108="философия"),"+","-")</f>
        <v>+</v>
      </c>
      <c r="H108" s="12" t="str">
        <f>VLOOKUP('Програма-кодове'!X13,Списък!$A$1:$C$209,3,FALSE)</f>
        <v>физика</v>
      </c>
      <c r="I108" s="45" t="str">
        <f>IF(OR(H108="математика",H108="информатика",H108="английски език",H108="немски език",H108="руски език",H108="бълг. език",H108="ІІ - ри чужд език",H108="ИТ",H108="ИТ/ДБТ",H108="история",H108="свят и личност",H108= "география",H108="химия",H108="биология",H108="физика",H108="философия"),"+","-")</f>
        <v>+</v>
      </c>
      <c r="J108" s="12" t="str">
        <f>VLOOKUP('Програма-кодове'!Y13,Списък!$A$1:$C$209,3,FALSE)</f>
        <v>математика</v>
      </c>
      <c r="K108" s="45" t="str">
        <f>IF(OR(J108="математика",J108="информатика",J108="английски език",J108="немски език",J108="руски език",J108="бълг. език",J108="ІІ - ри чужд език",J108="ИТ",J108="ИТ/ДБТ",J108="история",J108="свят и личност",J108= "география",J108="химия",J108="биология",J108="физика",J108="философия"),"+","-")</f>
        <v>+</v>
      </c>
      <c r="L108" s="46"/>
      <c r="M108" s="46"/>
      <c r="N108" s="21"/>
    </row>
    <row r="109" spans="1:41" ht="12" customHeight="1">
      <c r="A109" s="13">
        <v>6</v>
      </c>
      <c r="B109" s="12" t="str">
        <f>VLOOKUP('Програма-кодове'!U14,Списък!$A$1:$C$209,3,FALSE)</f>
        <v>математика</v>
      </c>
      <c r="C109" s="45" t="str">
        <f>IF(OR(B109="физкултура",B109="музика",B109="рисуване",B109="ИТ/ДБТ",B109="домашен бит и техника"),"+","-")</f>
        <v>-</v>
      </c>
      <c r="D109" s="12" t="str">
        <f>VLOOKUP('Програма-кодове'!V14,Списък!$A$1:$C$209,3,FALSE)</f>
        <v>бълг. език</v>
      </c>
      <c r="E109" s="45" t="str">
        <f>IF(OR(D109="физкултура",D109="музика",D109="рисуване",D109="ИТ/ДБТ",D109="домашен бит и техника"),"+","-")</f>
        <v>-</v>
      </c>
      <c r="F109" s="12" t="str">
        <f>VLOOKUP('Програма-кодове'!W14,Списък!$A$1:$C$209,3,FALSE)</f>
        <v>математика</v>
      </c>
      <c r="G109" s="45" t="str">
        <f>IF(OR(F109="физкултура",F109="музика",F109="рисуване",F109="ИТ/ДБТ",F109="домашен бит и техника"),"+","-")</f>
        <v>-</v>
      </c>
      <c r="H109" s="12" t="str">
        <f>VLOOKUP('Програма-кодове'!X14,Списък!$A$1:$C$209,3,FALSE)</f>
        <v>английски език</v>
      </c>
      <c r="I109" s="45" t="str">
        <f>IF(OR(H109="физкултура",H109="музика",H109="рисуване",H109="ИТ/ДБТ",H109="домашен бит и техника"),"+","-")</f>
        <v>-</v>
      </c>
      <c r="J109" s="12" t="str">
        <f>VLOOKUP('Програма-кодове'!Y14,Списък!$A$1:$C$209,3,FALSE)</f>
        <v>физика</v>
      </c>
      <c r="K109" s="45" t="str">
        <f>IF(OR(J109="физкултура",J109="музика",J109="рисуване",J109="ИТ/ДБТ",J109="домашен бит и техника"),"+","-")</f>
        <v>-</v>
      </c>
      <c r="L109" s="46"/>
      <c r="M109" s="46"/>
      <c r="N109" s="21"/>
    </row>
    <row r="110" spans="1:41" ht="12" customHeight="1">
      <c r="A110" s="13">
        <v>7</v>
      </c>
      <c r="B110" s="12" t="str">
        <f>VLOOKUP('Програма-кодове'!U15,Списък!$A$1:$C$209,3,FALSE)</f>
        <v>математика</v>
      </c>
      <c r="C110" s="45" t="str">
        <f>IF(OR(B110="история",B110="свят и личност",B110= "география",B110="химия",B110="биология",B110="физика",B110="философия"),"+","-")</f>
        <v>-</v>
      </c>
      <c r="D110" s="12" t="str">
        <f>VLOOKUP('Програма-кодове'!V15,Списък!$A$1:$C$209,3,FALSE)</f>
        <v>математика</v>
      </c>
      <c r="E110" s="45" t="str">
        <f>IF(OR(D110="история",D110="свят и личност",D110= "география",D110="химия",D110="биология",D110="физика",D110="философия"),"+","-")</f>
        <v>-</v>
      </c>
      <c r="F110" s="12" t="str">
        <f>VLOOKUP('Програма-кодове'!W15,Списък!$A$1:$C$209,3,FALSE)</f>
        <v>физика</v>
      </c>
      <c r="G110" s="45" t="str">
        <f>IF(OR(F110="история",F110="свят и личност",F110= "география",F110="химия",F110="биология",F110="физика",F110="философия"),"+","-")</f>
        <v>+</v>
      </c>
      <c r="H110" s="12" t="str">
        <f>VLOOKUP('Програма-кодове'!X15,Списък!$A$1:$C$209,3,FALSE)</f>
        <v>английски език</v>
      </c>
      <c r="I110" s="45" t="str">
        <f>IF(OR(H110="история",H110="свят и личност",H110= "география",H110="химия",H110="биология",H110="физика",H110="философия"),"+","-")</f>
        <v>-</v>
      </c>
      <c r="J110" s="12" t="str">
        <f>VLOOKUP('Програма-кодове'!Y15,Списък!$A$1:$C$209,3,FALSE)</f>
        <v>бълг. език</v>
      </c>
      <c r="K110" s="45" t="str">
        <f>IF(OR(J110="история",J110="свят и личност",J110= "география",J110="химия",J110="биология",J110="физика",J110="философия"),"+","-")</f>
        <v>-</v>
      </c>
      <c r="L110" s="46"/>
      <c r="M110" s="46"/>
      <c r="N110" s="21"/>
    </row>
    <row r="111" spans="1:41" ht="12" customHeight="1">
      <c r="C111" s="60">
        <f>COUNTIF(C104:C110,"+")/7</f>
        <v>0.14285714285714285</v>
      </c>
      <c r="E111" s="60">
        <f>COUNTIF(E104:E110,"+")/7</f>
        <v>0.5714285714285714</v>
      </c>
      <c r="G111" s="60">
        <f>COUNTIF(G104:G110,"+")/7</f>
        <v>0.5714285714285714</v>
      </c>
      <c r="I111" s="60">
        <f>COUNTIF(I104:I110,"+")/7</f>
        <v>0.42857142857142855</v>
      </c>
      <c r="K111" s="60">
        <f>COUNTIF(K104:K110,"+")/7</f>
        <v>0.2857142857142857</v>
      </c>
      <c r="L111" s="46" t="s">
        <v>95</v>
      </c>
      <c r="M111" s="47">
        <f>(C111+E111+G111+I111+K111)/5</f>
        <v>0.4</v>
      </c>
      <c r="N111" s="21"/>
    </row>
    <row r="112" spans="1:41" ht="1.5" customHeight="1">
      <c r="A112" s="14"/>
      <c r="B112" s="15"/>
      <c r="C112" s="15"/>
      <c r="D112" s="15"/>
      <c r="E112" s="15"/>
      <c r="F112" s="15"/>
      <c r="G112" s="15"/>
      <c r="H112" s="15"/>
      <c r="I112" s="15"/>
      <c r="J112" s="15"/>
      <c r="L112" s="46"/>
      <c r="M112" s="46"/>
      <c r="N112" s="21"/>
    </row>
    <row r="113" spans="1:43" s="13" customFormat="1" ht="12" customHeight="1">
      <c r="B113" s="13" t="s">
        <v>48</v>
      </c>
      <c r="D113" s="13" t="s">
        <v>49</v>
      </c>
      <c r="F113" s="13" t="s">
        <v>50</v>
      </c>
      <c r="H113" s="13" t="s">
        <v>51</v>
      </c>
      <c r="J113" s="13" t="s">
        <v>52</v>
      </c>
      <c r="K113" s="12"/>
      <c r="L113" s="46"/>
      <c r="M113" s="46"/>
      <c r="N113" s="21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3" ht="12" customHeight="1">
      <c r="A114" s="13">
        <v>1</v>
      </c>
      <c r="B114" s="12" t="str">
        <f>VLOOKUP('Програма-кодове'!Z9,Списък!$A$1:$C$209,3,FALSE)</f>
        <v>информатика</v>
      </c>
      <c r="C114" s="45" t="str">
        <f>IF(OR(B114="история",B114="свят и личност",B114= "география",B114="химия",B114="биология",B114="физика",B114="философия"),"+","-")</f>
        <v>-</v>
      </c>
      <c r="D114" s="12" t="str">
        <f>VLOOKUP('Програма-кодове'!AA9,Списък!$A$1:$C$209,3,FALSE)</f>
        <v>география</v>
      </c>
      <c r="E114" s="45" t="str">
        <f>IF(OR(D114="история",D114="свят и личност",D114= "география",D114="химия",D114="биология",D114="физика",D114="философия"),"+","-")</f>
        <v>+</v>
      </c>
      <c r="F114" s="12" t="str">
        <f>VLOOKUP('Програма-кодове'!AB9,Списък!$A$1:$C$209,3,FALSE)</f>
        <v>математика</v>
      </c>
      <c r="G114" s="45" t="str">
        <f>IF(OR(F114="история",F114="свят и личност",F114= "география",F114="химия",F114="биология",F114="физика",F114="философия"),"+","-")</f>
        <v>-</v>
      </c>
      <c r="H114" s="12" t="str">
        <f>VLOOKUP('Програма-кодове'!AC9,Списък!$A$1:$C$209,3,FALSE)</f>
        <v>бълг. език</v>
      </c>
      <c r="I114" s="45" t="str">
        <f>IF(OR(H114="история",H114="свят и личност",H114= "география",H114="химия",H114="биология",H114="физика",H114="философия"),"+","-")</f>
        <v>-</v>
      </c>
      <c r="J114" s="12" t="str">
        <f>VLOOKUP('Програма-кодове'!AD9,Списък!$A$1:$C$209,3,FALSE)</f>
        <v>английски език</v>
      </c>
      <c r="K114" s="45" t="str">
        <f>IF(OR(J114="история",J114="свят и личност",J114= "география",J114="химия",J114="биология",J114="физика",J114="философия"),"+","-")</f>
        <v>-</v>
      </c>
      <c r="L114" s="46"/>
      <c r="M114" s="46"/>
      <c r="N114" s="21"/>
    </row>
    <row r="115" spans="1:43" ht="12" customHeight="1">
      <c r="A115" s="13">
        <v>2</v>
      </c>
      <c r="B115" s="12" t="str">
        <f>VLOOKUP('Програма-кодове'!Z10,Списък!$A$1:$C$209,3,FALSE)</f>
        <v>география</v>
      </c>
      <c r="C115" s="45" t="str">
        <f>IF(OR(B115="математика",B115="информатика",B115="английски език",B115="немски език",B115="руски език",B115="бълг. език",B115="ІІ - ри чужд език", B115="ИТ/ДБТ"),"+","-")</f>
        <v>-</v>
      </c>
      <c r="D115" s="12" t="str">
        <f>VLOOKUP('Програма-кодове'!AA10,Списък!$A$1:$C$209,3,FALSE)</f>
        <v>информатика</v>
      </c>
      <c r="E115" s="45" t="str">
        <f>IF(OR(D115="математика",D115="информатика",D115="английски език",D115="немски език",D115="руски език",D115="бълг. език",D115="ІІ - ри чужд език", D115="ИТ/ДБТ"),"+","-")</f>
        <v>+</v>
      </c>
      <c r="F115" s="12" t="str">
        <f>VLOOKUP('Програма-кодове'!AB10,Списък!$A$1:$C$209,3,FALSE)</f>
        <v>математика</v>
      </c>
      <c r="G115" s="45" t="str">
        <f>IF(OR(F115="математика",F115="информатика",F115="английски език",F115="немски език",F115="руски език",F115="бълг. език",F115="ІІ - ри чужд език", F115="ИТ/ДБТ"),"+","-")</f>
        <v>+</v>
      </c>
      <c r="H115" s="12" t="str">
        <f>VLOOKUP('Програма-кодове'!AC10,Списък!$A$1:$C$209,3,FALSE)</f>
        <v>бълг. език</v>
      </c>
      <c r="I115" s="45" t="str">
        <f>IF(OR(H115="математика",H115="информатика",H115="английски език",H115="немски език",H115="руски език",H115="бълг. език",H115="ІІ - ри чужд език", H115="ИТ/ДБТ"),"+","-")</f>
        <v>+</v>
      </c>
      <c r="J115" s="12" t="str">
        <f>VLOOKUP('Програма-кодове'!AD10,Списък!$A$1:$C$209,3,FALSE)</f>
        <v>английски език</v>
      </c>
      <c r="K115" s="45" t="str">
        <f>IF(OR(J115="математика",J115="информатика",J115="английски език",J115="немски език",J115="руски език",J115="бълг. език",J115="ІІ - ри чужд език", J115="ИТ/ДБТ"),"+","-")</f>
        <v>+</v>
      </c>
      <c r="L115" s="46"/>
      <c r="M115" s="46"/>
      <c r="N115" s="21"/>
    </row>
    <row r="116" spans="1:43" ht="12" customHeight="1">
      <c r="A116" s="13">
        <v>3</v>
      </c>
      <c r="B116" s="12" t="str">
        <f>VLOOKUP('Програма-кодове'!Z11,Списък!$A$1:$C$209,3,FALSE)</f>
        <v>английски език</v>
      </c>
      <c r="C116" s="45" t="str">
        <f>IF(OR(B116="математика",B116="информатика",B116="английски език",B116="немски език",B116="руски език",B116="бълг. език",B116="ІІ - ри чужд език", B116="ИТ/ДБТ"),"+","-")</f>
        <v>+</v>
      </c>
      <c r="D116" s="12" t="str">
        <f>VLOOKUP('Програма-кодове'!AA11,Списък!$A$1:$C$209,3,FALSE)</f>
        <v>бълг. език</v>
      </c>
      <c r="E116" s="45" t="str">
        <f>IF(OR(D116="математика",D116="информатика",D116="английски език",D116="немски език",D116="руски език",D116="бълг. език",D116="ІІ - ри чужд език", D116="ИТ/ДБТ"),"+","-")</f>
        <v>+</v>
      </c>
      <c r="F116" s="12" t="str">
        <f>VLOOKUP('Програма-кодове'!AB11,Списък!$A$1:$C$209,3,FALSE)</f>
        <v>информатика</v>
      </c>
      <c r="G116" s="45" t="str">
        <f>IF(OR(F116="математика",F116="информатика",F116="английски език",F116="немски език",F116="руски език",F116="бълг. език",F116="ІІ - ри чужд език", F116="ИТ/ДБТ"),"+","-")</f>
        <v>+</v>
      </c>
      <c r="H116" s="12" t="str">
        <f>VLOOKUP('Програма-кодове'!AC11,Списък!$A$1:$C$209,3,FALSE)</f>
        <v>математика</v>
      </c>
      <c r="I116" s="45" t="str">
        <f>IF(OR(H116="математика",H116="информатика",H116="английски език",H116="немски език",H116="руски език",H116="бълг. език",H116="ІІ - ри чужд език", H116="ИТ/ДБТ"),"+","-")</f>
        <v>+</v>
      </c>
      <c r="J116" s="12" t="str">
        <f>VLOOKUP('Програма-кодове'!AD11,Списък!$A$1:$C$209,3,FALSE)</f>
        <v>география</v>
      </c>
      <c r="K116" s="45" t="str">
        <f>IF(OR(J116="математика",J116="информатика",J116="английски език",J116="немски език",J116="руски език",J116="бълг. език",J116="ІІ - ри чужд език", J116="ИТ/ДБТ"),"+","-")</f>
        <v>-</v>
      </c>
      <c r="L116" s="46"/>
      <c r="M116" s="46"/>
      <c r="N116" s="21"/>
    </row>
    <row r="117" spans="1:43" ht="12" customHeight="1">
      <c r="A117" s="13">
        <v>4</v>
      </c>
      <c r="B117" s="12" t="str">
        <f>VLOOKUP('Програма-кодове'!Z12,Списък!$A$1:$C$209,3,FALSE)</f>
        <v>математика</v>
      </c>
      <c r="C117" s="45" t="str">
        <f>IF(OR(B117="математика",B117="информатика",B117="английски език",B117="немски език",B117="руски език",B117="бълг. език",B117="ІІ - ри чужд език", B117="ИТ/ДБТ"),"+","-")</f>
        <v>+</v>
      </c>
      <c r="D117" s="12" t="str">
        <f>VLOOKUP('Програма-кодове'!AA12,Списък!$A$1:$C$209,3,FALSE)</f>
        <v>бълг. език</v>
      </c>
      <c r="E117" s="45" t="str">
        <f>IF(OR(D117="математика",D117="информатика",D117="английски език",D117="немски език",D117="руски език",D117="бълг. език",D117="ІІ - ри чужд език", D117="ИТ/ДБТ"),"+","-")</f>
        <v>+</v>
      </c>
      <c r="F117" s="12" t="str">
        <f>VLOOKUP('Програма-кодове'!AB12,Списък!$A$1:$C$209,3,FALSE)</f>
        <v>английски език</v>
      </c>
      <c r="G117" s="45" t="str">
        <f>IF(OR(F117="математика",F117="информатика",F117="английски език",F117="немски език",F117="руски език",F117="бълг. език",F117="ІІ - ри чужд език", F117="ИТ/ДБТ"),"+","-")</f>
        <v>+</v>
      </c>
      <c r="H117" s="12" t="str">
        <f>VLOOKUP('Програма-кодове'!AC12,Списък!$A$1:$C$209,3,FALSE)</f>
        <v>информатика</v>
      </c>
      <c r="I117" s="45" t="str">
        <f>IF(OR(H117="математика",H117="информатика",H117="английски език",H117="немски език",H117="руски език",H117="бълг. език",H117="ІІ - ри чужд език", H117="ИТ/ДБТ"),"+","-")</f>
        <v>+</v>
      </c>
      <c r="J117" s="12" t="str">
        <f>VLOOKUP('Програма-кодове'!AD12,Списък!$A$1:$C$209,3,FALSE)</f>
        <v>математика</v>
      </c>
      <c r="K117" s="45" t="str">
        <f>IF(OR(J117="математика",J117="информатика",J117="английски език",J117="немски език",J117="руски език",J117="бълг. език",J117="ІІ - ри чужд език", J117="ИТ/ДБТ"),"+","-")</f>
        <v>+</v>
      </c>
      <c r="L117" s="46"/>
      <c r="M117" s="46"/>
      <c r="N117" s="21"/>
    </row>
    <row r="118" spans="1:43" ht="12" customHeight="1">
      <c r="A118" s="13">
        <v>5</v>
      </c>
      <c r="B118" s="12" t="str">
        <f>VLOOKUP('Програма-кодове'!Z13,Списък!$A$1:$C$209,3,FALSE)</f>
        <v>математика</v>
      </c>
      <c r="C118" s="45" t="str">
        <f>IF(OR(B118="математика",B118="информатика",B118="английски език",B118="немски език",B118="руски език",B118="бълг. език",B118="ІІ - ри чужд език",B118="ИТ",B118="ИТ/ДБТ",B118="история",B118="свят и личност",B118= "география",B118="химия",B118="биология",B118="физика",B118="философия"),"+","-")</f>
        <v>+</v>
      </c>
      <c r="D118" s="12" t="str">
        <f>VLOOKUP('Програма-кодове'!AA13,Списък!$A$1:$C$209,3,FALSE)</f>
        <v>философия</v>
      </c>
      <c r="E118" s="45" t="str">
        <f>IF(OR(D118="математика",D118="информатика",D118="английски език",D118="немски език",D118="руски език",D118="бълг. език",D118="ІІ - ри чужд език",D118="ИТ",D118="ИТ/ДБТ",D118="история",D118="свят и личност",D118= "география",D118="химия",D118="биология",D118="физика",D118="философия"),"+","-")</f>
        <v>+</v>
      </c>
      <c r="F118" s="12" t="str">
        <f>VLOOKUP('Програма-кодове'!AB13,Списък!$A$1:$C$209,3,FALSE)</f>
        <v>английски език</v>
      </c>
      <c r="G118" s="45" t="str">
        <f>IF(OR(F118="математика",F118="информатика",F118="английски език",F118="немски език",F118="руски език",F118="бълг. език",F118="ІІ - ри чужд език",F118="ИТ",F118="ИТ/ДБТ",F118="история",F118="свят и личност",F118= "география",F118="химия",F118="биология",F118="физика",F118="философия"),"+","-")</f>
        <v>+</v>
      </c>
      <c r="H118" s="12" t="str">
        <f>VLOOKUP('Програма-кодове'!AC13,Списък!$A$1:$C$209,3,FALSE)</f>
        <v>история</v>
      </c>
      <c r="I118" s="45" t="str">
        <f>IF(OR(H118="математика",H118="информатика",H118="английски език",H118="немски език",H118="руски език",H118="бълг. език",H118="ІІ - ри чужд език",H118="ИТ",H118="ИТ/ДБТ",H118="история",H118="свят и личност",H118= "география",H118="химия",H118="биология",H118="физика",H118="философия"),"+","-")</f>
        <v>+</v>
      </c>
      <c r="J118" s="12" t="str">
        <f>VLOOKUP('Програма-кодове'!AD13,Списък!$A$1:$C$209,3,FALSE)</f>
        <v>физкултура</v>
      </c>
      <c r="K118" s="45" t="str">
        <f>IF(OR(J118="математика",J118="информатика",J118="английски език",J118="немски език",J118="руски език",J118="бълг. език",J118="ІІ - ри чужд език",J118="ИТ",J118="ИТ/ДБТ",J118="история",J118="свят и личност",J118= "география",J118="химия",J118="биология",J118="физика",J118="философия"),"+","-")</f>
        <v>-</v>
      </c>
      <c r="L118" s="46"/>
      <c r="M118" s="46"/>
      <c r="N118" s="21"/>
    </row>
    <row r="119" spans="1:43" ht="12" customHeight="1">
      <c r="A119" s="13">
        <v>6</v>
      </c>
      <c r="B119" s="12" t="str">
        <f>VLOOKUP('Програма-кодове'!Z14,Списък!$A$1:$C$209,3,FALSE)</f>
        <v>физкултура</v>
      </c>
      <c r="C119" s="45" t="str">
        <f>IF(OR(B119="физкултура",B119="музика",B119="рисуване",B119="ИТ/ДБТ",B119="домашен бит и техника"),"+","-")</f>
        <v>+</v>
      </c>
      <c r="D119" s="12" t="str">
        <f>VLOOKUP('Програма-кодове'!AA14,Списък!$A$1:$C$209,3,FALSE)</f>
        <v>математика</v>
      </c>
      <c r="E119" s="45" t="str">
        <f>IF(OR(D119="физкултура",D119="музика",D119="рисуване",D119="ИТ/ДБТ",D119="домашен бит и техника"),"+","-")</f>
        <v>-</v>
      </c>
      <c r="F119" s="12" t="str">
        <f>VLOOKUP('Програма-кодове'!AB14,Списък!$A$1:$C$209,3,FALSE)</f>
        <v>география</v>
      </c>
      <c r="G119" s="45" t="str">
        <f>IF(OR(F119="физкултура",F119="музика",F119="рисуване",F119="ИТ/ДБТ",F119="домашен бит и техника"),"+","-")</f>
        <v>-</v>
      </c>
      <c r="H119" s="12" t="str">
        <f>VLOOKUP('Програма-кодове'!AC14,Списък!$A$1:$C$209,3,FALSE)</f>
        <v>английски език</v>
      </c>
      <c r="I119" s="45" t="str">
        <f>IF(OR(H119="физкултура",H119="музика",H119="рисуване",H119="ИТ/ДБТ",H119="домашен бит и техника"),"+","-")</f>
        <v>-</v>
      </c>
      <c r="J119" s="12" t="str">
        <f>VLOOKUP('Програма-кодове'!AD14,Списък!$A$1:$C$209,3,FALSE)</f>
        <v>история</v>
      </c>
      <c r="K119" s="45" t="str">
        <f>IF(OR(J119="физкултура",J119="музика",J119="рисуване",J119="ИТ/ДБТ",J119="домашен бит и техника"),"+","-")</f>
        <v>-</v>
      </c>
      <c r="L119" s="46"/>
      <c r="M119" s="46"/>
      <c r="N119" s="21"/>
    </row>
    <row r="120" spans="1:43" ht="12" customHeight="1">
      <c r="A120" s="13">
        <v>7</v>
      </c>
      <c r="B120" s="12" t="str">
        <f>VLOOKUP('Програма-кодове'!Z15,Списък!$A$1:$C$209,3,FALSE)</f>
        <v>философия</v>
      </c>
      <c r="C120" s="45" t="str">
        <f>IF(OR(B120="история",B120="свят и личност",B120= "география",B120="химия",B120="биология",B120="физика",B120="философия"),"+","-")</f>
        <v>+</v>
      </c>
      <c r="D120" s="12" t="str">
        <f>VLOOKUP('Програма-кодове'!AA15,Списък!$A$1:$C$209,3,FALSE)</f>
        <v>математика</v>
      </c>
      <c r="E120" s="45" t="str">
        <f>IF(OR(D120="история",D120="свят и личност",D120= "география",D120="химия",D120="биология",D120="физика",D120="философия"),"+","-")</f>
        <v>-</v>
      </c>
      <c r="F120" s="12" t="str">
        <f>VLOOKUP('Програма-кодове'!AB15,Списък!$A$1:$C$209,3,FALSE)</f>
        <v>история</v>
      </c>
      <c r="G120" s="45" t="str">
        <f>IF(OR(F120="история",F120="свят и личност",F120= "география",F120="химия",F120="биология",F120="физика",F120="философия"),"+","-")</f>
        <v>+</v>
      </c>
      <c r="H120" s="12" t="str">
        <f>VLOOKUP('Програма-кодове'!AC15,Списък!$A$1:$C$209,3,FALSE)</f>
        <v>английски език</v>
      </c>
      <c r="I120" s="45" t="str">
        <f>IF(OR(H120="история",H120="свят и личност",H120= "география",H120="химия",H120="биология",H120="физика",H120="философия"),"+","-")</f>
        <v>-</v>
      </c>
      <c r="J120" s="12" t="str">
        <f>VLOOKUP('Програма-кодове'!AD15,Списък!$A$1:$C$209,3,FALSE)</f>
        <v>биология</v>
      </c>
      <c r="K120" s="45" t="str">
        <f>IF(OR(J120="история",J120="свят и личност",J120= "география",J120="химия",J120="биология",J120="физика",J120="философия"),"+","-")</f>
        <v>+</v>
      </c>
      <c r="L120" s="46"/>
      <c r="M120" s="46"/>
      <c r="N120" s="21"/>
    </row>
    <row r="121" spans="1:43" ht="12" customHeight="1">
      <c r="C121" s="60">
        <f>COUNTIF(C114:C120,"+")/7</f>
        <v>0.7142857142857143</v>
      </c>
      <c r="D121" s="21"/>
      <c r="E121" s="60">
        <f>COUNTIF(E114:E120,"+")/7</f>
        <v>0.7142857142857143</v>
      </c>
      <c r="F121" s="21"/>
      <c r="G121" s="60">
        <f>COUNTIF(G114:G120,"+")/7</f>
        <v>0.7142857142857143</v>
      </c>
      <c r="I121" s="60">
        <f>COUNTIF(I114:I120,"+")/7</f>
        <v>0.5714285714285714</v>
      </c>
      <c r="K121" s="60">
        <f>COUNTIF(K114:K120,"+")/7</f>
        <v>0.42857142857142855</v>
      </c>
      <c r="L121" s="46" t="s">
        <v>95</v>
      </c>
      <c r="M121" s="47">
        <f>(C121+E121+G121+I121+K121)/5</f>
        <v>0.62857142857142856</v>
      </c>
      <c r="N121" s="21"/>
    </row>
    <row r="122" spans="1:43" ht="12" customHeight="1">
      <c r="A122" s="394" t="s">
        <v>97</v>
      </c>
      <c r="B122" s="394"/>
      <c r="C122" s="394"/>
      <c r="D122" s="394"/>
      <c r="E122" s="394"/>
      <c r="F122" s="394"/>
      <c r="G122" s="394"/>
      <c r="H122" s="394"/>
      <c r="I122" s="394"/>
      <c r="J122" s="394"/>
      <c r="K122" s="394"/>
      <c r="L122" s="394"/>
      <c r="M122" s="57" t="e">
        <f>AVERAGE(A71:K71,A81:K81,A91:K91,A101:K101,A111:K111,A121:K121)</f>
        <v>#REF!</v>
      </c>
      <c r="N122" s="62"/>
    </row>
    <row r="123" spans="1:43" ht="24" customHeight="1" thickBot="1">
      <c r="A123" s="393" t="s">
        <v>26</v>
      </c>
      <c r="B123" s="393"/>
      <c r="C123" s="393"/>
      <c r="D123" s="393"/>
      <c r="E123" s="393"/>
      <c r="F123" s="393"/>
      <c r="G123" s="393"/>
      <c r="H123" s="393"/>
      <c r="I123" s="393"/>
      <c r="J123" s="393"/>
      <c r="K123" s="393"/>
      <c r="L123" s="393"/>
      <c r="M123" s="393"/>
      <c r="N123" s="21"/>
    </row>
    <row r="124" spans="1:43" s="13" customFormat="1" ht="12" customHeight="1" thickTop="1">
      <c r="B124" s="13">
        <v>5</v>
      </c>
      <c r="D124" s="13">
        <v>6</v>
      </c>
      <c r="L124" s="54"/>
      <c r="M124" s="54"/>
      <c r="P124" s="21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</row>
    <row r="125" spans="1:43" ht="12" customHeight="1">
      <c r="A125" s="13">
        <v>1</v>
      </c>
      <c r="B125" s="12" t="str">
        <f>VLOOKUP('Програма-кодове'!C16,Списък!$A$1:$C$210,3,FALSE)</f>
        <v>музика</v>
      </c>
      <c r="C125" s="87" t="str">
        <f>IF(OR(B125="история",B125="свят и личност",B125= "география",B125="химия",B125="биология",B125="физика",B125="философия"),"+","-")</f>
        <v>-</v>
      </c>
      <c r="D125" s="12" t="str">
        <f>VLOOKUP('Програма-кодове'!D16,Списък!$A$1:$C$210,3,FALSE)</f>
        <v>математика</v>
      </c>
      <c r="E125" s="87" t="str">
        <f>IF(OR(D125="история",D125="свят и личност",D125= "география",D125="химия",D125="биология",D125="физика",D125="философия"),"+","-")</f>
        <v>-</v>
      </c>
      <c r="F125" s="12" t="str">
        <f>VLOOKUP('Програма-кодове'!E16,Списък!$A$1:$C$210,3,FALSE)</f>
        <v>ИТ/ТП</v>
      </c>
      <c r="G125" s="87" t="str">
        <f>IF(OR(F125="история",F125="свят и личност",F125= "география",F125="химия",F125="биология",F125="физика",F125="философия"),"+","-")</f>
        <v>-</v>
      </c>
      <c r="L125" s="46"/>
      <c r="M125" s="46"/>
      <c r="P125" s="21"/>
    </row>
    <row r="126" spans="1:43" ht="12" customHeight="1">
      <c r="A126" s="13">
        <v>2</v>
      </c>
      <c r="B126" s="12" t="str">
        <f>VLOOKUP('Програма-кодове'!C17,Списък!$A$1:$C$210,3,FALSE)</f>
        <v>математика</v>
      </c>
      <c r="C126" s="87" t="str">
        <f>IF(OR(B126="математика",B126="информатика",B126="английски език",B126="немски език",B126="руски език",B126="бълг. език",B126="ІІ - ри чужд език", B126="ИТ/ДБТ"),"+","-")</f>
        <v>+</v>
      </c>
      <c r="D126" s="12" t="str">
        <f>VLOOKUP('Програма-кодове'!D17,Списък!$A$1:$C$210,3,FALSE)</f>
        <v>ИТ/ТП</v>
      </c>
      <c r="E126" s="87" t="str">
        <f>IF(OR(D126="математика",D126="информатика",D126="английски език",D126="немски език",D126="руски език",D126="бълг. език",D126="ІІ - ри чужд език", D126="ИТ/ДБТ"),"+","-")</f>
        <v>-</v>
      </c>
      <c r="F126" s="12" t="str">
        <f>VLOOKUP('Програма-кодове'!E17,Списък!$A$1:$C$210,3,FALSE)</f>
        <v>математика</v>
      </c>
      <c r="G126" s="87" t="str">
        <f>IF(OR(F126="математика",F126="информатика",F126="английски език",F126="немски език",F126="руски език",F126="бълг. език",F126="ІІ - ри чужд език", F126="ИТ/ДБТ"),"+","-")</f>
        <v>+</v>
      </c>
      <c r="L126" s="46"/>
      <c r="M126" s="46"/>
      <c r="P126" s="21"/>
    </row>
    <row r="127" spans="1:43" ht="12" customHeight="1">
      <c r="A127" s="13">
        <v>3</v>
      </c>
      <c r="B127" s="12" t="str">
        <f>VLOOKUP('Програма-кодове'!C18,Списък!$A$1:$C$210,3,FALSE)</f>
        <v>английски език</v>
      </c>
      <c r="C127" s="87" t="str">
        <f>IF(OR(B127="математика",B127="информатика",B127="английски език",B127="немски език",B127="руски език",B127="бълг. език",B127="ІІ - ри чужд език", B127="ИТ/ДБТ"),"+","-")</f>
        <v>+</v>
      </c>
      <c r="D127" s="12" t="str">
        <f>VLOOKUP('Програма-кодове'!D18,Списък!$A$1:$C$210,3,FALSE)</f>
        <v>бълг. език</v>
      </c>
      <c r="E127" s="87" t="str">
        <f>IF(OR(D127="математика",D127="информатика",D127="английски език",D127="немски език",D127="руски език",D127="бълг. език",D127="ІІ - ри чужд език", D127="ИТ/ДБТ"),"+","-")</f>
        <v>+</v>
      </c>
      <c r="F127" s="12" t="str">
        <f>VLOOKUP('Програма-кодове'!E18,Списък!$A$1:$C$210,3,FALSE)</f>
        <v>ИТ/ТП</v>
      </c>
      <c r="G127" s="87" t="str">
        <f>IF(OR(F127="математика",F127="информатика",F127="английски език",F127="немски език",F127="руски език",F127="бълг. език",F127="ІІ - ри чужд език", F127="ИТ/ДБТ"),"+","-")</f>
        <v>-</v>
      </c>
      <c r="L127" s="46"/>
      <c r="M127" s="46"/>
      <c r="P127" s="21"/>
    </row>
    <row r="128" spans="1:43" ht="12" customHeight="1">
      <c r="A128" s="13">
        <v>4</v>
      </c>
      <c r="B128" s="12" t="str">
        <f>VLOOKUP('Програма-кодове'!C19,Списък!$A$1:$C$210,3,FALSE)</f>
        <v>география</v>
      </c>
      <c r="C128" s="87" t="str">
        <f>IF(OR(B128="математика",B128="информатика",B128="английски език",B128="немски език",B128="руски език",B128="бълг. език",B128="ІІ - ри чужд език", B128="ИТ/ДБТ"),"+","-")</f>
        <v>-</v>
      </c>
      <c r="D128" s="12" t="str">
        <f>VLOOKUP('Програма-кодове'!D19,Списък!$A$1:$C$210,3,FALSE)</f>
        <v>ИТ/ТП</v>
      </c>
      <c r="E128" s="87" t="str">
        <f>IF(OR(D128="математика",D128="информатика",D128="английски език",D128="немски език",D128="руски език",D128="бълг. език",D128="ІІ - ри чужд език", D128="ИТ/ДБТ"),"+","-")</f>
        <v>-</v>
      </c>
      <c r="F128" s="12" t="str">
        <f>VLOOKUP('Програма-кодове'!E19,Списък!$A$1:$C$210,3,FALSE)</f>
        <v>бълг. език</v>
      </c>
      <c r="G128" s="87" t="str">
        <f>IF(OR(F128="математика",F128="информатика",F128="английски език",F128="немски език",F128="руски език",F128="бълг. език",F128="ІІ - ри чужд език", F128="ИТ/ДБТ"),"+","-")</f>
        <v>+</v>
      </c>
      <c r="L128" s="46"/>
      <c r="M128" s="46"/>
      <c r="P128" s="21"/>
    </row>
    <row r="129" spans="1:41" ht="12" customHeight="1">
      <c r="A129" s="13">
        <v>5</v>
      </c>
      <c r="B129" s="12" t="str">
        <f>VLOOKUP('Програма-кодове'!C20,Списък!$A$1:$C$210,3,FALSE)</f>
        <v>физкултура</v>
      </c>
      <c r="C129" s="87" t="str">
        <f>IF(OR(B129="физкултура",B129="музика",B129="рисуване",B129="ИТ/ДБТ",B129="домашен бит и техника"),"+","-")</f>
        <v>+</v>
      </c>
      <c r="D129" s="12" t="str">
        <f>VLOOKUP('Програма-кодове'!D20,Списък!$A$1:$C$210,3,FALSE)</f>
        <v>физика</v>
      </c>
      <c r="E129" s="87" t="str">
        <f>IF(OR(D129="физкултура",D129="музика",D129="рисуване",D129="ИТ/ДБТ",D129="домашен бит и техника"),"+","-")</f>
        <v>-</v>
      </c>
      <c r="F129" s="12" t="str">
        <f>VLOOKUP('Програма-кодове'!E20,Списък!$A$1:$C$210,3,FALSE)</f>
        <v>английски език</v>
      </c>
      <c r="G129" s="87" t="str">
        <f>IF(OR(F129="физкултура",F129="музика",F129="рисуване",F129="ИТ/ДБТ",F129="домашен бит и техника"),"+","-")</f>
        <v>-</v>
      </c>
      <c r="L129" s="46"/>
      <c r="M129" s="46"/>
      <c r="P129" s="21"/>
    </row>
    <row r="130" spans="1:41" ht="12" customHeight="1">
      <c r="A130" s="13">
        <v>6</v>
      </c>
      <c r="B130" s="12" t="str">
        <f>VLOOKUP('Програма-кодове'!C21,Списък!$A$1:$C$210,3,FALSE)</f>
        <v>бълг. език</v>
      </c>
      <c r="C130" s="87" t="str">
        <f>IF(OR(B130="история",B130="свят и личност",B130= "география",B130="химия",B130="биология",B130="физика",B130="философия"),"+","-")</f>
        <v>-</v>
      </c>
      <c r="D130" s="12" t="str">
        <f>VLOOKUP('Програма-кодове'!D21,Списък!$A$1:$C$210,3,FALSE)</f>
        <v>физкултура</v>
      </c>
      <c r="E130" s="87" t="str">
        <f>IF(OR(D130="история",D130="свят и личност",D130= "география",D130="химия",D130="биология",D130="физика",D130="философия"),"+","-")</f>
        <v>-</v>
      </c>
      <c r="F130" s="12" t="str">
        <f>VLOOKUP('Програма-кодове'!E21,Списък!$A$1:$C$210,3,FALSE)</f>
        <v>биология</v>
      </c>
      <c r="G130" s="87" t="str">
        <f>IF(OR(F130="история",F130="свят и личност",F130= "география",F130="химия",F130="биология",F130="физика",F130="философия"),"+","-")</f>
        <v>+</v>
      </c>
      <c r="L130" s="46"/>
      <c r="M130" s="46"/>
      <c r="P130" s="21"/>
    </row>
    <row r="131" spans="1:41" ht="12" customHeight="1">
      <c r="A131" s="13">
        <v>7</v>
      </c>
      <c r="B131" s="12" t="s">
        <v>59</v>
      </c>
      <c r="C131" s="87"/>
      <c r="D131" s="12" t="s">
        <v>59</v>
      </c>
      <c r="E131" s="87"/>
      <c r="F131" s="12" t="s">
        <v>59</v>
      </c>
      <c r="G131" s="87"/>
      <c r="L131" s="46"/>
      <c r="M131" s="46"/>
      <c r="P131" s="21"/>
    </row>
    <row r="132" spans="1:41" ht="12" customHeight="1">
      <c r="B132" s="61"/>
      <c r="C132" s="88">
        <f>COUNTIF(C125:C130,"+")/6</f>
        <v>0.5</v>
      </c>
      <c r="E132" s="88">
        <f>COUNTIF(E125:E130,"+")/6</f>
        <v>0.16666666666666666</v>
      </c>
      <c r="G132" s="88">
        <f>COUNTIF(G125:G130,"+")/6</f>
        <v>0.5</v>
      </c>
      <c r="L132" s="46" t="s">
        <v>95</v>
      </c>
      <c r="M132" s="47">
        <f>(C132+E132+G132)/3</f>
        <v>0.38888888888888884</v>
      </c>
      <c r="P132" s="21"/>
    </row>
    <row r="133" spans="1:41" ht="3" customHeight="1">
      <c r="A133" s="14"/>
      <c r="B133" s="75"/>
      <c r="C133" s="74"/>
      <c r="D133" s="75"/>
      <c r="E133" s="74"/>
      <c r="F133" s="75"/>
      <c r="G133" s="74"/>
      <c r="H133" s="75"/>
      <c r="I133" s="74"/>
      <c r="J133" s="75"/>
      <c r="K133" s="74"/>
      <c r="L133" s="46"/>
      <c r="M133" s="47"/>
      <c r="N133" s="21"/>
    </row>
    <row r="134" spans="1:41" ht="12" customHeight="1">
      <c r="B134" s="13" t="s">
        <v>0</v>
      </c>
      <c r="C134" s="13"/>
      <c r="D134" s="13" t="s">
        <v>1</v>
      </c>
      <c r="E134" s="13"/>
      <c r="F134" s="13" t="s">
        <v>2</v>
      </c>
      <c r="G134" s="13"/>
      <c r="H134" s="13" t="s">
        <v>3</v>
      </c>
      <c r="I134" s="13"/>
      <c r="J134" s="13" t="s">
        <v>4</v>
      </c>
      <c r="L134" s="46"/>
      <c r="M134" s="46"/>
      <c r="N134" s="21"/>
    </row>
    <row r="135" spans="1:41" ht="12" customHeight="1">
      <c r="A135" s="13">
        <v>1</v>
      </c>
      <c r="B135" s="12" t="str">
        <f>VLOOKUP('Програма-кодове'!F16,Списък!$A$1:$C$210,3,FALSE)</f>
        <v>математика</v>
      </c>
      <c r="C135" s="45" t="str">
        <f>IF(OR(B135="история",B135="свят и личност",B135= "география",B135="химия",B135="биология",B135="физика",B135="философия"),"+","-")</f>
        <v>-</v>
      </c>
      <c r="D135" s="12" t="str">
        <f>VLOOKUP('Програма-кодове'!G16,Списък!$A$1:$C$210,3,FALSE)</f>
        <v>математика</v>
      </c>
      <c r="E135" s="45" t="str">
        <f>IF(OR(D135="история",D135="свят и личност",D135= "география",D135="химия",D135="биология",D135="физика",D135="философия"),"+","-")</f>
        <v>-</v>
      </c>
      <c r="F135" s="12" t="str">
        <f>VLOOKUP('Програма-кодове'!H16,Списък!$A$1:$C$210,3,FALSE)</f>
        <v>бълг. език</v>
      </c>
      <c r="G135" s="45" t="str">
        <f>IF(OR(F135="история",F135="свят и личност",F135= "география",F135="химия",F135="биология",F135="физика",F135="философия"),"+","-")</f>
        <v>-</v>
      </c>
      <c r="H135" s="12" t="str">
        <f>VLOOKUP('Програма-кодове'!I16,Списък!$A$1:$C$210,3,FALSE)</f>
        <v>английски език</v>
      </c>
      <c r="I135" s="45" t="str">
        <f>IF(OR(H135="история",H135="свят и личност",H135= "география",H135="химия",H135="биология",H135="физика",H135="философия"),"+","-")</f>
        <v>-</v>
      </c>
      <c r="J135" s="12" t="str">
        <f>VLOOKUP('Програма-кодове'!J16,Списък!$A$1:$C$210,3,FALSE)</f>
        <v>английски език</v>
      </c>
      <c r="K135" s="45" t="str">
        <f>IF(OR(J135="история",J135="свят и личност",J135= "география",J135="химия",J135="биология",J135="физика",J135="философия"),"+","-")</f>
        <v>-</v>
      </c>
      <c r="L135" s="46"/>
      <c r="M135" s="46"/>
      <c r="N135" s="21"/>
    </row>
    <row r="136" spans="1:41" ht="12" customHeight="1">
      <c r="A136" s="13">
        <v>2</v>
      </c>
      <c r="B136" s="12" t="str">
        <f>VLOOKUP('Програма-кодове'!F17,Списък!$A$1:$C$210,3,FALSE)</f>
        <v>бълг. език</v>
      </c>
      <c r="C136" s="45" t="str">
        <f>IF(OR(B136="математика",B136="информатика",B136="английски език",B136="немски език",B136="руски език",B136="бълг. език",B136="ІІ - ри чужд език", B136="ИТ/ДБТ"),"+","-")</f>
        <v>+</v>
      </c>
      <c r="D136" s="12" t="str">
        <f>VLOOKUP('Програма-кодове'!G17,Списък!$A$1:$C$210,3,FALSE)</f>
        <v>музика</v>
      </c>
      <c r="E136" s="45" t="str">
        <f>IF(OR(D136="математика",D136="информатика",D136="английски език",D136="немски език",D136="руски език",D136="бълг. език",D136="ІІ - ри чужд език", D136="ИТ/ДБТ"),"+","-")</f>
        <v>-</v>
      </c>
      <c r="F136" s="12" t="str">
        <f>VLOOKUP('Програма-кодове'!H17,Списък!$A$1:$C$210,3,FALSE)</f>
        <v>бълг. език</v>
      </c>
      <c r="G136" s="45" t="str">
        <f>IF(OR(F136="математика",F136="информатика",F136="английски език",F136="немски език",F136="руски език",F136="бълг. език",F136="ІІ - ри чужд език", F136="ИТ/ДБТ"),"+","-")</f>
        <v>+</v>
      </c>
      <c r="H136" s="12" t="str">
        <f>VLOOKUP('Програма-кодове'!I17,Списък!$A$1:$C$210,3,FALSE)</f>
        <v>английски език</v>
      </c>
      <c r="I136" s="45" t="str">
        <f>IF(OR(H136="математика",H136="информатика",H136="английски език",H136="немски език",H136="руски език",H136="бълг. език",H136="ІІ - ри чужд език", H136="ИТ/ДБТ"),"+","-")</f>
        <v>+</v>
      </c>
      <c r="J136" s="12" t="str">
        <f>VLOOKUP('Програма-кодове'!J17,Списък!$A$1:$C$210,3,FALSE)</f>
        <v>английски език</v>
      </c>
      <c r="K136" s="45" t="str">
        <f>IF(OR(J136="математика",J136="информатика",J136="английски език",J136="немски език",J136="руски език",J136="бълг. език",J136="ІІ - ри чужд език", J136="ИТ/ДБТ"),"+","-")</f>
        <v>+</v>
      </c>
      <c r="L136" s="46"/>
      <c r="M136" s="46"/>
      <c r="N136" s="21"/>
    </row>
    <row r="137" spans="1:41" ht="12" customHeight="1">
      <c r="A137" s="13">
        <v>3</v>
      </c>
      <c r="B137" s="12" t="str">
        <f>VLOOKUP('Програма-кодове'!F18,Списък!$A$1:$C$210,3,FALSE)</f>
        <v>английски език</v>
      </c>
      <c r="C137" s="45" t="str">
        <f t="shared" ref="C137:E138" si="1">IF(OR(B137="математика",B137="информатика",B137="английски език",B137="немски език",B137="руски език",B137="бълг. език",B137="ІІ - ри чужд език", B137="ИТ/ДБТ"),"+","-")</f>
        <v>+</v>
      </c>
      <c r="D137" s="12" t="str">
        <f>VLOOKUP('Програма-кодове'!G18,Списък!$A$1:$C$210,3,FALSE)</f>
        <v>английски език</v>
      </c>
      <c r="E137" s="45" t="str">
        <f t="shared" si="1"/>
        <v>+</v>
      </c>
      <c r="F137" s="12" t="str">
        <f>VLOOKUP('Програма-кодове'!H18,Списък!$A$1:$C$210,3,FALSE)</f>
        <v>математика</v>
      </c>
      <c r="G137" s="45" t="str">
        <f>IF(OR(F137="математика",F137="информатика",F137="английски език",F137="немски език",F137="руски език",F137="бълг. език",F137="ІІ - ри чужд език", F137="ИТ/ДБТ"),"+","-")</f>
        <v>+</v>
      </c>
      <c r="H137" s="12" t="str">
        <f>VLOOKUP('Програма-кодове'!I18,Списък!$A$1:$C$210,3,FALSE)</f>
        <v>английски език</v>
      </c>
      <c r="I137" s="45" t="str">
        <f>IF(OR(H137="математика",H137="информатика",H137="английски език",H137="немски език",H137="руски език",H137="бълг. език",H137="ІІ - ри чужд език", H137="ИТ/ДБТ"),"+","-")</f>
        <v>+</v>
      </c>
      <c r="J137" s="12" t="str">
        <f>VLOOKUP('Програма-кодове'!J18,Списък!$A$1:$C$210,3,FALSE)</f>
        <v>музика</v>
      </c>
      <c r="K137" s="45" t="str">
        <f>IF(OR(J137="математика",J137="информатика",J137="английски език",J137="немски език",J137="руски език",J137="бълг. език",J137="ІІ - ри чужд език", J137="ИТ/ДБТ"),"+","-")</f>
        <v>-</v>
      </c>
      <c r="L137" s="46"/>
      <c r="M137" s="46"/>
      <c r="N137" s="21"/>
    </row>
    <row r="138" spans="1:41" ht="12" customHeight="1">
      <c r="A138" s="13">
        <v>4</v>
      </c>
      <c r="B138" s="12" t="str">
        <f>VLOOKUP('Програма-кодове'!F19,Списък!$A$1:$C$210,3,FALSE)</f>
        <v>английски език</v>
      </c>
      <c r="C138" s="45" t="str">
        <f t="shared" si="1"/>
        <v>+</v>
      </c>
      <c r="D138" s="12" t="str">
        <f>VLOOKUP('Програма-кодове'!G19,Списък!$A$1:$C$210,3,FALSE)</f>
        <v>английски език</v>
      </c>
      <c r="E138" s="45" t="str">
        <f t="shared" si="1"/>
        <v>+</v>
      </c>
      <c r="F138" s="12" t="str">
        <f>VLOOKUP('Програма-кодове'!H19,Списък!$A$1:$C$210,3,FALSE)</f>
        <v>английски език</v>
      </c>
      <c r="G138" s="45" t="str">
        <f>IF(OR(F138="математика",F138="информатика",F138="английски език",F138="немски език",F138="руски език",F138="бълг. език",F138="ІІ - ри чужд език", F138="ИТ/ДБТ"),"+","-")</f>
        <v>+</v>
      </c>
      <c r="H138" s="12" t="str">
        <f>VLOOKUP('Програма-кодове'!I19,Списък!$A$1:$C$210,3,FALSE)</f>
        <v>английски език</v>
      </c>
      <c r="I138" s="45" t="str">
        <f>IF(OR(H138="математика",H138="информатика",H138="английски език",H138="немски език",H138="руски език",H138="бълг. език",H138="ІІ - ри чужд език", H138="ИТ/ДБТ"),"+","-")</f>
        <v>+</v>
      </c>
      <c r="J138" s="12" t="str">
        <f>VLOOKUP('Програма-кодове'!J19,Списък!$A$1:$C$210,3,FALSE)</f>
        <v>математика</v>
      </c>
      <c r="K138" s="45" t="str">
        <f>IF(OR(J138="математика",J138="информатика",J138="английски език",J138="немски език",J138="руски език",J138="бълг. език",J138="ІІ - ри чужд език", J138="ИТ/ДБТ"),"+","-")</f>
        <v>+</v>
      </c>
      <c r="L138" s="46"/>
      <c r="M138" s="46"/>
      <c r="N138" s="21"/>
    </row>
    <row r="139" spans="1:41" ht="12" customHeight="1">
      <c r="A139" s="13">
        <v>5</v>
      </c>
      <c r="B139" s="12" t="str">
        <f>VLOOKUP('Програма-кодове'!F20,Списък!$A$1:$C$210,3,FALSE)</f>
        <v>физкултура</v>
      </c>
      <c r="C139" s="45" t="str">
        <f>IF(OR(B139="математика",B139="информатика",B139="английски език",B139="немски език",B139="руски език",B139="бълг. език",B139="ІІ - ри чужд език",B139="ИТ",B139="ИТ/ДБТ",B139="история",B139="свят и личност",B139= "география",B139="химия",B139="биология",B139="физика",B139="философия"),"+","-")</f>
        <v>-</v>
      </c>
      <c r="D139" s="12" t="str">
        <f>VLOOKUP('Програма-кодове'!G20,Списък!$A$1:$C$210,3,FALSE)</f>
        <v>английски език</v>
      </c>
      <c r="E139" s="45" t="str">
        <f>IF(OR(D139="математика",D139="информатика",D139="английски език",D139="немски език",D139="руски език",D139="бълг. език",D139="ІІ - ри чужд език",D139="ИТ",D139="ИТ/ДБТ",D139="история",D139="свят и личност",D139= "география",D139="химия",D139="биология",D139="физика",D139="философия"),"+","-")</f>
        <v>+</v>
      </c>
      <c r="F139" s="12" t="str">
        <f>VLOOKUP('Програма-кодове'!H20,Списък!$A$1:$C$210,3,FALSE)</f>
        <v>английски език</v>
      </c>
      <c r="G139" s="45" t="str">
        <f>IF(OR(F139="математика",F139="информатика",F139="английски език",F139="немски език",F139="руски език",F139="бълг. език",F139="ІІ - ри чужд език",F139="ИТ",F139="ИТ/ДБТ",F139="история",F139="свят и личност",F139= "география",F139="химия",F139="биология",F139="физика",F139="философия"),"+","-")</f>
        <v>+</v>
      </c>
      <c r="H139" s="12" t="str">
        <f>VLOOKUP('Програма-кодове'!I20,Списък!$A$1:$C$210,3,FALSE)</f>
        <v>математика</v>
      </c>
      <c r="I139" s="45" t="str">
        <f>IF(OR(H139="математика",H139="информатика",H139="английски език",H139="немски език",H139="руски език",H139="бълг. език",H139="ІІ - ри чужд език",H139="ИТ",H139="ИТ/ДБТ",H139="история",H139="свят и личност",H139= "география",H139="химия",H139="биология",H139="физика",H139="философия"),"+","-")</f>
        <v>+</v>
      </c>
      <c r="J139" s="12" t="str">
        <f>VLOOKUP('Програма-кодове'!J20,Списък!$A$1:$C$210,3,FALSE)</f>
        <v>английски език</v>
      </c>
      <c r="K139" s="45" t="str">
        <f>IF(OR(J139="математика",J139="информатика",J139="английски език",J139="немски език",J139="руски език",J139="бълг. език",J139="ІІ - ри чужд език",J139="ИТ",J139="ИТ/ДБТ",J139="история",J139="свят и личност",J139= "география",J139="химия",J139="биология",J139="физика",J139="философия"),"+","-")</f>
        <v>+</v>
      </c>
      <c r="L139" s="46"/>
      <c r="M139" s="46"/>
      <c r="N139" s="21"/>
    </row>
    <row r="140" spans="1:41" ht="12" customHeight="1">
      <c r="A140" s="13">
        <v>6</v>
      </c>
      <c r="B140" s="12" t="str">
        <f>VLOOKUP('Програма-кодове'!F21,Списък!$A$1:$C$210,3,FALSE)</f>
        <v>английски език</v>
      </c>
      <c r="C140" s="45" t="str">
        <f>IF(OR(B140="физкултура",B140="музика",B140="рисуване",B140="ИТ/ДБТ",B140="домашен бит и техника"),"+","-")</f>
        <v>-</v>
      </c>
      <c r="D140" s="12" t="str">
        <f>VLOOKUP('Програма-кодове'!G21,Списък!$A$1:$C$210,3,FALSE)</f>
        <v>английски език</v>
      </c>
      <c r="E140" s="45" t="str">
        <f>IF(OR(D140="физкултура",D140="музика",D140="рисуване",D140="ИТ/ДБТ",D140="домашен бит и техника"),"+","-")</f>
        <v>-</v>
      </c>
      <c r="F140" s="12" t="str">
        <f>VLOOKUP('Програма-кодове'!H21,Списък!$A$1:$C$210,3,FALSE)</f>
        <v>английски език</v>
      </c>
      <c r="G140" s="45" t="str">
        <f>IF(OR(F140="физкултура",F140="музика",F140="рисуване",F140="ИТ/ДБТ",F140="домашен бит и техника"),"+","-")</f>
        <v>-</v>
      </c>
      <c r="H140" s="12" t="str">
        <f>VLOOKUP('Програма-кодове'!I21,Списък!$A$1:$C$210,3,FALSE)</f>
        <v>бълг. език</v>
      </c>
      <c r="I140" s="45" t="str">
        <f>IF(OR(H140="физкултура",H140="музика",H140="рисуване",H140="ИТ/ДБТ",H140="домашен бит и техника"),"+","-")</f>
        <v>-</v>
      </c>
      <c r="J140" s="12" t="str">
        <f>VLOOKUP('Програма-кодове'!J21,Списък!$A$1:$C$210,3,FALSE)</f>
        <v>английски език</v>
      </c>
      <c r="K140" s="45" t="str">
        <f>IF(OR(J140="физкултура",J140="музика",J140="рисуване",J140="ИТ/ДБТ",J140="домашен бит и техника"),"+","-")</f>
        <v>-</v>
      </c>
      <c r="L140" s="46"/>
      <c r="M140" s="46"/>
      <c r="N140" s="21"/>
    </row>
    <row r="141" spans="1:41" ht="12" customHeight="1">
      <c r="A141" s="13">
        <v>7</v>
      </c>
      <c r="B141" s="12" t="s">
        <v>59</v>
      </c>
      <c r="C141" s="45" t="str">
        <f>IF(OR(B141="история",B141="свят и личност",B141= "география",B141="химия",B141="биология",B141="физика",B141="философия"),"+","-")</f>
        <v>-</v>
      </c>
      <c r="D141" s="12" t="s">
        <v>59</v>
      </c>
      <c r="E141" s="45" t="str">
        <f>IF(OR(D141="история",D141="свят и личност",D141= "география",D141="химия",D141="биология",D141="физика",D141="философия"),"+","-")</f>
        <v>-</v>
      </c>
      <c r="F141" s="12" t="s">
        <v>59</v>
      </c>
      <c r="G141" s="45" t="str">
        <f>IF(OR(F141="история",F141="свят и личност",F141= "география",F141="химия",F141="биология",F141="физика",F141="философия"),"+","-")</f>
        <v>-</v>
      </c>
      <c r="H141" s="12" t="s">
        <v>59</v>
      </c>
      <c r="I141" s="45" t="str">
        <f>IF(OR(H141="история",H141="свят и личност",H141= "география",H141="химия",H141="биология",H141="физика",H141="философия"),"+","-")</f>
        <v>-</v>
      </c>
      <c r="J141" s="12" t="s">
        <v>59</v>
      </c>
      <c r="K141" s="45" t="str">
        <f>IF(OR(J141="история",J141="свят и личност",J141= "география",J141="химия",J141="биология",J141="физика",J141="философия"),"+","-")</f>
        <v>-</v>
      </c>
      <c r="L141" s="46"/>
      <c r="M141" s="46"/>
      <c r="N141" s="21"/>
    </row>
    <row r="142" spans="1:41" ht="12" customHeight="1">
      <c r="B142" s="61"/>
      <c r="C142" s="60">
        <f>COUNTIF(C135:C141,"+")/7</f>
        <v>0.42857142857142855</v>
      </c>
      <c r="D142" s="61"/>
      <c r="E142" s="60">
        <f>COUNTIF(E135:E141,"+")/7</f>
        <v>0.42857142857142855</v>
      </c>
      <c r="F142" s="61"/>
      <c r="G142" s="60">
        <f>COUNTIF(G135:G141,"+")/7</f>
        <v>0.5714285714285714</v>
      </c>
      <c r="H142" s="61"/>
      <c r="I142" s="60">
        <f>COUNTIF(I135:I141,"+")/7</f>
        <v>0.5714285714285714</v>
      </c>
      <c r="J142" s="61"/>
      <c r="K142" s="60">
        <f>COUNTIF(K135:K141,"+")/7</f>
        <v>0.42857142857142855</v>
      </c>
      <c r="L142" s="46" t="s">
        <v>95</v>
      </c>
      <c r="M142" s="47">
        <f>(C142+E142+G142+I142+K142)/5</f>
        <v>0.48571428571428565</v>
      </c>
      <c r="N142" s="21"/>
    </row>
    <row r="143" spans="1:41" ht="1.5" customHeight="1">
      <c r="A143" s="14"/>
      <c r="B143" s="15"/>
      <c r="C143" s="15"/>
      <c r="D143" s="15"/>
      <c r="E143" s="15"/>
      <c r="F143" s="15"/>
      <c r="G143" s="15"/>
      <c r="H143" s="15"/>
      <c r="I143" s="15"/>
      <c r="J143" s="15"/>
      <c r="L143" s="46"/>
      <c r="M143" s="46"/>
      <c r="N143" s="21"/>
    </row>
    <row r="144" spans="1:41" s="13" customFormat="1" ht="12" customHeight="1">
      <c r="B144" s="13" t="s">
        <v>5</v>
      </c>
      <c r="D144" s="13" t="s">
        <v>6</v>
      </c>
      <c r="F144" s="13" t="s">
        <v>7</v>
      </c>
      <c r="H144" s="13" t="s">
        <v>8</v>
      </c>
      <c r="J144" s="13" t="s">
        <v>9</v>
      </c>
      <c r="K144" s="12"/>
      <c r="L144" s="46"/>
      <c r="M144" s="46"/>
      <c r="N144" s="21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2" customHeight="1">
      <c r="A145" s="13">
        <v>1</v>
      </c>
      <c r="B145" s="12" t="str">
        <f>VLOOKUP('Програма-кодове'!K16,Списък!$A$1:$C$209,3,FALSE)</f>
        <v>физика</v>
      </c>
      <c r="C145" s="45" t="str">
        <f>IF(OR(B145="история",B145="свят и личност",B145= "география",B145="химия",B145="биология",B145="физика",B145="философия"),"+","-")</f>
        <v>+</v>
      </c>
      <c r="D145" s="12" t="str">
        <f>VLOOKUP('Програма-кодове'!L16,Списък!$A$1:$C$209,3,FALSE)</f>
        <v>информатика</v>
      </c>
      <c r="E145" s="45" t="str">
        <f>IF(OR(D145="история",D145="свят и личност",D145= "география",D145="химия",D145="биология",D145="физика",D145="философия"),"+","-")</f>
        <v>-</v>
      </c>
      <c r="F145" s="12" t="str">
        <f>VLOOKUP('Програма-кодове'!M16,Списък!$A$1:$C$209,3,FALSE)</f>
        <v>философия</v>
      </c>
      <c r="G145" s="45" t="str">
        <f>IF(OR(F145="история",F145="свят и личност",F145= "география",F145="химия",F145="биология",F145="физика",F145="философия"),"+","-")</f>
        <v>+</v>
      </c>
      <c r="H145" s="12" t="str">
        <f>VLOOKUP('Програма-кодове'!N16,Списък!$A$1:$C$209,3,FALSE)</f>
        <v>математика</v>
      </c>
      <c r="I145" s="45" t="str">
        <f>IF(OR(H145="история",H145="свят и личност",H145= "география",H145="химия",H145="биология",H145="физика",H145="философия"),"+","-")</f>
        <v>-</v>
      </c>
      <c r="J145" s="12" t="str">
        <f>VLOOKUP('Програма-кодове'!O16,Списък!$A$1:$C$209,3,FALSE)</f>
        <v>английски език</v>
      </c>
      <c r="K145" s="45" t="str">
        <f>IF(OR(J145="история",J145="свят и личност",J145= "география",J145="химия",J145="биология",J145="физика",J145="философия"),"+","-")</f>
        <v>-</v>
      </c>
      <c r="L145" s="46"/>
      <c r="M145" s="46"/>
      <c r="N145" s="21"/>
    </row>
    <row r="146" spans="1:41" ht="12" customHeight="1">
      <c r="A146" s="13">
        <v>2</v>
      </c>
      <c r="B146" s="12" t="str">
        <f>VLOOKUP('Програма-кодове'!K17,Списък!$A$1:$C$209,3,FALSE)</f>
        <v>информатика</v>
      </c>
      <c r="C146" s="45" t="str">
        <f>IF(OR(B146="математика",B146="информатика",B146="английски език",B146="немски език",B146="руски език",B146="бълг. език",B146="ІІ - ри чужд език", B146="ИТ/ДБТ"),"+","-")</f>
        <v>+</v>
      </c>
      <c r="D146" s="12" t="str">
        <f>VLOOKUP('Програма-кодове'!L17,Списък!$A$1:$C$209,3,FALSE)</f>
        <v>история</v>
      </c>
      <c r="E146" s="45" t="str">
        <f>IF(OR(D146="математика",D146="информатика",D146="английски език",D146="немски език",D146="руски език",D146="бълг. език",D146="ІІ - ри чужд език", D146="ИТ/ДБТ"),"+","-")</f>
        <v>-</v>
      </c>
      <c r="F146" s="12" t="str">
        <f>VLOOKUP('Програма-кодове'!M17,Списък!$A$1:$C$209,3,FALSE)</f>
        <v>физика</v>
      </c>
      <c r="G146" s="45" t="str">
        <f>IF(OR(F146="математика",F146="информатика",F146="английски език",F146="немски език",F146="руски език",F146="бълг. език",F146="ІІ - ри чужд език", F146="ИТ/ДБТ"),"+","-")</f>
        <v>-</v>
      </c>
      <c r="H146" s="12" t="str">
        <f>VLOOKUP('Програма-кодове'!N17,Списък!$A$1:$C$209,3,FALSE)</f>
        <v>английски език</v>
      </c>
      <c r="I146" s="45" t="str">
        <f>IF(OR(H146="математика",H146="информатика",H146="английски език",H146="немски език",H146="руски език",H146="бълг. език",H146="ІІ - ри чужд език", H146="ИТ/ДБТ"),"+","-")</f>
        <v>+</v>
      </c>
      <c r="J146" s="12" t="str">
        <f>VLOOKUP('Програма-кодове'!O17,Списък!$A$1:$C$209,3,FALSE)</f>
        <v>философия</v>
      </c>
      <c r="K146" s="45" t="str">
        <f>IF(OR(J146="математика",J146="информатика",J146="английски език",J146="немски език",J146="руски език",J146="бълг. език",J146="ІІ - ри чужд език", J146="ИТ/ДБТ"),"+","-")</f>
        <v>-</v>
      </c>
      <c r="L146" s="46"/>
      <c r="M146" s="46"/>
      <c r="N146" s="21"/>
    </row>
    <row r="147" spans="1:41" ht="12" customHeight="1">
      <c r="A147" s="13">
        <v>3</v>
      </c>
      <c r="B147" s="12" t="str">
        <f>VLOOKUP('Програма-кодове'!K18,Списък!$A$1:$C$209,3,FALSE)</f>
        <v>история</v>
      </c>
      <c r="C147" s="45" t="str">
        <f>IF(OR(B147="математика",B147="информатика",B147="английски език",B147="немски език",B147="руски език",B147="бълг. език",B147="ІІ - ри чужд език", B147="ИТ/ДБТ"),"+","-")</f>
        <v>-</v>
      </c>
      <c r="D147" s="12" t="str">
        <f>VLOOKUP('Програма-кодове'!L18,Списък!$A$1:$C$209,3,FALSE)</f>
        <v>математика</v>
      </c>
      <c r="E147" s="45" t="str">
        <f>IF(OR(D147="математика",D147="информатика",D147="английски език",D147="немски език",D147="руски език",D147="бълг. език",D147="ІІ - ри чужд език", D147="ИТ/ДБТ"),"+","-")</f>
        <v>+</v>
      </c>
      <c r="F147" s="12" t="str">
        <f>VLOOKUP('Програма-кодове'!M18,Списък!$A$1:$C$209,3,FALSE)</f>
        <v>английски език</v>
      </c>
      <c r="G147" s="45" t="str">
        <f>IF(OR(F147="математика",F147="информатика",F147="английски език",F147="немски език",F147="руски език",F147="бълг. език",F147="ІІ - ри чужд език", F147="ИТ/ДБТ"),"+","-")</f>
        <v>+</v>
      </c>
      <c r="H147" s="12" t="str">
        <f>VLOOKUP('Програма-кодове'!N18,Списък!$A$1:$C$209,3,FALSE)</f>
        <v>философия</v>
      </c>
      <c r="I147" s="45" t="str">
        <f>IF(OR(H147="математика",H147="информатика",H147="английски език",H147="немски език",H147="руски език",H147="бълг. език",H147="ІІ - ри чужд език", H147="ИТ/ДБТ"),"+","-")</f>
        <v>-</v>
      </c>
      <c r="J147" s="12" t="str">
        <f>VLOOKUP('Програма-кодове'!O18,Списък!$A$1:$C$209,3,FALSE)</f>
        <v>физика</v>
      </c>
      <c r="K147" s="45" t="str">
        <f>IF(OR(J147="математика",J147="информатика",J147="английски език",J147="немски език",J147="руски език",J147="бълг. език",J147="ІІ - ри чужд език", J147="ИТ/ДБТ"),"+","-")</f>
        <v>-</v>
      </c>
      <c r="L147" s="46"/>
      <c r="M147" s="46"/>
      <c r="N147" s="21"/>
    </row>
    <row r="148" spans="1:41" ht="12" customHeight="1">
      <c r="A148" s="13">
        <v>4</v>
      </c>
      <c r="B148" s="12" t="str">
        <f>VLOOKUP('Програма-кодове'!K19,Списък!$A$1:$C$209,3,FALSE)</f>
        <v>физкултура</v>
      </c>
      <c r="C148" s="45" t="str">
        <f>IF(OR(B148="математика",B148="информатика",B148="английски език",B148="немски език",B148="руски език",B148="бълг. език",B148="ІІ - ри чужд език", B148="ИТ/ДБТ"),"+","-")</f>
        <v>-</v>
      </c>
      <c r="D148" s="12" t="str">
        <f>VLOOKUP('Програма-кодове'!L19,Списък!$A$1:$C$209,3,FALSE)</f>
        <v>английски език</v>
      </c>
      <c r="E148" s="45" t="str">
        <f>IF(OR(D148="математика",D148="информатика",D148="английски език",D148="немски език",D148="руски език",D148="бълг. език",D148="ІІ - ри чужд език", D148="ИТ/ДБТ"),"+","-")</f>
        <v>+</v>
      </c>
      <c r="F148" s="12" t="str">
        <f>VLOOKUP('Програма-кодове'!M19,Списък!$A$1:$C$209,3,FALSE)</f>
        <v>история</v>
      </c>
      <c r="G148" s="45" t="str">
        <f>IF(OR(F148="математика",F148="информатика",F148="английски език",F148="немски език",F148="руски език",F148="бълг. език",F148="ІІ - ри чужд език", F148="ИТ/ДБТ"),"+","-")</f>
        <v>-</v>
      </c>
      <c r="H148" s="12" t="str">
        <f>VLOOKUP('Програма-кодове'!N19,Списък!$A$1:$C$209,3,FALSE)</f>
        <v>история</v>
      </c>
      <c r="I148" s="45" t="str">
        <f>IF(OR(H148="математика",H148="информатика",H148="английски език",H148="немски език",H148="руски език",H148="бълг. език",H148="ІІ - ри чужд език", H148="ИТ/ДБТ"),"+","-")</f>
        <v>-</v>
      </c>
      <c r="J148" s="12" t="str">
        <f>VLOOKUP('Програма-кодове'!O19,Списък!$A$1:$C$209,3,FALSE)</f>
        <v>математика</v>
      </c>
      <c r="K148" s="45" t="str">
        <f>IF(OR(J148="математика",J148="информатика",J148="английски език",J148="немски език",J148="руски език",J148="бълг. език",J148="ІІ - ри чужд език", J148="ИТ/ДБТ"),"+","-")</f>
        <v>+</v>
      </c>
      <c r="L148" s="46"/>
      <c r="M148" s="46"/>
      <c r="N148" s="21"/>
    </row>
    <row r="149" spans="1:41" ht="12" customHeight="1">
      <c r="A149" s="13">
        <v>5</v>
      </c>
      <c r="B149" s="12" t="str">
        <f>VLOOKUP('Програма-кодове'!K20,Списък!$A$1:$C$209,3,FALSE)</f>
        <v>биология</v>
      </c>
      <c r="C149" s="45" t="str">
        <f>IF(OR(B149="математика",B149="информатика",B149="английски език",B149="немски език",B149="руски език",B149="бълг. език",B149="ІІ - ри чужд език",B149="ИТ",B149="ИТ/ДБТ",B149="история",B149="свят и личност",B149= "география",B149="химия",B149="биология",B149="физика",B149="философия"),"+","-")</f>
        <v>+</v>
      </c>
      <c r="D149" s="12" t="str">
        <f>VLOOKUP('Програма-кодове'!L20,Списък!$A$1:$C$209,3,FALSE)</f>
        <v>английски език</v>
      </c>
      <c r="E149" s="45" t="str">
        <f>IF(OR(D149="математика",D149="информатика",D149="английски език",D149="немски език",D149="руски език",D149="бълг. език",D149="ІІ - ри чужд език",D149="ИТ",D149="ИТ/ДБТ",D149="история",D149="свят и личност",D149= "география",D149="химия",D149="биология",D149="физика",D149="философия"),"+","-")</f>
        <v>+</v>
      </c>
      <c r="F149" s="12" t="str">
        <f>VLOOKUP('Програма-кодове'!M20,Списък!$A$1:$C$209,3,FALSE)</f>
        <v>математика</v>
      </c>
      <c r="G149" s="45" t="str">
        <f>IF(OR(F149="математика",F149="информатика",F149="английски език",F149="немски език",F149="руски език",F149="бълг. език",F149="ІІ - ри чужд език",F149="ИТ",F149="ИТ/ДБТ",F149="история",F149="свят и личност",F149= "география",F149="химия",F149="биология",F149="физика",F149="философия"),"+","-")</f>
        <v>+</v>
      </c>
      <c r="H149" s="12" t="str">
        <f>VLOOKUP('Програма-кодове'!N20,Списък!$A$1:$C$209,3,FALSE)</f>
        <v>химия</v>
      </c>
      <c r="I149" s="45" t="str">
        <f>IF(OR(H149="математика",H149="информатика",H149="английски език",H149="немски език",H149="руски език",H149="бълг. език",H149="ІІ - ри чужд език",H149="ИТ",H149="ИТ/ДБТ",H149="история",H149="свят и личност",H149= "география",H149="химия",H149="биология",H149="физика",H149="философия"),"+","-")</f>
        <v>+</v>
      </c>
      <c r="J149" s="12" t="str">
        <f>VLOOKUP('Програма-кодове'!O20,Списък!$A$1:$C$209,3,FALSE)</f>
        <v>рисуване</v>
      </c>
      <c r="K149" s="45" t="str">
        <f>IF(OR(J149="математика",J149="информатика",J149="английски език",J149="немски език",J149="руски език",J149="бълг. език",J149="ІІ - ри чужд език",J149="ИТ",J149="ИТ/ДБТ",J149="история",J149="свят и личност",J149= "география",J149="химия",J149="биология",J149="физика",J149="философия"),"+","-")</f>
        <v>-</v>
      </c>
      <c r="L149" s="46"/>
      <c r="M149" s="46"/>
      <c r="N149" s="21"/>
    </row>
    <row r="150" spans="1:41" ht="12" customHeight="1">
      <c r="A150" s="13">
        <v>6</v>
      </c>
      <c r="B150" s="12" t="str">
        <f>VLOOKUP('Програма-кодове'!K21,Списък!$A$1:$C$209,3,FALSE)</f>
        <v>математика</v>
      </c>
      <c r="C150" s="45" t="str">
        <f>IF(OR(B150="физкултура",B150="музика",B150="рисуване",B150="ИТ/ДБТ",B150="домашен бит и техника"),"+","-")</f>
        <v>-</v>
      </c>
      <c r="D150" s="12" t="str">
        <f>VLOOKUP('Програма-кодове'!L21,Списък!$A$1:$C$209,3,FALSE)</f>
        <v>физика</v>
      </c>
      <c r="E150" s="45" t="str">
        <f>IF(OR(D150="физкултура",D150="музика",D150="рисуване",D150="ИТ/ДБТ",D150="домашен бит и техника"),"+","-")</f>
        <v>-</v>
      </c>
      <c r="F150" s="12" t="str">
        <f>VLOOKUP('Програма-кодове'!M21,Списък!$A$1:$C$209,3,FALSE)</f>
        <v>математика</v>
      </c>
      <c r="G150" s="45" t="str">
        <f>IF(OR(F150="физкултура",F150="музика",F150="рисуване",F150="ИТ/ДБТ",F150="домашен бит и техника"),"+","-")</f>
        <v>-</v>
      </c>
      <c r="H150" s="12" t="str">
        <f>VLOOKUP('Програма-кодове'!N21,Списък!$A$1:$C$209,3,FALSE)</f>
        <v>рисуване</v>
      </c>
      <c r="I150" s="45" t="str">
        <f>IF(OR(H150="физкултура",H150="музика",H150="рисуване",H150="ИТ/ДБТ",H150="домашен бит и техника"),"+","-")</f>
        <v>+</v>
      </c>
      <c r="J150" s="12" t="str">
        <f>VLOOKUP('Програма-кодове'!O21,Списък!$A$1:$C$209,3,FALSE)</f>
        <v>история</v>
      </c>
      <c r="K150" s="45" t="str">
        <f>IF(OR(J150="физкултура",J150="музика",J150="рисуване",J150="ИТ/ДБТ",J150="домашен бит и техника"),"+","-")</f>
        <v>-</v>
      </c>
      <c r="L150" s="46"/>
      <c r="M150" s="46"/>
      <c r="N150" s="21"/>
    </row>
    <row r="151" spans="1:41" ht="12" customHeight="1">
      <c r="A151" s="13">
        <v>7</v>
      </c>
      <c r="B151" s="12" t="s">
        <v>59</v>
      </c>
      <c r="C151" s="45" t="str">
        <f>IF(OR(B151="история",B151="свят и личност",B151= "география",B151="химия",B151="биология",B151="физика",B151="философия"),"+","-")</f>
        <v>-</v>
      </c>
      <c r="D151" s="12" t="s">
        <v>59</v>
      </c>
      <c r="E151" s="45" t="str">
        <f>IF(OR(D151="история",D151="свят и личност",D151= "география",D151="химия",D151="биология",D151="физика",D151="философия"),"+","-")</f>
        <v>-</v>
      </c>
      <c r="F151" s="12" t="s">
        <v>59</v>
      </c>
      <c r="G151" s="45" t="str">
        <f>IF(OR(F151="история",F151="свят и личност",F151= "география",F151="химия",F151="биология",F151="физика",F151="философия"),"+","-")</f>
        <v>-</v>
      </c>
      <c r="H151" s="12" t="s">
        <v>59</v>
      </c>
      <c r="I151" s="45" t="str">
        <f>IF(OR(H151="история",H151="свят и личност",H151= "география",H151="химия",H151="биология",H151="физика",H151="философия"),"+","-")</f>
        <v>-</v>
      </c>
      <c r="J151" s="12" t="s">
        <v>59</v>
      </c>
      <c r="K151" s="45" t="str">
        <f>IF(OR(J151="история",J151="свят и личност",J151= "география",J151="химия",J151="биология",J151="физика",J151="философия"),"+","-")</f>
        <v>-</v>
      </c>
      <c r="L151" s="46"/>
      <c r="M151" s="46"/>
      <c r="N151" s="21"/>
    </row>
    <row r="152" spans="1:41" ht="12" customHeight="1">
      <c r="B152" s="61"/>
      <c r="C152" s="60">
        <f>COUNTIF(C145:C151,"+")/7</f>
        <v>0.42857142857142855</v>
      </c>
      <c r="D152" s="61"/>
      <c r="E152" s="60">
        <f>COUNTIF(E145:E151,"+")/7</f>
        <v>0.42857142857142855</v>
      </c>
      <c r="F152" s="61"/>
      <c r="G152" s="60">
        <f>COUNTIF(G145:G151,"+")/7</f>
        <v>0.42857142857142855</v>
      </c>
      <c r="H152" s="61"/>
      <c r="I152" s="60">
        <f>COUNTIF(I145:I151,"+")/7</f>
        <v>0.42857142857142855</v>
      </c>
      <c r="J152" s="61"/>
      <c r="K152" s="60">
        <f>COUNTIF(K145:K151,"+")/7</f>
        <v>0.14285714285714285</v>
      </c>
      <c r="L152" s="46" t="s">
        <v>95</v>
      </c>
      <c r="M152" s="47">
        <f>(C152+E152+G152+I152+K152)/5</f>
        <v>0.37142857142857139</v>
      </c>
      <c r="N152" s="64"/>
    </row>
    <row r="153" spans="1:41" ht="1.5" customHeight="1">
      <c r="A153" s="14"/>
      <c r="B153" s="15"/>
      <c r="C153" s="15"/>
      <c r="D153" s="15"/>
      <c r="E153" s="15"/>
      <c r="F153" s="15"/>
      <c r="G153" s="15"/>
      <c r="H153" s="15"/>
      <c r="I153" s="15"/>
      <c r="J153" s="15"/>
      <c r="L153" s="46"/>
      <c r="M153" s="46"/>
      <c r="N153" s="21"/>
    </row>
    <row r="154" spans="1:41" s="13" customFormat="1" ht="12" customHeight="1">
      <c r="B154" s="13" t="s">
        <v>10</v>
      </c>
      <c r="D154" s="13" t="s">
        <v>11</v>
      </c>
      <c r="F154" s="13" t="s">
        <v>12</v>
      </c>
      <c r="H154" s="13" t="s">
        <v>13</v>
      </c>
      <c r="J154" s="13" t="s">
        <v>14</v>
      </c>
      <c r="K154" s="12"/>
      <c r="L154" s="46"/>
      <c r="M154" s="46"/>
      <c r="N154" s="21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2" customHeight="1">
      <c r="A155" s="13">
        <v>1</v>
      </c>
      <c r="B155" s="12" t="str">
        <f>VLOOKUP('Програма-кодове'!P16,Списък!$A$1:$C$209,3,FALSE)</f>
        <v>химия</v>
      </c>
      <c r="C155" s="45" t="str">
        <f>IF(OR(B155="история",B155="свят и личност",B155= "география",B155="химия",B155="биология",B155="физика",B155="философия"),"+","-")</f>
        <v>+</v>
      </c>
      <c r="D155" s="12" t="str">
        <f>VLOOKUP('Програма-кодове'!Q16,Списък!$A$1:$C$209,3,FALSE)</f>
        <v>английски език</v>
      </c>
      <c r="E155" s="45" t="str">
        <f>IF(OR(D155="история",D155="свят и личност",D155= "география",D155="химия",D155="биология",D155="физика",D155="философия"),"+","-")</f>
        <v>-</v>
      </c>
      <c r="F155" s="12" t="str">
        <f>VLOOKUP('Програма-кодове'!R16,Списък!$A$1:$C$209,3,FALSE)</f>
        <v>информатика</v>
      </c>
      <c r="G155" s="45" t="str">
        <f>IF(OR(F155="история",F155="свят и личност",F155= "география",F155="химия",F155="биология",F155="физика",F155="философия"),"+","-")</f>
        <v>-</v>
      </c>
      <c r="H155" s="12" t="str">
        <f>VLOOKUP('Програма-кодове'!S16,Списък!$A$1:$C$209,3,FALSE)</f>
        <v>биология</v>
      </c>
      <c r="I155" s="45" t="str">
        <f>IF(OR(H155="история",H155="свят и личност",H155= "география",H155="химия",H155="биология",H155="физика",H155="философия"),"+","-")</f>
        <v>+</v>
      </c>
      <c r="J155" s="12" t="str">
        <f>VLOOKUP('Програма-кодове'!T16,Списък!$A$1:$C$209,3,FALSE)</f>
        <v>история</v>
      </c>
      <c r="K155" s="45" t="str">
        <f>IF(OR(J155="история",J155="свят и личност",J155= "география",J155="химия",J155="биология",J155="физика",J155="философия"),"+","-")</f>
        <v>+</v>
      </c>
      <c r="L155" s="46"/>
      <c r="M155" s="46"/>
      <c r="N155" s="21"/>
    </row>
    <row r="156" spans="1:41" ht="12" customHeight="1">
      <c r="A156" s="13">
        <v>2</v>
      </c>
      <c r="B156" s="12" t="str">
        <f>VLOOKUP('Програма-кодове'!P17,Списък!$A$1:$C$209,3,FALSE)</f>
        <v>история</v>
      </c>
      <c r="C156" s="45" t="str">
        <f>IF(OR(B156="математика",B156="информатика",B156="английски език",B156="немски език",B156="руски език",B156="бълг. език",B156="ІІ - ри чужд език", B156="ИТ/ДБТ"),"+","-")</f>
        <v>-</v>
      </c>
      <c r="D156" s="12" t="str">
        <f>VLOOKUP('Програма-кодове'!Q17,Списък!$A$1:$C$209,3,FALSE)</f>
        <v>история</v>
      </c>
      <c r="E156" s="45" t="str">
        <f>IF(OR(D156="математика",D156="информатика",D156="английски език",D156="немски език",D156="руски език",D156="бълг. език",D156="ІІ - ри чужд език", D156="ИТ/ДБТ"),"+","-")</f>
        <v>-</v>
      </c>
      <c r="F156" s="12" t="str">
        <f>VLOOKUP('Програма-кодове'!R17,Списък!$A$1:$C$209,3,FALSE)</f>
        <v>математика</v>
      </c>
      <c r="G156" s="45" t="str">
        <f>IF(OR(F156="математика",F156="информатика",F156="английски език",F156="немски език",F156="руски език",F156="бълг. език",F156="ІІ - ри чужд език", F156="ИТ/ДБТ"),"+","-")</f>
        <v>+</v>
      </c>
      <c r="H156" s="12" t="str">
        <f>VLOOKUP('Програма-кодове'!S17,Списък!$A$1:$C$209,3,FALSE)</f>
        <v>информатика</v>
      </c>
      <c r="I156" s="45" t="str">
        <f>IF(OR(H156="математика",H156="информатика",H156="английски език",H156="немски език",H156="руски език",H156="бълг. език",H156="ІІ - ри чужд език", H156="ИТ/ДБТ"),"+","-")</f>
        <v>+</v>
      </c>
      <c r="J156" s="12" t="str">
        <f>VLOOKUP('Програма-кодове'!T17,Списък!$A$1:$C$209,3,FALSE)</f>
        <v>биология</v>
      </c>
      <c r="K156" s="45" t="str">
        <f>IF(OR(J156="математика",J156="информатика",J156="английски език",J156="немски език",J156="руски език",J156="бълг. език",J156="ІІ - ри чужд език", J156="ИТ/ДБТ"),"+","-")</f>
        <v>-</v>
      </c>
      <c r="L156" s="46"/>
      <c r="M156" s="46"/>
      <c r="N156" s="21"/>
    </row>
    <row r="157" spans="1:41" ht="12" customHeight="1">
      <c r="A157" s="13">
        <v>3</v>
      </c>
      <c r="B157" s="12" t="str">
        <f>VLOOKUP('Програма-кодове'!P18,Списък!$A$1:$C$209,3,FALSE)</f>
        <v>математика</v>
      </c>
      <c r="C157" s="45" t="str">
        <f>IF(OR(B157="математика",B157="информатика",B157="английски език",B157="немски език",B157="руски език",B157="бълг. език",B157="ІІ - ри чужд език", B157="ИТ/ДБТ"),"+","-")</f>
        <v>+</v>
      </c>
      <c r="D157" s="12" t="str">
        <f>VLOOKUP('Програма-кодове'!Q18,Списък!$A$1:$C$209,3,FALSE)</f>
        <v>информатика</v>
      </c>
      <c r="E157" s="45" t="str">
        <f>IF(OR(D157="математика",D157="информатика",D157="английски език",D157="немски език",D157="руски език",D157="бълг. език",D157="ІІ - ри чужд език", D157="ИТ/ДБТ"),"+","-")</f>
        <v>+</v>
      </c>
      <c r="F157" s="12" t="str">
        <f>VLOOKUP('Програма-кодове'!R18,Списък!$A$1:$C$209,3,FALSE)</f>
        <v>история</v>
      </c>
      <c r="G157" s="45" t="str">
        <f>IF(OR(F157="математика",F157="информатика",F157="английски език",F157="немски език",F157="руски език",F157="бълг. език",F157="ІІ - ри чужд език", F157="ИТ/ДБТ"),"+","-")</f>
        <v>-</v>
      </c>
      <c r="H157" s="12" t="str">
        <f>VLOOKUP('Програма-кодове'!S18,Списък!$A$1:$C$209,3,FALSE)</f>
        <v>математика</v>
      </c>
      <c r="I157" s="45" t="str">
        <f>IF(OR(H157="математика",H157="информатика",H157="английски език",H157="немски език",H157="руски език",H157="бълг. език",H157="ІІ - ри чужд език", H157="ИТ/ДБТ"),"+","-")</f>
        <v>+</v>
      </c>
      <c r="J157" s="12" t="str">
        <f>VLOOKUP('Програма-кодове'!T18,Списък!$A$1:$C$209,3,FALSE)</f>
        <v>английски език</v>
      </c>
      <c r="K157" s="45" t="str">
        <f>IF(OR(J157="математика",J157="информатика",J157="английски език",J157="немски език",J157="руски език",J157="бълг. език",J157="ІІ - ри чужд език", J157="ИТ/ДБТ"),"+","-")</f>
        <v>+</v>
      </c>
      <c r="L157" s="46"/>
      <c r="M157" s="46"/>
      <c r="N157" s="21"/>
    </row>
    <row r="158" spans="1:41" ht="12" customHeight="1">
      <c r="A158" s="13">
        <v>4</v>
      </c>
      <c r="B158" s="12" t="str">
        <f>VLOOKUP('Програма-кодове'!P19,Списък!$A$1:$C$209,3,FALSE)</f>
        <v>информатика</v>
      </c>
      <c r="C158" s="45" t="str">
        <f>IF(OR(B158="математика",B158="информатика",B158="английски език",B158="немски език",B158="руски език",B158="бълг. език",B158="ІІ - ри чужд език", B158="ИТ/ДБТ"),"+","-")</f>
        <v>+</v>
      </c>
      <c r="D158" s="12" t="str">
        <f>VLOOKUP('Програма-кодове'!Q19,Списък!$A$1:$C$209,3,FALSE)</f>
        <v>физика</v>
      </c>
      <c r="E158" s="45" t="str">
        <f>IF(OR(D158="математика",D158="информатика",D158="английски език",D158="немски език",D158="руски език",D158="бълг. език",D158="ІІ - ри чужд език", D158="ИТ/ДБТ"),"+","-")</f>
        <v>-</v>
      </c>
      <c r="F158" s="12" t="str">
        <f>VLOOKUP('Програма-кодове'!R19,Списък!$A$1:$C$209,3,FALSE)</f>
        <v>физкултура</v>
      </c>
      <c r="G158" s="45" t="str">
        <f>IF(OR(F158="математика",F158="информатика",F158="английски език",F158="немски език",F158="руски език",F158="бълг. език",F158="ІІ - ри чужд език", F158="ИТ/ДБТ"),"+","-")</f>
        <v>-</v>
      </c>
      <c r="H158" s="12" t="str">
        <f>VLOOKUP('Програма-кодове'!S19,Списък!$A$1:$C$209,3,FALSE)</f>
        <v>физика</v>
      </c>
      <c r="I158" s="45" t="str">
        <f>IF(OR(H158="математика",H158="информатика",H158="английски език",H158="немски език",H158="руски език",H158="бълг. език",H158="ІІ - ри чужд език", H158="ИТ/ДБТ"),"+","-")</f>
        <v>-</v>
      </c>
      <c r="J158" s="12" t="str">
        <f>VLOOKUP('Програма-кодове'!T19,Списък!$A$1:$C$209,3,FALSE)</f>
        <v>английски език</v>
      </c>
      <c r="K158" s="45" t="str">
        <f>IF(OR(J158="математика",J158="информатика",J158="английски език",J158="немски език",J158="руски език",J158="бълг. език",J158="ІІ - ри чужд език", J158="ИТ/ДБТ"),"+","-")</f>
        <v>+</v>
      </c>
      <c r="L158" s="46"/>
      <c r="M158" s="46"/>
      <c r="N158" s="21"/>
    </row>
    <row r="159" spans="1:41" ht="12" customHeight="1">
      <c r="A159" s="13">
        <v>5</v>
      </c>
      <c r="B159" s="12" t="str">
        <f>VLOOKUP('Програма-кодове'!P20,Списък!$A$1:$C$209,3,FALSE)</f>
        <v>философия</v>
      </c>
      <c r="C159" s="45" t="str">
        <f>IF(OR(B159="математика",B159="информатика",B159="английски език",B159="немски език",B159="руски език",B159="бълг. език",B159="ІІ - ри чужд език",B159="ИТ",B159="ИТ/ДБТ",B159="история",B159="свят и личност",B159= "география",B159="химия",B159="биология",B159="физика",B159="философия"),"+","-")</f>
        <v>+</v>
      </c>
      <c r="D159" s="12" t="str">
        <f>VLOOKUP('Програма-кодове'!Q20,Списък!$A$1:$C$209,3,FALSE)</f>
        <v>математика</v>
      </c>
      <c r="E159" s="45" t="str">
        <f>IF(OR(D159="математика",D159="информатика",D159="английски език",D159="немски език",D159="руски език",D159="бълг. език",D159="ІІ - ри чужд език",D159="ИТ",D159="ИТ/ДБТ",D159="история",D159="свят и личност",D159= "география",D159="химия",D159="биология",D159="физика",D159="философия"),"+","-")</f>
        <v>+</v>
      </c>
      <c r="F159" s="12" t="str">
        <f>VLOOKUP('Програма-кодове'!R20,Списък!$A$1:$C$209,3,FALSE)</f>
        <v>бълг. език</v>
      </c>
      <c r="G159" s="45" t="str">
        <f>IF(OR(F159="математика",F159="информатика",F159="английски език",F159="немски език",F159="руски език",F159="бълг. език",F159="ІІ - ри чужд език",F159="ИТ",F159="ИТ/ДБТ",F159="история",F159="свят и личност",F159= "география",F159="химия",F159="биология",F159="физика",F159="философия"),"+","-")</f>
        <v>+</v>
      </c>
      <c r="H159" s="12" t="str">
        <f>VLOOKUP('Програма-кодове'!S20,Списък!$A$1:$C$209,3,FALSE)</f>
        <v>история</v>
      </c>
      <c r="I159" s="45" t="str">
        <f>IF(OR(H159="математика",H159="информатика",H159="английски език",H159="немски език",H159="руски език",H159="бълг. език",H159="ІІ - ри чужд език",H159="ИТ",H159="ИТ/ДБТ",H159="история",H159="свят и личност",H159= "география",H159="химия",H159="биология",H159="физика",H159="философия"),"+","-")</f>
        <v>+</v>
      </c>
      <c r="J159" s="12" t="str">
        <f>VLOOKUP('Програма-кодове'!T20,Списък!$A$1:$C$209,3,FALSE)</f>
        <v>информатика</v>
      </c>
      <c r="K159" s="45" t="str">
        <f>IF(OR(J159="математика",J159="информатика",J159="английски език",J159="немски език",J159="руски език",J159="бълг. език",J159="ІІ - ри чужд език",J159="ИТ",J159="ИТ/ДБТ",J159="история",J159="свят и личност",J159= "география",J159="химия",J159="биология",J159="физика",J159="философия"),"+","-")</f>
        <v>+</v>
      </c>
      <c r="L159" s="46"/>
      <c r="M159" s="46"/>
      <c r="N159" s="21"/>
    </row>
    <row r="160" spans="1:41" ht="12" customHeight="1">
      <c r="A160" s="13">
        <v>6</v>
      </c>
      <c r="B160" s="12" t="str">
        <f>VLOOKUP('Програма-кодове'!P21,Списък!$A$1:$C$209,3,FALSE)</f>
        <v>английски език</v>
      </c>
      <c r="C160" s="45" t="str">
        <f>IF(OR(B160="физкултура",B160="музика",B160="рисуване",B160="ИТ/ДБТ",B160="домашен бит и техника"),"+","-")</f>
        <v>-</v>
      </c>
      <c r="D160" s="12" t="str">
        <f>VLOOKUP('Програма-кодове'!Q21,Списък!$A$1:$C$209,3,FALSE)</f>
        <v>математика</v>
      </c>
      <c r="E160" s="45" t="str">
        <f>IF(OR(D160="физкултура",D160="музика",D160="рисуване",D160="ИТ/ДБТ",D160="домашен бит и техника"),"+","-")</f>
        <v>-</v>
      </c>
      <c r="F160" s="12" t="str">
        <f>VLOOKUP('Програма-кодове'!R21,Списък!$A$1:$C$209,3,FALSE)</f>
        <v>бълг. език</v>
      </c>
      <c r="G160" s="45" t="str">
        <f>IF(OR(F160="физкултура",F160="музика",F160="рисуване",F160="ИТ/ДБТ",F160="домашен бит и техника"),"+","-")</f>
        <v>-</v>
      </c>
      <c r="H160" s="12" t="str">
        <f>VLOOKUP('Програма-кодове'!S21,Списък!$A$1:$C$209,3,FALSE)</f>
        <v>философия</v>
      </c>
      <c r="I160" s="45" t="str">
        <f>IF(OR(H160="физкултура",H160="музика",H160="рисуване",H160="ИТ/ДБТ",H160="домашен бит и техника"),"+","-")</f>
        <v>-</v>
      </c>
      <c r="J160" s="12" t="str">
        <f>VLOOKUP('Програма-кодове'!T21,Списък!$A$1:$C$209,3,FALSE)</f>
        <v>физика</v>
      </c>
      <c r="K160" s="45" t="str">
        <f>IF(OR(J160="физкултура",J160="музика",J160="рисуване",J160="ИТ/ДБТ",J160="домашен бит и техника"),"+","-")</f>
        <v>-</v>
      </c>
      <c r="L160" s="46"/>
      <c r="M160" s="46"/>
      <c r="N160" s="21"/>
    </row>
    <row r="161" spans="1:41" ht="12" customHeight="1">
      <c r="A161" s="13">
        <v>7</v>
      </c>
      <c r="B161" s="12" t="s">
        <v>59</v>
      </c>
      <c r="C161" s="45" t="str">
        <f>IF(OR(B161="история",B161="свят и личност",B161= "география",B161="химия",B161="биология",B161="физика",B161="философия"),"+","-")</f>
        <v>-</v>
      </c>
      <c r="D161" s="12" t="s">
        <v>59</v>
      </c>
      <c r="E161" s="45" t="str">
        <f>IF(OR(D161="история",D161="свят и личност",D161= "география",D161="химия",D161="биология",D161="физика",D161="философия"),"+","-")</f>
        <v>-</v>
      </c>
      <c r="F161" s="12" t="s">
        <v>59</v>
      </c>
      <c r="G161" s="45" t="str">
        <f>IF(OR(F161="история",F161="свят и личност",F161= "география",F161="химия",F161="биология",F161="физика",F161="философия"),"+","-")</f>
        <v>-</v>
      </c>
      <c r="H161" s="12" t="s">
        <v>59</v>
      </c>
      <c r="I161" s="45" t="str">
        <f>IF(OR(H161="история",H161="свят и личност",H161= "география",H161="химия",H161="биология",H161="физика",H161="философия"),"+","-")</f>
        <v>-</v>
      </c>
      <c r="J161" s="12" t="s">
        <v>59</v>
      </c>
      <c r="K161" s="45" t="str">
        <f>IF(OR(J161="история",J161="свят и личност",J161= "география",J161="химия",J161="биология",J161="физика",J161="философия"),"+","-")</f>
        <v>-</v>
      </c>
      <c r="L161" s="46"/>
      <c r="M161" s="46"/>
      <c r="N161" s="21"/>
    </row>
    <row r="162" spans="1:41" ht="12" customHeight="1">
      <c r="B162" s="61"/>
      <c r="C162" s="60">
        <f>COUNTIF(C155:C161,"+")/7</f>
        <v>0.5714285714285714</v>
      </c>
      <c r="D162" s="61"/>
      <c r="E162" s="60">
        <f>COUNTIF(E155:E161,"+")/7</f>
        <v>0.2857142857142857</v>
      </c>
      <c r="F162" s="61"/>
      <c r="G162" s="60">
        <f>COUNTIF(G155:G161,"+")/7</f>
        <v>0.2857142857142857</v>
      </c>
      <c r="H162" s="61"/>
      <c r="I162" s="60">
        <f>COUNTIF(I155:I161,"+")/7</f>
        <v>0.5714285714285714</v>
      </c>
      <c r="J162" s="61"/>
      <c r="K162" s="60">
        <f>COUNTIF(K155:K161,"+")/7</f>
        <v>0.5714285714285714</v>
      </c>
      <c r="L162" s="46" t="s">
        <v>95</v>
      </c>
      <c r="M162" s="47">
        <f>(C162+E162+G162+I162+K162)/5</f>
        <v>0.45714285714285713</v>
      </c>
      <c r="N162" s="64"/>
    </row>
    <row r="163" spans="1:41" s="15" customFormat="1" ht="1.5" customHeight="1">
      <c r="A163" s="14"/>
      <c r="B163" s="15" t="str">
        <f>VLOOKUP('Програма-кодове'!P23,Списък!$A$4:$C$56,3,FALSE)</f>
        <v>математика</v>
      </c>
      <c r="F163" s="15" t="e">
        <f>VLOOKUP('Програма-кодове'!R23,Списък!$A$4:$C$56,3,FALSE)</f>
        <v>#N/A</v>
      </c>
      <c r="H163" s="15" t="str">
        <f>VLOOKUP('Програма-кодове'!S23,Списък!$A$4:$C$56,3,FALSE)</f>
        <v>английски език</v>
      </c>
      <c r="K163" s="12"/>
      <c r="L163" s="46"/>
      <c r="M163" s="46"/>
      <c r="N163" s="21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</row>
    <row r="164" spans="1:41" s="13" customFormat="1" ht="12" customHeight="1">
      <c r="B164" s="13" t="s">
        <v>15</v>
      </c>
      <c r="D164" s="13" t="s">
        <v>16</v>
      </c>
      <c r="F164" s="13" t="s">
        <v>17</v>
      </c>
      <c r="H164" s="13" t="s">
        <v>46</v>
      </c>
      <c r="J164" s="13" t="s">
        <v>18</v>
      </c>
      <c r="K164" s="12"/>
      <c r="L164" s="46"/>
      <c r="M164" s="46"/>
      <c r="N164" s="21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</row>
    <row r="165" spans="1:41" ht="12" customHeight="1">
      <c r="A165" s="13">
        <v>1</v>
      </c>
      <c r="B165" s="21" t="str">
        <f>VLOOKUP('Програма-кодове'!U16,Списък!$A$1:$C$209,3,FALSE)</f>
        <v>английски език</v>
      </c>
      <c r="C165" s="45" t="str">
        <f>IF(OR(B165="история",B165="свят и личност",B165= "география",B165="химия",B165="биология",B165="физика",B165="философия"),"+","-")</f>
        <v>-</v>
      </c>
      <c r="D165" s="21" t="str">
        <f>VLOOKUP('Програма-кодове'!V16,Списък!$A$1:$C$209,3,FALSE)</f>
        <v>география</v>
      </c>
      <c r="E165" s="45" t="str">
        <f>IF(OR(D165="история",D165="свят и личност",D165= "география",D165="химия",D165="биология",D165="физика",D165="философия"),"+","-")</f>
        <v>+</v>
      </c>
      <c r="F165" s="21" t="str">
        <f>VLOOKUP('Програма-кодове'!W16,Списък!$A$1:$C$209,3,FALSE)</f>
        <v>физкултура</v>
      </c>
      <c r="G165" s="45" t="str">
        <f>IF(OR(F165="история",F165="свят и личност",F165= "география",F165="химия",F165="биология",F165="физика",F165="философия"),"+","-")</f>
        <v>-</v>
      </c>
      <c r="H165" s="21" t="str">
        <f>VLOOKUP('Програма-кодове'!X16,Списък!$A$1:$C$209,3,FALSE)</f>
        <v>немски език</v>
      </c>
      <c r="I165" s="45" t="str">
        <f>IF(OR(H165="история",H165="свят и личност",H165= "география",H165="химия",H165="биология",H165="физика",H165="философия"),"+","-")</f>
        <v>-</v>
      </c>
      <c r="J165" s="21" t="str">
        <f>VLOOKUP('Програма-кодове'!Y16,Списък!$A$1:$C$209,3,FALSE)</f>
        <v>биология</v>
      </c>
      <c r="K165" s="45" t="str">
        <f>IF(OR(J165="история",J165="свят и личност",J165= "география",J165="химия",J165="биология",J165="физика",J165="философия"),"+","-")</f>
        <v>+</v>
      </c>
      <c r="L165" s="46"/>
      <c r="M165" s="46"/>
      <c r="N165" s="21"/>
    </row>
    <row r="166" spans="1:41" ht="12" customHeight="1">
      <c r="A166" s="13">
        <v>2</v>
      </c>
      <c r="B166" s="21" t="str">
        <f>VLOOKUP('Програма-кодове'!U17,Списък!$A$1:$C$209,3,FALSE)</f>
        <v>английски език</v>
      </c>
      <c r="C166" s="45" t="str">
        <f>IF(OR(B166="математика",B166="информатика",B166="английски език",B166="немски език",B166="руски език",B166="бълг. език",B166="ІІ - ри чужд език", B166="ИТ/ДБТ"),"+","-")</f>
        <v>+</v>
      </c>
      <c r="D166" s="21" t="str">
        <f>VLOOKUP('Програма-кодове'!V17,Списък!$A$1:$C$209,3,FALSE)</f>
        <v>физкултура</v>
      </c>
      <c r="E166" s="45" t="str">
        <f>IF(OR(D166="математика",D166="информатика",D166="английски език",D166="немски език",D166="руски език",D166="бълг. език",D166="ІІ - ри чужд език", D166="ИТ/ДБТ"),"+","-")</f>
        <v>-</v>
      </c>
      <c r="F166" s="21" t="str">
        <f>VLOOKUP('Програма-кодове'!W17,Списък!$A$1:$C$209,3,FALSE)</f>
        <v>математика</v>
      </c>
      <c r="G166" s="45" t="str">
        <f>IF(OR(F166="математика",F166="информатика",F166="английски език",F166="немски език",F166="руски език",F166="бълг. език",F166="ІІ - ри чужд език", F166="ИТ/ДБТ"),"+","-")</f>
        <v>+</v>
      </c>
      <c r="H166" s="21" t="str">
        <f>VLOOKUP('Програма-кодове'!X17,Списък!$A$1:$C$209,3,FALSE)</f>
        <v>немски език</v>
      </c>
      <c r="I166" s="45" t="str">
        <f>IF(OR(H166="математика",H166="информатика",H166="английски език",H166="немски език",H166="руски език",H166="бълг. език",H166="ІІ - ри чужд език", H166="ИТ/ДБТ"),"+","-")</f>
        <v>+</v>
      </c>
      <c r="J166" s="21" t="str">
        <f>VLOOKUP('Програма-кодове'!Y17,Списък!$A$1:$C$209,3,FALSE)</f>
        <v>биология</v>
      </c>
      <c r="K166" s="45" t="str">
        <f>IF(OR(J166="математика",J166="информатика",J166="английски език",J166="немски език",J166="руски език",J166="бълг. език",J166="ІІ - ри чужд език", J166="ИТ/ДБТ"),"+","-")</f>
        <v>-</v>
      </c>
      <c r="L166" s="46"/>
      <c r="M166" s="46"/>
      <c r="N166" s="21"/>
    </row>
    <row r="167" spans="1:41" ht="12" customHeight="1">
      <c r="A167" s="13">
        <v>3</v>
      </c>
      <c r="B167" s="21" t="str">
        <f>VLOOKUP('Програма-кодове'!U18,Списък!$A$1:$C$209,3,FALSE)</f>
        <v>математика</v>
      </c>
      <c r="C167" s="45" t="str">
        <f>IF(OR(B167="математика",B167="информатика",B167="английски език",B167="немски език",B167="руски език",B167="бълг. език",B167="ІІ - ри чужд език", B167="ИТ/ДБТ"),"+","-")</f>
        <v>+</v>
      </c>
      <c r="D167" s="21" t="str">
        <f>VLOOKUP('Програма-кодове'!V18,Списък!$A$1:$C$209,3,FALSE)</f>
        <v>информатика</v>
      </c>
      <c r="E167" s="45" t="str">
        <f>IF(OR(D167="математика",D167="информатика",D167="английски език",D167="немски език",D167="руски език",D167="бълг. език",D167="ІІ - ри чужд език", D167="ИТ/ДБТ"),"+","-")</f>
        <v>+</v>
      </c>
      <c r="F167" s="21" t="str">
        <f>VLOOKUP('Програма-кодове'!W18,Списък!$A$1:$C$209,3,FALSE)</f>
        <v>математика</v>
      </c>
      <c r="G167" s="45" t="str">
        <f>IF(OR(F167="математика",F167="информатика",F167="английски език",F167="немски език",F167="руски език",F167="бълг. език",F167="ІІ - ри чужд език", F167="ИТ/ДБТ"),"+","-")</f>
        <v>+</v>
      </c>
      <c r="H167" s="21" t="str">
        <f>VLOOKUP('Програма-кодове'!X18,Списък!$A$1:$C$209,3,FALSE)</f>
        <v>физкултура</v>
      </c>
      <c r="I167" s="45" t="str">
        <f>IF(OR(H167="математика",H167="информатика",H167="английски език",H167="немски език",H167="руски език",H167="бълг. език",H167="ІІ - ри чужд език", H167="ИТ/ДБТ"),"+","-")</f>
        <v>-</v>
      </c>
      <c r="J167" s="21" t="str">
        <f>VLOOKUP('Програма-кодове'!Y18,Списък!$A$1:$C$209,3,FALSE)</f>
        <v>география</v>
      </c>
      <c r="K167" s="45" t="str">
        <f>IF(OR(J167="математика",J167="информатика",J167="английски език",J167="немски език",J167="руски език",J167="бълг. език",J167="ІІ - ри чужд език", J167="ИТ/ДБТ"),"+","-")</f>
        <v>-</v>
      </c>
      <c r="L167" s="46"/>
      <c r="M167" s="46"/>
      <c r="N167" s="21"/>
    </row>
    <row r="168" spans="1:41" ht="12" customHeight="1">
      <c r="A168" s="13">
        <v>4</v>
      </c>
      <c r="B168" s="21" t="str">
        <f>VLOOKUP('Програма-кодове'!U19,Списък!$A$1:$C$209,3,FALSE)</f>
        <v>информатика</v>
      </c>
      <c r="C168" s="45" t="str">
        <f>IF(OR(B168="математика",B168="информатика",B168="английски език",B168="немски език",B168="руски език",B168="бълг. език",B168="ІІ - ри чужд език", B168="ИТ/ДБТ"),"+","-")</f>
        <v>+</v>
      </c>
      <c r="D168" s="21" t="str">
        <f>VLOOKUP('Програма-кодове'!V19,Списък!$A$1:$C$209,3,FALSE)</f>
        <v>математика</v>
      </c>
      <c r="E168" s="45" t="str">
        <f>IF(OR(D168="математика",D168="информатика",D168="английски език",D168="немски език",D168="руски език",D168="бълг. език",D168="ІІ - ри чужд език", D168="ИТ/ДБТ"),"+","-")</f>
        <v>+</v>
      </c>
      <c r="F168" s="21" t="str">
        <f>VLOOKUP('Програма-кодове'!W19,Списък!$A$1:$C$209,3,FALSE)</f>
        <v>история</v>
      </c>
      <c r="G168" s="45" t="str">
        <f>IF(OR(F168="математика",F168="информатика",F168="английски език",F168="немски език",F168="руски език",F168="бълг. език",F168="ІІ - ри чужд език", F168="ИТ/ДБТ"),"+","-")</f>
        <v>-</v>
      </c>
      <c r="H168" s="21" t="str">
        <f>VLOOKUP('Програма-кодове'!X19,Списък!$A$1:$C$209,3,FALSE)</f>
        <v>биология</v>
      </c>
      <c r="I168" s="45" t="str">
        <f>IF(OR(H168="математика",H168="информатика",H168="английски език",H168="немски език",H168="руски език",H168="бълг. език",H168="ІІ - ри чужд език", H168="ИТ/ДБТ"),"+","-")</f>
        <v>-</v>
      </c>
      <c r="J168" s="21" t="str">
        <f>VLOOKUP('Програма-кодове'!Y19,Списък!$A$1:$C$209,3,FALSE)</f>
        <v>химия</v>
      </c>
      <c r="K168" s="45" t="str">
        <f>IF(OR(J168="математика",J168="информатика",J168="английски език",J168="немски език",J168="руски език",J168="бълг. език",J168="ІІ - ри чужд език", J168="ИТ/ДБТ"),"+","-")</f>
        <v>-</v>
      </c>
      <c r="L168" s="46"/>
      <c r="M168" s="46"/>
      <c r="N168" s="21"/>
    </row>
    <row r="169" spans="1:41" ht="12" customHeight="1">
      <c r="A169" s="13">
        <v>5</v>
      </c>
      <c r="B169" s="21" t="str">
        <f>VLOOKUP('Програма-кодове'!U20,Списък!$A$1:$C$209,3,FALSE)</f>
        <v>биология</v>
      </c>
      <c r="C169" s="45" t="str">
        <f>IF(OR(B169="математика",B169="информатика",B169="английски език",B169="немски език",B169="руски език",B169="бълг. език",B169="ІІ - ри чужд език",B169="ИТ",B169="ИТ/ДБТ",B169="история",B169="свят и личност",B169= "география",B169="химия",B169="биология",B169="физика",B169="философия"),"+","-")</f>
        <v>+</v>
      </c>
      <c r="D169" s="21" t="str">
        <f>VLOOKUP('Програма-кодове'!V20,Списък!$A$1:$C$209,3,FALSE)</f>
        <v>математика</v>
      </c>
      <c r="E169" s="45" t="str">
        <f>IF(OR(D169="математика",D169="информатика",D169="английски език",D169="немски език",D169="руски език",D169="бълг. език",D169="ІІ - ри чужд език",D169="ИТ",D169="ИТ/ДБТ",D169="история",D169="свят и личност",D169= "география",D169="химия",D169="биология",D169="физика",D169="философия"),"+","-")</f>
        <v>+</v>
      </c>
      <c r="F169" s="21" t="str">
        <f>VLOOKUP('Програма-кодове'!W20,Списък!$A$1:$C$209,3,FALSE)</f>
        <v>география</v>
      </c>
      <c r="G169" s="45" t="str">
        <f>IF(OR(F169="математика",F169="информатика",F169="английски език",F169="немски език",F169="руски език",F169="бълг. език",F169="ІІ - ри чужд език",F169="ИТ",F169="ИТ/ДБТ",F169="история",F169="свят и личност",F169= "география",F169="химия",F169="биология",F169="физика",F169="философия"),"+","-")</f>
        <v>+</v>
      </c>
      <c r="H169" s="21" t="str">
        <f>VLOOKUP('Програма-кодове'!X20,Списък!$A$1:$C$209,3,FALSE)</f>
        <v>информатика</v>
      </c>
      <c r="I169" s="45" t="str">
        <f>IF(OR(H169="математика",H169="информатика",H169="английски език",H169="немски език",H169="руски език",H169="бълг. език",H169="ІІ - ри чужд език",H169="ИТ",H169="ИТ/ДБТ",H169="история",H169="свят и личност",H169= "география",H169="химия",H169="биология",H169="физика",H169="философия"),"+","-")</f>
        <v>+</v>
      </c>
      <c r="J169" s="21" t="str">
        <f>VLOOKUP('Програма-кодове'!Y20,Списък!$A$1:$C$209,3,FALSE)</f>
        <v>английски език</v>
      </c>
      <c r="K169" s="45" t="str">
        <f>IF(OR(J169="математика",J169="информатика",J169="английски език",J169="немски език",J169="руски език",J169="бълг. език",J169="ІІ - ри чужд език",J169="ИТ",J169="ИТ/ДБТ",J169="история",J169="свят и личност",J169= "география",J169="химия",J169="биология",J169="физика",J169="философия"),"+","-")</f>
        <v>+</v>
      </c>
      <c r="L169" s="46"/>
      <c r="M169" s="46"/>
      <c r="N169" s="21"/>
    </row>
    <row r="170" spans="1:41" ht="12" customHeight="1">
      <c r="A170" s="13">
        <v>6</v>
      </c>
      <c r="B170" s="21" t="str">
        <f>VLOOKUP('Програма-кодове'!U21,Списък!$A$1:$C$209,3,FALSE)</f>
        <v>география</v>
      </c>
      <c r="C170" s="45" t="str">
        <f>IF(OR(B170="физкултура",B170="музика",B170="рисуване",B170="ИТ/ДБТ",B170="домашен бит и техника"),"+","-")</f>
        <v>-</v>
      </c>
      <c r="D170" s="21" t="str">
        <f>VLOOKUP('Програма-кодове'!V21,Списък!$A$1:$C$209,3,FALSE)</f>
        <v>биология</v>
      </c>
      <c r="E170" s="45" t="str">
        <f>IF(OR(D170="физкултура",D170="музика",D170="рисуване",D170="ИТ/ДБТ",D170="домашен бит и техника"),"+","-")</f>
        <v>-</v>
      </c>
      <c r="F170" s="21" t="str">
        <f>VLOOKUP('Програма-кодове'!W21,Списък!$A$1:$C$209,3,FALSE)</f>
        <v>информатика</v>
      </c>
      <c r="G170" s="45" t="str">
        <f>IF(OR(F170="физкултура",F170="музика",F170="рисуване",F170="ИТ/ДБТ",F170="домашен бит и техника"),"+","-")</f>
        <v>-</v>
      </c>
      <c r="H170" s="21" t="str">
        <f>VLOOKUP('Програма-кодове'!X21,Списък!$A$1:$C$209,3,FALSE)</f>
        <v>химия</v>
      </c>
      <c r="I170" s="45" t="str">
        <f>IF(OR(H170="физкултура",H170="музика",H170="рисуване",H170="ИТ/ДБТ",H170="домашен бит и техника"),"+","-")</f>
        <v>-</v>
      </c>
      <c r="J170" s="21" t="str">
        <f>VLOOKUP('Програма-кодове'!Y21,Списък!$A$1:$C$209,3,FALSE)</f>
        <v>английски език</v>
      </c>
      <c r="K170" s="45" t="str">
        <f>IF(OR(J170="физкултура",J170="музика",J170="рисуване",J170="ИТ/ДБТ",J170="домашен бит и техника"),"+","-")</f>
        <v>-</v>
      </c>
      <c r="L170" s="46"/>
      <c r="M170" s="46"/>
      <c r="N170" s="21"/>
    </row>
    <row r="171" spans="1:41" ht="12" customHeight="1">
      <c r="A171" s="13">
        <v>7</v>
      </c>
      <c r="B171" s="12" t="s">
        <v>59</v>
      </c>
      <c r="C171" s="45" t="str">
        <f>IF(OR(B171="история",B171="свят и личност",B171= "география",B171="химия",B171="биология",B171="физика",B171="философия"),"+","-")</f>
        <v>-</v>
      </c>
      <c r="D171" s="12" t="s">
        <v>59</v>
      </c>
      <c r="E171" s="45" t="str">
        <f>IF(OR(D171="история",D171="свят и личност",D171= "география",D171="химия",D171="биология",D171="физика",D171="философия"),"+","-")</f>
        <v>-</v>
      </c>
      <c r="F171" s="12" t="s">
        <v>59</v>
      </c>
      <c r="G171" s="45" t="str">
        <f>IF(OR(F171="история",F171="свят и личност",F171= "география",F171="химия",F171="биология",F171="физика",F171="философия"),"+","-")</f>
        <v>-</v>
      </c>
      <c r="H171" s="12" t="s">
        <v>59</v>
      </c>
      <c r="I171" s="45" t="str">
        <f>IF(OR(H171="история",H171="свят и личност",H171= "география",H171="химия",H171="биология",H171="физика",H171="философия"),"+","-")</f>
        <v>-</v>
      </c>
      <c r="J171" s="12" t="s">
        <v>59</v>
      </c>
      <c r="K171" s="45" t="str">
        <f>IF(OR(J171="история",J171="свят и личност",J171= "география",J171="химия",J171="биология",J171="физика",J171="философия"),"+","-")</f>
        <v>-</v>
      </c>
      <c r="L171" s="46"/>
      <c r="M171" s="46"/>
      <c r="N171" s="21"/>
    </row>
    <row r="172" spans="1:41" ht="12" customHeight="1">
      <c r="B172" s="61"/>
      <c r="C172" s="60">
        <f>COUNTIF(C165:C170,"+")/6</f>
        <v>0.66666666666666663</v>
      </c>
      <c r="D172" s="61"/>
      <c r="E172" s="60">
        <f>COUNTIF(E165:E171,"+")/7</f>
        <v>0.5714285714285714</v>
      </c>
      <c r="F172" s="61"/>
      <c r="G172" s="60">
        <f>COUNTIF(G165:G171,"+")/7</f>
        <v>0.42857142857142855</v>
      </c>
      <c r="H172" s="61"/>
      <c r="I172" s="60">
        <f>COUNTIF(I165:I171,"+")/7</f>
        <v>0.2857142857142857</v>
      </c>
      <c r="J172" s="61"/>
      <c r="K172" s="60">
        <f>COUNTIF(K165:K171,"+")/7</f>
        <v>0.2857142857142857</v>
      </c>
      <c r="L172" s="46" t="s">
        <v>95</v>
      </c>
      <c r="M172" s="47">
        <f>(C172+E172+G172+I172+K172)/5</f>
        <v>0.44761904761904764</v>
      </c>
      <c r="N172" s="64"/>
    </row>
    <row r="173" spans="1:41" s="15" customFormat="1" ht="1.5" customHeight="1">
      <c r="A173" s="14"/>
      <c r="B173" s="15" t="e">
        <f>VLOOKUP('Програма-кодове'!#REF!,Списък!$A$4:$C$209,3,FALSE)</f>
        <v>#REF!</v>
      </c>
      <c r="D173" s="15" t="e">
        <f>VLOOKUP('Програма-кодове'!#REF!,Списък!$A$4:$C$209,3,FALSE)</f>
        <v>#REF!</v>
      </c>
      <c r="F173" s="15" t="e">
        <f>VLOOKUP('Програма-кодове'!#REF!,Списък!$A$4:$C$209,3,FALSE)</f>
        <v>#REF!</v>
      </c>
      <c r="H173" s="15" t="e">
        <f>VLOOKUP('Програма-кодове'!#REF!,Списък!$A$4:$C$209,3,FALSE)</f>
        <v>#REF!</v>
      </c>
      <c r="J173" s="15" t="e">
        <f>VLOOKUP('Програма-кодове'!#REF!,Списък!$A$4:$C$209,3,FALSE)</f>
        <v>#REF!</v>
      </c>
      <c r="K173" s="12"/>
      <c r="L173" s="46"/>
      <c r="M173" s="46"/>
      <c r="N173" s="21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</row>
    <row r="174" spans="1:41" s="13" customFormat="1" ht="12" customHeight="1">
      <c r="B174" s="43" t="s">
        <v>48</v>
      </c>
      <c r="C174" s="43"/>
      <c r="D174" s="43" t="s">
        <v>49</v>
      </c>
      <c r="E174" s="43"/>
      <c r="F174" s="43" t="s">
        <v>50</v>
      </c>
      <c r="G174" s="43"/>
      <c r="H174" s="43" t="s">
        <v>51</v>
      </c>
      <c r="I174" s="43"/>
      <c r="J174" s="43" t="s">
        <v>52</v>
      </c>
      <c r="K174" s="12"/>
      <c r="L174" s="46"/>
      <c r="M174" s="46"/>
      <c r="N174" s="21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</row>
    <row r="175" spans="1:41" ht="12" customHeight="1">
      <c r="A175" s="13">
        <v>1</v>
      </c>
      <c r="B175" s="21" t="str">
        <f>VLOOKUP('Програма-кодове'!Z16,Списък!$A$1:$C$209,3,FALSE)</f>
        <v>английски език</v>
      </c>
      <c r="C175" s="45" t="str">
        <f>IF(OR(B175="история",B175="свят и личност",B175= "география",B175="химия",B175="биология",B175="физика",B175="философия"),"+","-")</f>
        <v>-</v>
      </c>
      <c r="D175" s="21" t="str">
        <f>VLOOKUP('Програма-кодове'!AA16,Списък!$A$1:$C$209,3,FALSE)</f>
        <v>математика</v>
      </c>
      <c r="E175" s="45" t="str">
        <f>IF(OR(D175="история",D175="свят и личност",D175= "география",D175="химия",D175="биология",D175="физика",D175="философия"),"+","-")</f>
        <v>-</v>
      </c>
      <c r="F175" s="21" t="str">
        <f>VLOOKUP('Програма-кодове'!AB16,Списък!$A$1:$C$209,3,FALSE)</f>
        <v>математика</v>
      </c>
      <c r="G175" s="45" t="str">
        <f>IF(OR(F175="история",F175="свят и личност",F175= "география",F175="химия",F175="биология",F175="физика",F175="философия"),"+","-")</f>
        <v>-</v>
      </c>
      <c r="H175" s="21" t="str">
        <f>VLOOKUP('Програма-кодове'!AC16,Списък!$A$1:$C$209,3,FALSE)</f>
        <v>бълг. език</v>
      </c>
      <c r="I175" s="45" t="str">
        <f>IF(OR(H175="история",H175="свят и личност",H175= "география",H175="химия",H175="биология",H175="физика",H175="философия"),"+","-")</f>
        <v>-</v>
      </c>
      <c r="J175" s="21" t="str">
        <f>VLOOKUP('Програма-кодове'!AD16,Списък!$A$1:$C$209,3,FALSE)</f>
        <v>физкултура</v>
      </c>
      <c r="K175" s="45" t="str">
        <f>IF(OR(J175="история",J175="свят и личност",J175= "география",J175="химия",J175="биология",J175="физика",J175="философия"),"+","-")</f>
        <v>-</v>
      </c>
      <c r="L175" s="46"/>
      <c r="M175" s="46"/>
      <c r="N175" s="21"/>
    </row>
    <row r="176" spans="1:41" ht="12" customHeight="1">
      <c r="A176" s="13">
        <v>2</v>
      </c>
      <c r="B176" s="21" t="str">
        <f>VLOOKUP('Програма-кодове'!Z17,Списък!$A$1:$C$209,3,FALSE)</f>
        <v>бълг. език</v>
      </c>
      <c r="C176" s="45" t="str">
        <f>IF(OR(B176="математика",B176="информатика",B176="английски език",B176="немски език",B176="руски език",B176="бълг. език",B176="ІІ - ри чужд език", B176="ИТ/ДБТ"),"+","-")</f>
        <v>+</v>
      </c>
      <c r="D176" s="21" t="str">
        <f>VLOOKUP('Програма-кодове'!AA17,Списък!$A$1:$C$209,3,FALSE)</f>
        <v>физкултура</v>
      </c>
      <c r="E176" s="45" t="str">
        <f>IF(OR(D176="математика",D176="информатика",D176="английски език",D176="немски език",D176="руски език",D176="бълг. език",D176="ІІ - ри чужд език", D176="ИТ/ДБТ"),"+","-")</f>
        <v>-</v>
      </c>
      <c r="F176" s="21" t="str">
        <f>VLOOKUP('Програма-кодове'!AB17,Списък!$A$1:$C$209,3,FALSE)</f>
        <v>математика</v>
      </c>
      <c r="G176" s="45" t="str">
        <f>IF(OR(F176="математика",F176="информатика",F176="английски език",F176="немски език",F176="руски език",F176="бълг. език",F176="ІІ - ри чужд език", F176="ИТ/ДБТ"),"+","-")</f>
        <v>+</v>
      </c>
      <c r="H176" s="21" t="str">
        <f>VLOOKUP('Програма-кодове'!AC17,Списък!$A$1:$C$209,3,FALSE)</f>
        <v>английски език</v>
      </c>
      <c r="I176" s="45" t="str">
        <f>IF(OR(H176="математика",H176="информатика",H176="английски език",H176="немски език",H176="руски език",H176="бълг. език",H176="ІІ - ри чужд език", H176="ИТ/ДБТ"),"+","-")</f>
        <v>+</v>
      </c>
      <c r="J176" s="21" t="str">
        <f>VLOOKUP('Програма-кодове'!AD17,Списък!$A$1:$C$209,3,FALSE)</f>
        <v>химия</v>
      </c>
      <c r="K176" s="45" t="str">
        <f>IF(OR(J176="математика",J176="информатика",J176="английски език",J176="немски език",J176="руски език",J176="бълг. език",J176="ІІ - ри чужд език", J176="ИТ/ДБТ"),"+","-")</f>
        <v>-</v>
      </c>
      <c r="L176" s="46"/>
      <c r="M176" s="46"/>
      <c r="N176" s="21"/>
    </row>
    <row r="177" spans="1:43" ht="12" customHeight="1">
      <c r="A177" s="13">
        <v>3</v>
      </c>
      <c r="B177" s="21" t="str">
        <f>VLOOKUP('Програма-кодове'!Z18,Списък!$A$1:$C$209,3,FALSE)</f>
        <v>физкултура</v>
      </c>
      <c r="C177" s="45" t="str">
        <f>IF(OR(B177="математика",B177="информатика",B177="английски език",B177="немски език",B177="руски език",B177="бълг. език",B177="ІІ - ри чужд език", B177="ИТ/ДБТ"),"+","-")</f>
        <v>-</v>
      </c>
      <c r="D177" s="21" t="str">
        <f>VLOOKUP('Програма-кодове'!AA18,Списък!$A$1:$C$209,3,FALSE)</f>
        <v>информатика</v>
      </c>
      <c r="E177" s="45" t="str">
        <f>IF(OR(D177="математика",D177="информатика",D177="английски език",D177="немски език",D177="руски език",D177="бълг. език",D177="ІІ - ри чужд език", D177="ИТ/ДБТ"),"+","-")</f>
        <v>+</v>
      </c>
      <c r="F177" s="21" t="str">
        <f>VLOOKUP('Програма-кодове'!AB18,Списък!$A$1:$C$209,3,FALSE)</f>
        <v>бълг. език</v>
      </c>
      <c r="G177" s="45" t="str">
        <f>IF(OR(F177="математика",F177="информатика",F177="английски език",F177="немски език",F177="руски език",F177="бълг. език",F177="ІІ - ри чужд език", F177="ИТ/ДБТ"),"+","-")</f>
        <v>+</v>
      </c>
      <c r="H177" s="21" t="str">
        <f>VLOOKUP('Програма-кодове'!AC18,Списък!$A$1:$C$209,3,FALSE)</f>
        <v>немски език</v>
      </c>
      <c r="I177" s="45" t="str">
        <f>IF(OR(H177="математика",H177="информатика",H177="английски език",H177="немски език",H177="руски език",H177="бълг. език",H177="ІІ - ри чужд език", H177="ИТ/ДБТ"),"+","-")</f>
        <v>+</v>
      </c>
      <c r="J177" s="21" t="str">
        <f>VLOOKUP('Програма-кодове'!AD18,Списък!$A$1:$C$209,3,FALSE)</f>
        <v>биология</v>
      </c>
      <c r="K177" s="45" t="str">
        <f>IF(OR(J177="математика",J177="информатика",J177="английски език",J177="немски език",J177="руски език",J177="бълг. език",J177="ІІ - ри чужд език", J177="ИТ/ДБТ"),"+","-")</f>
        <v>-</v>
      </c>
      <c r="L177" s="46"/>
      <c r="M177" s="46"/>
      <c r="N177" s="21"/>
    </row>
    <row r="178" spans="1:43" ht="12" customHeight="1">
      <c r="A178" s="13">
        <v>4</v>
      </c>
      <c r="B178" s="21" t="str">
        <f>VLOOKUP('Програма-кодове'!Z19,Списък!$A$1:$C$209,3,FALSE)</f>
        <v>математика</v>
      </c>
      <c r="C178" s="45" t="str">
        <f>IF(OR(B178="математика",B178="информатика",B178="английски език",B178="немски език",B178="руски език",B178="бълг. език",B178="ІІ - ри чужд език", B178="ИТ/ДБТ"),"+","-")</f>
        <v>+</v>
      </c>
      <c r="D178" s="21" t="str">
        <f>VLOOKUP('Програма-кодове'!AA19,Списък!$A$1:$C$209,3,FALSE)</f>
        <v>английски език</v>
      </c>
      <c r="E178" s="45" t="str">
        <f>IF(OR(D178="математика",D178="информатика",D178="английски език",D178="немски език",D178="руски език",D178="бълг. език",D178="ІІ - ри чужд език", D178="ИТ/ДБТ"),"+","-")</f>
        <v>+</v>
      </c>
      <c r="F178" s="21" t="str">
        <f>VLOOKUP('Програма-кодове'!AB19,Списък!$A$1:$C$209,3,FALSE)</f>
        <v>информатика</v>
      </c>
      <c r="G178" s="45" t="str">
        <f>IF(OR(F178="математика",F178="информатика",F178="английски език",F178="немски език",F178="руски език",F178="бълг. език",F178="ІІ - ри чужд език", F178="ИТ/ДБТ"),"+","-")</f>
        <v>+</v>
      </c>
      <c r="H178" s="21" t="str">
        <f>VLOOKUP('Програма-кодове'!AC19,Списък!$A$1:$C$209,3,FALSE)</f>
        <v>немски език</v>
      </c>
      <c r="I178" s="45" t="str">
        <f>IF(OR(H178="математика",H178="информатика",H178="английски език",H178="немски език",H178="руски език",H178="бълг. език",H178="ІІ - ри чужд език", H178="ИТ/ДБТ"),"+","-")</f>
        <v>+</v>
      </c>
      <c r="J178" s="21" t="str">
        <f>VLOOKUP('Програма-кодове'!AD19,Списък!$A$1:$C$209,3,FALSE)</f>
        <v>биология</v>
      </c>
      <c r="K178" s="45" t="str">
        <f>IF(OR(J178="математика",J178="информатика",J178="английски език",J178="немски език",J178="руски език",J178="бълг. език",J178="ІІ - ри чужд език", J178="ИТ/ДБТ"),"+","-")</f>
        <v>-</v>
      </c>
      <c r="L178" s="46"/>
      <c r="M178" s="46"/>
      <c r="N178" s="21"/>
    </row>
    <row r="179" spans="1:43" ht="12" customHeight="1">
      <c r="A179" s="13">
        <v>5</v>
      </c>
      <c r="B179" s="21" t="str">
        <f>VLOOKUP('Програма-кодове'!Z20,Списък!$A$1:$C$209,3,FALSE)</f>
        <v>информатика</v>
      </c>
      <c r="C179" s="45" t="str">
        <f>IF(OR(B179="математика",B179="информатика",B179="английски език",B179="немски език",B179="руски език",B179="бълг. език",B179="ІІ - ри чужд език",B179="ИТ",B179="ИТ/ДБТ",B179="история",B179="свят и личност",B179= "география",B179="химия",B179="биология",B179="физика",B179="философия"),"+","-")</f>
        <v>+</v>
      </c>
      <c r="D179" s="21" t="str">
        <f>VLOOKUP('Програма-кодове'!AA20,Списък!$A$1:$C$209,3,FALSE)</f>
        <v>ІІ - ри чужд език</v>
      </c>
      <c r="E179" s="45" t="str">
        <f>IF(OR(D179="математика",D179="информатика",D179="английски език",D179="немски език",D179="руски език",D179="бълг. език",D179="ІІ - ри чужд език",D179="ИТ",D179="ИТ/ДБТ",D179="история",D179="свят и личност",D179= "география",D179="химия",D179="биология",D179="физика",D179="философия"),"+","-")</f>
        <v>+</v>
      </c>
      <c r="F179" s="21" t="str">
        <f>VLOOKUP('Програма-кодове'!AB20,Списък!$A$1:$C$209,3,FALSE)</f>
        <v>ІІ - ри чужд език</v>
      </c>
      <c r="G179" s="45" t="str">
        <f>IF(OR(F179="математика",F179="информатика",F179="английски език",F179="немски език",F179="руски език",F179="бълг. език",F179="ІІ - ри чужд език",F179="ИТ",F179="ИТ/ДБТ",F179="история",F179="свят и личност",F179= "география",F179="химия",F179="биология",F179="физика",F179="философия"),"+","-")</f>
        <v>+</v>
      </c>
      <c r="H179" s="21" t="str">
        <f>VLOOKUP('Програма-кодове'!AC20,Списък!$A$1:$C$209,3,FALSE)</f>
        <v>математика</v>
      </c>
      <c r="I179" s="45" t="str">
        <f>IF(OR(H179="математика",H179="информатика",H179="английски език",H179="немски език",H179="руски език",H179="бълг. език",H179="ІІ - ри чужд език",H179="ИТ",H179="ИТ/ДБТ",H179="история",H179="свят и личност",H179= "география",H179="химия",H179="биология",H179="физика",H179="философия"),"+","-")</f>
        <v>+</v>
      </c>
      <c r="J179" s="21" t="str">
        <f>VLOOKUP('Програма-кодове'!AD20,Списък!$A$1:$C$209,3,FALSE)</f>
        <v>английски език</v>
      </c>
      <c r="K179" s="45" t="str">
        <f>IF(OR(J179="математика",J179="информатика",J179="английски език",J179="немски език",J179="руски език",J179="бълг. език",J179="ІІ - ри чужд език",J179="ИТ",J179="ИТ/ДБТ",J179="история",J179="свят и личност",J179= "география",J179="химия",J179="биология",J179="физика",J179="философия"),"+","-")</f>
        <v>+</v>
      </c>
      <c r="L179" s="46"/>
      <c r="M179" s="46"/>
      <c r="N179" s="21"/>
    </row>
    <row r="180" spans="1:43" ht="12" customHeight="1">
      <c r="A180" s="13">
        <v>6</v>
      </c>
      <c r="B180" s="21" t="str">
        <f>VLOOKUP('Програма-кодове'!Z21,Списък!$A$1:$C$209,3,FALSE)</f>
        <v>история</v>
      </c>
      <c r="C180" s="45" t="str">
        <f>IF(OR(B180="физкултура",B180="музика",B180="рисуване",B180="ИТ/ДБТ",B180="домашен бит и техника"),"+","-")</f>
        <v>-</v>
      </c>
      <c r="D180" s="21" t="str">
        <f>VLOOKUP('Програма-кодове'!AA21,Списък!$A$1:$C$209,3,FALSE)</f>
        <v>ІІ - ри чужд език</v>
      </c>
      <c r="E180" s="45" t="str">
        <f>IF(OR(D180="физкултура",D180="музика",D180="рисуване",D180="ИТ/ДБТ",D180="домашен бит и техника"),"+","-")</f>
        <v>-</v>
      </c>
      <c r="F180" s="21" t="str">
        <f>VLOOKUP('Програма-кодове'!AB21,Списък!$A$1:$C$209,3,FALSE)</f>
        <v>ІІ - ри чужд език</v>
      </c>
      <c r="G180" s="45" t="str">
        <f>IF(OR(F180="физкултура",F180="музика",F180="рисуване",F180="ИТ/ДБТ",F180="домашен бит и техника"),"+","-")</f>
        <v>-</v>
      </c>
      <c r="H180" s="21" t="str">
        <f>VLOOKUP('Програма-кодове'!AC21,Списък!$A$1:$C$209,3,FALSE)</f>
        <v>математика</v>
      </c>
      <c r="I180" s="45" t="str">
        <f>IF(OR(H180="физкултура",H180="музика",H180="рисуване",H180="ИТ/ДБТ",H180="домашен бит и техника"),"+","-")</f>
        <v>-</v>
      </c>
      <c r="J180" s="21" t="str">
        <f>VLOOKUP('Програма-кодове'!AD21,Списък!$A$1:$C$209,3,FALSE)</f>
        <v>английски език</v>
      </c>
      <c r="K180" s="45" t="str">
        <f>IF(OR(J180="физкултура",J180="музика",J180="рисуване",J180="ИТ/ДБТ",J180="домашен бит и техника"),"+","-")</f>
        <v>-</v>
      </c>
      <c r="L180" s="46"/>
      <c r="M180" s="46"/>
      <c r="N180" s="21"/>
    </row>
    <row r="181" spans="1:43" ht="12" customHeight="1">
      <c r="A181" s="13">
        <v>7</v>
      </c>
      <c r="B181" s="12" t="s">
        <v>59</v>
      </c>
      <c r="C181" s="45" t="str">
        <f>IF(OR(B181="история",B181="свят и личност",B181= "география",B181="химия",B181="биология",B181="физика",B181="философия"),"+","-")</f>
        <v>-</v>
      </c>
      <c r="D181" s="12" t="s">
        <v>59</v>
      </c>
      <c r="E181" s="45" t="str">
        <f>IF(OR(D181="история",D181="свят и личност",D181= "география",D181="химия",D181="биология",D181="физика",D181="философия"),"+","-")</f>
        <v>-</v>
      </c>
      <c r="F181" s="12" t="s">
        <v>59</v>
      </c>
      <c r="G181" s="45" t="str">
        <f>IF(OR(F181="история",F181="свят и личност",F181= "география",F181="химия",F181="биология",F181="физика",F181="философия"),"+","-")</f>
        <v>-</v>
      </c>
      <c r="H181" s="12" t="s">
        <v>59</v>
      </c>
      <c r="I181" s="45" t="str">
        <f>IF(OR(H181="история",H181="свят и личност",H181= "география",H181="химия",H181="биология",H181="физика",H181="философия"),"+","-")</f>
        <v>-</v>
      </c>
      <c r="J181" s="12" t="s">
        <v>59</v>
      </c>
      <c r="K181" s="45" t="str">
        <f>IF(OR(J181="история",J181="свят и личност",J181= "география",J181="химия",J181="биология",J181="физика",J181="философия"),"+","-")</f>
        <v>-</v>
      </c>
      <c r="L181" s="46"/>
      <c r="M181" s="46"/>
      <c r="N181" s="21"/>
    </row>
    <row r="182" spans="1:43" ht="12" customHeight="1">
      <c r="B182" s="61"/>
      <c r="C182" s="60">
        <f>COUNTIF(C175:C181,"+")/7</f>
        <v>0.42857142857142855</v>
      </c>
      <c r="D182" s="61"/>
      <c r="E182" s="60">
        <f>COUNTIF(E175:E181,"+")/7</f>
        <v>0.42857142857142855</v>
      </c>
      <c r="F182" s="61"/>
      <c r="G182" s="60">
        <f>COUNTIF(G175:G181,"+")/7</f>
        <v>0.5714285714285714</v>
      </c>
      <c r="H182" s="61"/>
      <c r="I182" s="60">
        <f>COUNTIF(I175:I181,"+")/7</f>
        <v>0.5714285714285714</v>
      </c>
      <c r="J182" s="61"/>
      <c r="K182" s="60">
        <f>COUNTIF(K175:K181,"+")/7</f>
        <v>0.14285714285714285</v>
      </c>
      <c r="L182" s="46" t="s">
        <v>95</v>
      </c>
      <c r="M182" s="47">
        <f>(C182+E182+G182+I182+K182)/5</f>
        <v>0.42857142857142855</v>
      </c>
      <c r="N182" s="64"/>
    </row>
    <row r="183" spans="1:43" ht="12" customHeight="1">
      <c r="A183" s="394" t="s">
        <v>98</v>
      </c>
      <c r="B183" s="394"/>
      <c r="C183" s="394"/>
      <c r="D183" s="394"/>
      <c r="E183" s="394"/>
      <c r="F183" s="394"/>
      <c r="G183" s="394"/>
      <c r="H183" s="394"/>
      <c r="I183" s="394"/>
      <c r="J183" s="394"/>
      <c r="K183" s="394"/>
      <c r="L183" s="394"/>
      <c r="M183" s="57">
        <f>AVERAGE(A132:K132,A142:K142,A152:K152,A162:K162,A172:K172,A182:K182)</f>
        <v>0.43282312925170069</v>
      </c>
      <c r="N183" s="62"/>
    </row>
    <row r="184" spans="1:43" ht="24" customHeight="1" thickBot="1">
      <c r="A184" s="393" t="s">
        <v>27</v>
      </c>
      <c r="B184" s="393"/>
      <c r="C184" s="393"/>
      <c r="D184" s="393"/>
      <c r="E184" s="393"/>
      <c r="F184" s="393"/>
      <c r="G184" s="393"/>
      <c r="H184" s="393"/>
      <c r="I184" s="393"/>
      <c r="J184" s="393"/>
      <c r="K184" s="393"/>
      <c r="L184" s="393"/>
      <c r="M184" s="393"/>
    </row>
    <row r="185" spans="1:43" s="13" customFormat="1" ht="12" customHeight="1" thickTop="1">
      <c r="B185" s="13">
        <v>5</v>
      </c>
      <c r="D185" s="13">
        <v>6</v>
      </c>
      <c r="L185" s="46"/>
      <c r="M185" s="47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</row>
    <row r="186" spans="1:43" ht="12" customHeight="1">
      <c r="A186" s="13">
        <v>1</v>
      </c>
      <c r="B186" s="12" t="str">
        <f>VLOOKUP('Програма-кодове'!C23,Списък!$A$1:$C$209,3,FALSE)</f>
        <v>физика</v>
      </c>
      <c r="C186" s="87" t="str">
        <f>IF(OR(B186="история",B186="свят и личност",B186= "география",B186="химия",B186="биология",B186="физика",B186="философия"),"+","-")</f>
        <v>+</v>
      </c>
      <c r="D186" s="12" t="str">
        <f>VLOOKUP('Програма-кодове'!D23,Списък!$A$1:$C$209,3,FALSE)</f>
        <v>математика</v>
      </c>
      <c r="E186" s="87" t="str">
        <f>IF(OR(D186="история",D186="свят и личност",D186= "география",D186="химия",D186="биология",D186="физика",D186="философия"),"+","-")</f>
        <v>-</v>
      </c>
      <c r="F186" s="12" t="str">
        <f>VLOOKUP('Програма-кодове'!E23,Списък!$A$1:$C$209,3,FALSE)</f>
        <v>рисуване</v>
      </c>
      <c r="G186" s="87" t="str">
        <f>IF(OR(F186="история",F186="свят и личност",F186= "география",F186="химия",F186="биология",F186="физика",F186="философия"),"+","-")</f>
        <v>-</v>
      </c>
      <c r="L186" s="46"/>
      <c r="M186" s="47"/>
    </row>
    <row r="187" spans="1:43" ht="12" customHeight="1">
      <c r="A187" s="13">
        <v>2</v>
      </c>
      <c r="B187" s="12" t="str">
        <f>VLOOKUP('Програма-кодове'!C24,Списък!$A$1:$C$209,3,FALSE)</f>
        <v>бълг. език</v>
      </c>
      <c r="C187" s="87" t="str">
        <f>IF(OR(B187="математика",B187="информатика",B187="английски език",B187="немски език",B187="руски език",B187="бълг. език",B187="ІІ - ри чужд език", B187="ИТ/ДБТ"),"+","-")</f>
        <v>+</v>
      </c>
      <c r="D187" s="12" t="str">
        <f>VLOOKUP('Програма-кодове'!D24,Списък!$A$1:$C$209,3,FALSE)</f>
        <v>рисуване</v>
      </c>
      <c r="E187" s="87" t="str">
        <f>IF(OR(D187="математика",D187="информатика",D187="английски език",D187="немски език",D187="руски език",D187="бълг. език",D187="ІІ - ри чужд език", D187="ИТ/ДБТ"),"+","-")</f>
        <v>-</v>
      </c>
      <c r="F187" s="12" t="str">
        <f>VLOOKUP('Програма-кодове'!E24,Списък!$A$1:$C$209,3,FALSE)</f>
        <v>химия</v>
      </c>
      <c r="G187" s="87" t="str">
        <f>IF(OR(F187="математика",F187="информатика",F187="английски език",F187="немски език",F187="руски език",F187="бълг. език",F187="ІІ - ри чужд език", F187="ИТ/ДБТ"),"+","-")</f>
        <v>-</v>
      </c>
      <c r="L187" s="46"/>
      <c r="M187" s="47"/>
    </row>
    <row r="188" spans="1:43" ht="12" customHeight="1">
      <c r="A188" s="13">
        <v>3</v>
      </c>
      <c r="B188" s="12" t="str">
        <f>VLOOKUP('Програма-кодове'!C25,Списък!$A$1:$C$209,3,FALSE)</f>
        <v>физкултура</v>
      </c>
      <c r="C188" s="87" t="str">
        <f>IF(OR(B188="математика",B188="информатика",B188="английски език",B188="немски език",B188="руски език",B188="бълг. език",B188="ІІ - ри чужд език", B188="ИТ/ДБТ"),"+","-")</f>
        <v>-</v>
      </c>
      <c r="D188" s="12" t="str">
        <f>VLOOKUP('Програма-кодове'!D25,Списък!$A$1:$C$209,3,FALSE)</f>
        <v>английски език</v>
      </c>
      <c r="E188" s="87" t="str">
        <f>IF(OR(D188="математика",D188="информатика",D188="английски език",D188="немски език",D188="руски език",D188="бълг. език",D188="ІІ - ри чужд език", D188="ИТ/ДБТ"),"+","-")</f>
        <v>+</v>
      </c>
      <c r="F188" s="12" t="str">
        <f>VLOOKUP('Програма-кодове'!E25,Списък!$A$1:$C$209,3,FALSE)</f>
        <v>бълг. език</v>
      </c>
      <c r="G188" s="87" t="str">
        <f>IF(OR(F188="математика",F188="информатика",F188="английски език",F188="немски език",F188="руски език",F188="бълг. език",F188="ІІ - ри чужд език", F188="ИТ/ДБТ"),"+","-")</f>
        <v>+</v>
      </c>
      <c r="L188" s="46"/>
      <c r="M188" s="47"/>
    </row>
    <row r="189" spans="1:43" ht="12" customHeight="1">
      <c r="A189" s="13">
        <v>4</v>
      </c>
      <c r="B189" s="12" t="str">
        <f>VLOOKUP('Програма-кодове'!C26,Списък!$A$1:$C$209,3,FALSE)</f>
        <v>математика</v>
      </c>
      <c r="C189" s="87" t="str">
        <f>IF(OR(B189="математика",B189="информатика",B189="английски език",B189="немски език",B189="руски език",B189="бълг. език",B189="ІІ - ри чужд език", B189="ИТ/ДБТ"),"+","-")</f>
        <v>+</v>
      </c>
      <c r="D189" s="12" t="str">
        <f>VLOOKUP('Програма-кодове'!D26,Списък!$A$1:$C$209,3,FALSE)</f>
        <v>география</v>
      </c>
      <c r="E189" s="87" t="str">
        <f>IF(OR(D189="математика",D189="информатика",D189="английски език",D189="немски език",D189="руски език",D189="бълг. език",D189="ІІ - ри чужд език", D189="ИТ/ДБТ"),"+","-")</f>
        <v>-</v>
      </c>
      <c r="F189" s="12" t="str">
        <f>VLOOKUP('Програма-кодове'!E26,Списък!$A$1:$C$209,3,FALSE)</f>
        <v>английски език</v>
      </c>
      <c r="G189" s="87" t="str">
        <f>IF(OR(F189="математика",F189="информатика",F189="английски език",F189="немски език",F189="руски език",F189="бълг. език",F189="ІІ - ри чужд език", F189="ИТ/ДБТ"),"+","-")</f>
        <v>+</v>
      </c>
      <c r="L189" s="46"/>
      <c r="M189" s="47"/>
    </row>
    <row r="190" spans="1:43" ht="12" customHeight="1">
      <c r="A190" s="13">
        <v>5</v>
      </c>
      <c r="B190" s="12" t="str">
        <f>VLOOKUP('Програма-кодове'!C27,Списък!$A$1:$C$209,3,FALSE)</f>
        <v>история</v>
      </c>
      <c r="C190" s="87" t="str">
        <f>IF(OR(B190="физкултура",B190="музика",B190="рисуване",B190="ИТ/ДБТ",B190="домашен бит и техника"),"+","-")</f>
        <v>-</v>
      </c>
      <c r="D190" s="12" t="str">
        <f>VLOOKUP('Програма-кодове'!D27,Списък!$A$1:$C$209,3,FALSE)</f>
        <v>бълг. език</v>
      </c>
      <c r="E190" s="87" t="str">
        <f>IF(OR(D190="физкултура",D190="музика",D190="рисуване",D190="ИТ/ДБТ",D190="домашен бит и техника"),"+","-")</f>
        <v>-</v>
      </c>
      <c r="F190" s="12" t="str">
        <f>VLOOKUP('Програма-кодове'!E27,Списък!$A$1:$C$209,3,FALSE)</f>
        <v>физкултура</v>
      </c>
      <c r="G190" s="87" t="str">
        <f>IF(OR(F190="физкултура",F190="музика",F190="рисуване",F190="ИТ/ДБТ",F190="домашен бит и техника"),"+","-")</f>
        <v>+</v>
      </c>
      <c r="L190" s="46"/>
      <c r="M190" s="47"/>
    </row>
    <row r="191" spans="1:43" ht="12" customHeight="1">
      <c r="A191" s="13">
        <v>6</v>
      </c>
      <c r="B191" s="12" t="str">
        <f>VLOOKUP('Програма-кодове'!C28,Списък!$A$1:$C$209,3,FALSE)</f>
        <v>информатика</v>
      </c>
      <c r="C191" s="87" t="str">
        <f>IF(OR(B191="история",B191="свят и личност",B191= "география",B191="химия",B191="биология",B191="физика",B191="философия"),"+","-")</f>
        <v>-</v>
      </c>
      <c r="D191" s="12" t="str">
        <f>VLOOKUP('Програма-кодове'!D28,Списък!$A$1:$C$209,3,FALSE)</f>
        <v>бълг. език</v>
      </c>
      <c r="E191" s="87" t="str">
        <f>IF(OR(D191="история",D191="свят и личност",D191= "география",D191="химия",D191="биология",D191="физика",D191="философия"),"+","-")</f>
        <v>-</v>
      </c>
      <c r="F191" s="12" t="str">
        <f>VLOOKUP('Програма-кодове'!E28,Списък!$A$1:$C$209,3,FALSE)</f>
        <v>история</v>
      </c>
      <c r="G191" s="87" t="str">
        <f>IF(OR(F191="история",F191="свят и личност",F191= "география",F191="химия",F191="биология",F191="физика",F191="философия"),"+","-")</f>
        <v>+</v>
      </c>
      <c r="L191" s="46"/>
      <c r="M191" s="47"/>
    </row>
    <row r="192" spans="1:43" ht="12" customHeight="1">
      <c r="A192" s="43">
        <v>7</v>
      </c>
      <c r="B192" s="21">
        <f>VLOOKUP('Програма-кодове'!C29,Списък!$A$1:$C$209,3,FALSE)</f>
        <v>0</v>
      </c>
      <c r="C192" s="87"/>
      <c r="D192" s="12">
        <f>VLOOKUP('Програма-кодове'!D29,Списък!$A$1:$C$209,3,FALSE)</f>
        <v>0</v>
      </c>
      <c r="E192" s="87"/>
      <c r="F192" s="21">
        <f>VLOOKUP('Програма-кодове'!E29,Списък!$A$1:$C$209,3,FALSE)</f>
        <v>0</v>
      </c>
      <c r="G192" s="87"/>
      <c r="L192" s="46"/>
      <c r="M192" s="47"/>
    </row>
    <row r="193" spans="1:41" ht="12" customHeight="1">
      <c r="C193" s="88">
        <f>COUNTIF(C186:C191,"+")/6</f>
        <v>0.5</v>
      </c>
      <c r="E193" s="88">
        <f>COUNTIF(E186:E191,"+")/6</f>
        <v>0.16666666666666666</v>
      </c>
      <c r="G193" s="88">
        <f>COUNTIF(G186:G191,"+")/6</f>
        <v>0.66666666666666663</v>
      </c>
      <c r="L193" s="46" t="s">
        <v>95</v>
      </c>
      <c r="M193" s="47">
        <f>(C193+E193+G193)/3</f>
        <v>0.44444444444444442</v>
      </c>
    </row>
    <row r="194" spans="1:41" ht="2.25" customHeight="1">
      <c r="A194" s="14"/>
      <c r="B194" s="15"/>
      <c r="C194" s="74"/>
      <c r="D194" s="15"/>
      <c r="E194" s="15"/>
      <c r="F194" s="15"/>
      <c r="G194" s="15"/>
      <c r="H194" s="15"/>
      <c r="I194" s="15"/>
      <c r="J194" s="15"/>
      <c r="K194" s="15"/>
      <c r="L194" s="46"/>
      <c r="M194" s="47"/>
    </row>
    <row r="195" spans="1:41" ht="12" customHeight="1">
      <c r="B195" s="13" t="s">
        <v>0</v>
      </c>
      <c r="C195" s="13"/>
      <c r="D195" s="13" t="s">
        <v>1</v>
      </c>
      <c r="E195" s="13"/>
      <c r="F195" s="13" t="s">
        <v>2</v>
      </c>
      <c r="G195" s="13"/>
      <c r="H195" s="13" t="s">
        <v>3</v>
      </c>
      <c r="I195" s="13"/>
      <c r="J195" s="13" t="s">
        <v>4</v>
      </c>
      <c r="L195" s="46"/>
      <c r="M195" s="47"/>
    </row>
    <row r="196" spans="1:41" ht="12" customHeight="1">
      <c r="A196" s="13">
        <v>1</v>
      </c>
      <c r="B196" s="12" t="str">
        <f>VLOOKUP('Програма-кодове'!F23,Списък!$A$1:$C$209,3,FALSE)</f>
        <v>информатика</v>
      </c>
      <c r="C196" s="45" t="str">
        <f>IF(OR(B196="история",B196="свят и личност",B196= "география",B196="химия",B196="биология",B196="физика",B196="философия"),"+","-")</f>
        <v>-</v>
      </c>
      <c r="D196" s="12" t="str">
        <f>VLOOKUP('Програма-кодове'!G23,Списък!$A$1:$C$209,3,FALSE)</f>
        <v>английски език</v>
      </c>
      <c r="E196" s="45" t="str">
        <f>IF(OR(D196="история",D196="свят и личност",D196= "география",D196="химия",D196="биология",D196="физика",D196="философия"),"+","-")</f>
        <v>-</v>
      </c>
      <c r="F196" s="12" t="str">
        <f>VLOOKUP('Програма-кодове'!H23,Списък!$A$1:$C$209,3,FALSE)</f>
        <v>английски език</v>
      </c>
      <c r="G196" s="87" t="str">
        <f>IF(OR(F196="история",F196="свят и личност",F196= "география",F196="химия",F196="биология",F196="физика",F196="философия"),"+","-")</f>
        <v>-</v>
      </c>
      <c r="H196" s="12" t="str">
        <f>VLOOKUP('Програма-кодове'!I23,Списък!$A$1:$C$209,3,FALSE)</f>
        <v>английски език</v>
      </c>
      <c r="I196" s="45" t="str">
        <f>IF(OR(H196="история",H196="свят и личност",H196= "география",H196="химия",H196="биология",H196="физика",H196="философия"),"+","-")</f>
        <v>-</v>
      </c>
      <c r="J196" s="12" t="str">
        <f>VLOOKUP('Програма-кодове'!J23,Списък!$A$1:$C$209,3,FALSE)</f>
        <v>бълг. език</v>
      </c>
      <c r="K196" s="45" t="str">
        <f>IF(OR(J196="история",J196="свят и личност",J196= "география",J196="химия",J196="биология",J196="физика",J196="философия"),"+","-")</f>
        <v>-</v>
      </c>
      <c r="L196" s="46"/>
      <c r="M196" s="46"/>
    </row>
    <row r="197" spans="1:41" ht="12" customHeight="1">
      <c r="A197" s="13">
        <v>2</v>
      </c>
      <c r="B197" s="12" t="str">
        <f>VLOOKUP('Програма-кодове'!F24,Списък!$A$1:$C$209,3,FALSE)</f>
        <v>математика</v>
      </c>
      <c r="C197" s="45" t="str">
        <f>IF(OR(B197="математика",B197="информатика",B197="английски език",B197="немски език",B197="руски език",B197="бълг. език",B197="ІІ - ри чужд език", B197="ИТ/ДБТ"),"+","-")</f>
        <v>+</v>
      </c>
      <c r="D197" s="12" t="str">
        <f>VLOOKUP('Програма-кодове'!G24,Списък!$A$1:$C$209,3,FALSE)</f>
        <v>английски език</v>
      </c>
      <c r="E197" s="45" t="str">
        <f>IF(OR(D197="математика",D197="информатика",D197="английски език",D197="немски език",D197="руски език",D197="бълг. език",D197="ІІ - ри чужд език", D197="ИТ/ДБТ"),"+","-")</f>
        <v>+</v>
      </c>
      <c r="F197" s="12" t="str">
        <f>VLOOKUP('Програма-кодове'!H24,Списък!$A$1:$C$209,3,FALSE)</f>
        <v>английски език</v>
      </c>
      <c r="G197" s="87" t="str">
        <f>IF(OR(F197="математика",F197="информатика",F197="английски език",F197="немски език",F197="руски език",F197="бълг. език",F197="ІІ - ри чужд език", F197="ИТ/ДБТ"),"+","-")</f>
        <v>+</v>
      </c>
      <c r="H197" s="12" t="str">
        <f>VLOOKUP('Програма-кодове'!I24,Списък!$A$1:$C$209,3,FALSE)</f>
        <v>английски език</v>
      </c>
      <c r="I197" s="45" t="str">
        <f>IF(OR(H197="математика",H197="информатика",H197="английски език",H197="немски език",H197="руски език",H197="бълг. език",H197="ІІ - ри чужд език", H197="ИТ/ДБТ"),"+","-")</f>
        <v>+</v>
      </c>
      <c r="J197" s="12" t="str">
        <f>VLOOKUP('Програма-кодове'!J24,Списък!$A$1:$C$209,3,FALSE)</f>
        <v>информатика</v>
      </c>
      <c r="K197" s="45" t="str">
        <f>IF(OR(J197="математика",J197="информатика",J197="английски език",J197="немски език",J197="руски език",J197="бълг. език",J197="ІІ - ри чужд език", J197="ИТ/ДБТ"),"+","-")</f>
        <v>+</v>
      </c>
      <c r="L197" s="46"/>
      <c r="M197" s="46"/>
    </row>
    <row r="198" spans="1:41" ht="12" customHeight="1">
      <c r="A198" s="13">
        <v>3</v>
      </c>
      <c r="B198" s="12" t="str">
        <f>VLOOKUP('Програма-кодове'!F25,Списък!$A$1:$C$209,3,FALSE)</f>
        <v>английски език</v>
      </c>
      <c r="C198" s="45" t="str">
        <f>IF(OR(B198="математика",B198="информатика",B198="английски език",B198="немски език",B198="руски език",B198="бълг. език",B198="ІІ - ри чужд език", B198="ИТ/ДБТ"),"+","-")</f>
        <v>+</v>
      </c>
      <c r="D198" s="12" t="str">
        <f>VLOOKUP('Програма-кодове'!G25,Списък!$A$1:$C$209,3,FALSE)</f>
        <v>английски език</v>
      </c>
      <c r="E198" s="45" t="str">
        <f>IF(OR(D198="математика",D198="информатика",D198="английски език",D198="немски език",D198="руски език",D198="бълг. език",D198="ІІ - ри чужд език", D198="ИТ/ДБТ"),"+","-")</f>
        <v>+</v>
      </c>
      <c r="F198" s="12" t="str">
        <f>VLOOKUP('Програма-кодове'!H25,Списък!$A$1:$C$209,3,FALSE)</f>
        <v>информатика</v>
      </c>
      <c r="G198" s="87" t="str">
        <f>IF(OR(F198="математика",F198="информатика",F198="английски език",F198="немски език",F198="руски език",F198="бълг. език",F198="ІІ - ри чужд език", F198="ИТ/ДБТ"),"+","-")</f>
        <v>+</v>
      </c>
      <c r="H198" s="12" t="str">
        <f>VLOOKUP('Програма-кодове'!I25,Списък!$A$1:$C$209,3,FALSE)</f>
        <v>английски език</v>
      </c>
      <c r="I198" s="45" t="str">
        <f>IF(OR(H198="математика",H198="информатика",H198="английски език",H198="немски език",H198="руски език",H198="бълг. език",H198="ІІ - ри чужд език", H198="ИТ/ДБТ"),"+","-")</f>
        <v>+</v>
      </c>
      <c r="J198" s="12" t="str">
        <f>VLOOKUP('Програма-кодове'!J25,Списък!$A$1:$C$209,3,FALSE)</f>
        <v>математика</v>
      </c>
      <c r="K198" s="45" t="str">
        <f>IF(OR(J198="математика",J198="информатика",J198="английски език",J198="немски език",J198="руски език",J198="бълг. език",J198="ІІ - ри чужд език", J198="ИТ/ДБТ"),"+","-")</f>
        <v>+</v>
      </c>
      <c r="L198" s="46"/>
      <c r="M198" s="46"/>
    </row>
    <row r="199" spans="1:41" ht="12" customHeight="1">
      <c r="A199" s="13">
        <v>4</v>
      </c>
      <c r="B199" s="12" t="str">
        <f>VLOOKUP('Програма-кодове'!F26,Списък!$A$1:$C$209,3,FALSE)</f>
        <v>физкултура</v>
      </c>
      <c r="C199" s="45" t="str">
        <f>IF(OR(B199="математика",B199="информатика",B199="английски език",B199="немски език",B199="руски език",B199="бълг. език",B199="ІІ - ри чужд език", B199="ИТ/ДБТ"),"+","-")</f>
        <v>-</v>
      </c>
      <c r="D199" s="12" t="str">
        <f>VLOOKUP('Програма-кодове'!G26,Списък!$A$1:$C$209,3,FALSE)</f>
        <v>английски език</v>
      </c>
      <c r="E199" s="45" t="str">
        <f>IF(OR(D199="математика",D199="информатика",D199="английски език",D199="немски език",D199="руски език",D199="бълг. език",D199="ІІ - ри чужд език", D199="ИТ/ДБТ"),"+","-")</f>
        <v>+</v>
      </c>
      <c r="F199" s="12" t="str">
        <f>VLOOKUP('Програма-кодове'!H26,Списък!$A$1:$C$209,3,FALSE)</f>
        <v>английски език</v>
      </c>
      <c r="G199" s="87" t="str">
        <f>IF(OR(F199="математика",F199="информатика",F199="английски език",F199="немски език",F199="руски език",F199="бълг. език",F199="ІІ - ри чужд език", F199="ИТ/ДБТ"),"+","-")</f>
        <v>+</v>
      </c>
      <c r="H199" s="12" t="str">
        <f>VLOOKUP('Програма-кодове'!I26,Списък!$A$1:$C$209,3,FALSE)</f>
        <v>информатика</v>
      </c>
      <c r="I199" s="45" t="str">
        <f>IF(OR(H199="математика",H199="информатика",H199="английски език",H199="немски език",H199="руски език",H199="бълг. език",H199="ІІ - ри чужд език", H199="ИТ/ДБТ"),"+","-")</f>
        <v>+</v>
      </c>
      <c r="J199" s="12" t="str">
        <f>VLOOKUP('Програма-кодове'!J26,Списък!$A$1:$C$209,3,FALSE)</f>
        <v>английски език</v>
      </c>
      <c r="K199" s="45" t="str">
        <f>IF(OR(J199="математика",J199="информатика",J199="английски език",J199="немски език",J199="руски език",J199="бълг. език",J199="ІІ - ри чужд език", J199="ИТ/ДБТ"),"+","-")</f>
        <v>+</v>
      </c>
      <c r="L199" s="46"/>
      <c r="M199" s="46"/>
    </row>
    <row r="200" spans="1:41" ht="12" customHeight="1">
      <c r="A200" s="13">
        <v>5</v>
      </c>
      <c r="B200" s="12" t="str">
        <f>VLOOKUP('Програма-кодове'!F27,Списък!$A$1:$C$209,3,FALSE)</f>
        <v>английски език</v>
      </c>
      <c r="C200" s="45" t="str">
        <f>IF(OR(B200="математика",B200="информатика",B200="английски език",B200="немски език",B200="руски език",B200="бълг. език",B200="ІІ - ри чужд език",B200="ИТ",B200="ИТ/ДБТ",B200="история",B200="свят и личност",B200= "география",B200="химия",B200="биология",B200="физика",B200="философия"),"+","-")</f>
        <v>+</v>
      </c>
      <c r="D200" s="12" t="str">
        <f>VLOOKUP('Програма-кодове'!G27,Списък!$A$1:$C$209,3,FALSE)</f>
        <v>ИТ/ИТ</v>
      </c>
      <c r="E200" s="45" t="str">
        <f>IF(OR(D200="математика",D200="информатика",D200="английски език",D200="немски език",D200="руски език",D200="бълг. език",D200="ІІ - ри чужд език",D200="ИТ",D200="ИТ/ДБТ",D200="история",D200="свят и личност",D200= "география",D200="химия",D200="биология",D200="физика",D200="философия"),"+","-")</f>
        <v>-</v>
      </c>
      <c r="F200" s="12" t="str">
        <f>VLOOKUP('Програма-кодове'!H27,Списък!$A$1:$C$209,3,FALSE)</f>
        <v>математика</v>
      </c>
      <c r="G200" s="87" t="str">
        <f>IF(OR(F200="физкултура",F200="музика",F200="рисуване",F200="ИТ/ДБТ",F200="домашен бит и техника"),"+","-")</f>
        <v>-</v>
      </c>
      <c r="H200" s="12" t="str">
        <f>VLOOKUP('Програма-кодове'!I27,Списък!$A$1:$C$209,3,FALSE)</f>
        <v>физкултура</v>
      </c>
      <c r="I200" s="45" t="str">
        <f>IF(OR(H200="математика",H200="информатика",H200="английски език",H200="немски език",H200="руски език",H200="бълг. език",H200="ІІ - ри чужд език",H200="ИТ",H200="ИТ/ДБТ",H200="история",H200="свят и личност",H200= "география",H200="химия",H200="биология",H200="физика",H200="философия"),"+","-")</f>
        <v>-</v>
      </c>
      <c r="J200" s="12" t="str">
        <f>VLOOKUP('Програма-кодове'!J27,Списък!$A$1:$C$209,3,FALSE)</f>
        <v>английски език</v>
      </c>
      <c r="K200" s="45" t="str">
        <f>IF(OR(J200="математика",J200="информатика",J200="английски език",J200="немски език",J200="руски език",J200="бълг. език",J200="ІІ - ри чужд език",J200="ИТ",J200="ИТ/ДБТ",J200="история",J200="свят и личност",J200= "география",J200="химия",J200="биология",J200="физика",J200="философия"),"+","-")</f>
        <v>+</v>
      </c>
      <c r="L200" s="46"/>
      <c r="M200" s="46"/>
    </row>
    <row r="201" spans="1:41" ht="12" customHeight="1">
      <c r="A201" s="13">
        <v>6</v>
      </c>
      <c r="B201" s="12" t="str">
        <f>VLOOKUP('Програма-кодове'!F28,Списък!$A$1:$C$209,3,FALSE)</f>
        <v>английски език</v>
      </c>
      <c r="C201" s="45" t="str">
        <f>IF(OR(B201="физкултура",B201="музика",B201="рисуване",B201="ИТ/ДБТ",B201="домашен бит и техника"),"+","-")</f>
        <v>-</v>
      </c>
      <c r="D201" s="12" t="str">
        <f>VLOOKUP('Програма-кодове'!G28,Списък!$A$1:$C$209,3,FALSE)</f>
        <v>физкултура</v>
      </c>
      <c r="E201" s="45" t="str">
        <f>IF(OR(D201="физкултура",D201="музика",D201="рисуване",D201="ИТ/ДБТ",D201="домашен бит и техника"),"+","-")</f>
        <v>+</v>
      </c>
      <c r="F201" s="12" t="str">
        <f>VLOOKUP('Програма-кодове'!H28,Списък!$A$1:$C$209,3,FALSE)</f>
        <v>музика</v>
      </c>
      <c r="G201" s="87" t="str">
        <f>IF(OR(F201="история",F201="свят и личност",F201= "география",F201="химия",F201="биология",F201="физика",F201="философия"),"+","-")</f>
        <v>-</v>
      </c>
      <c r="H201" s="12" t="str">
        <f>VLOOKUP('Програма-кодове'!I28,Списък!$A$1:$C$209,3,FALSE)</f>
        <v>английски език</v>
      </c>
      <c r="I201" s="45" t="str">
        <f>IF(OR(H201="физкултура",H201="музика",H201="рисуване",H201="ИТ/ДБТ",H201="домашен бит и техника"),"+","-")</f>
        <v>-</v>
      </c>
      <c r="J201" s="12" t="str">
        <f>VLOOKUP('Програма-кодове'!J28,Списък!$A$1:$C$209,3,FALSE)</f>
        <v>английски език</v>
      </c>
      <c r="K201" s="45" t="str">
        <f>IF(OR(J201="физкултура",J201="музика",J201="рисуване",J201="ИТ/ДБТ",J201="домашен бит и техника"),"+","-")</f>
        <v>-</v>
      </c>
      <c r="L201" s="46"/>
      <c r="M201" s="46"/>
    </row>
    <row r="202" spans="1:41" ht="12" customHeight="1">
      <c r="A202" s="13">
        <v>7</v>
      </c>
      <c r="B202" s="99">
        <f>VLOOKUP('Програма-кодове'!F29,Списък!$A$1:$C$209,3,FALSE)</f>
        <v>0</v>
      </c>
      <c r="C202" s="45" t="str">
        <f>IF(OR(B202="история",B202="свят и личност",B202= "география",B202="химия",B202="биология",B202="физика",B202="философия"),"+","-")</f>
        <v>-</v>
      </c>
      <c r="D202" s="97">
        <f>VLOOKUP('Програма-кодове'!G29,Списък!$A$1:$C$209,3,FALSE)</f>
        <v>0</v>
      </c>
      <c r="E202" s="45" t="str">
        <f>IF(OR(D202="история",D202="свят и личност",D202= "география",D202="химия",D202="биология",D202="физика",D202="философия"),"+","-")</f>
        <v>-</v>
      </c>
      <c r="F202" s="12">
        <f>VLOOKUP('Програма-кодове'!H29,Списък!$A$1:$C$209,3,FALSE)</f>
        <v>0</v>
      </c>
      <c r="G202" s="87"/>
      <c r="H202" s="99">
        <f>VLOOKUP('Програма-кодове'!I29,Списък!$A$1:$C$209,3,FALSE)</f>
        <v>0</v>
      </c>
      <c r="I202" s="45" t="str">
        <f>IF(OR(H202="история",H202="свят и личност",H202= "география",H202="химия",H202="биология",H202="физика",H202="философия"),"+","-")</f>
        <v>-</v>
      </c>
      <c r="J202" s="97">
        <f>VLOOKUP('Програма-кодове'!J29,Списък!$A$1:$C$209,3,FALSE)</f>
        <v>0</v>
      </c>
      <c r="K202" s="45" t="str">
        <f>IF(OR(J202="история",J202="свят и личност",J202= "география",J202="химия",J202="биология",J202="физика",J202="философия"),"+","-")</f>
        <v>-</v>
      </c>
      <c r="L202" s="46"/>
      <c r="M202" s="46"/>
    </row>
    <row r="203" spans="1:41" ht="12" customHeight="1">
      <c r="C203" s="60">
        <f>COUNTIF(C196:C202,"+")/7</f>
        <v>0.42857142857142855</v>
      </c>
      <c r="E203" s="60">
        <f>COUNTIF(E196:E202,"+")/7</f>
        <v>0.5714285714285714</v>
      </c>
      <c r="G203" s="88">
        <f>COUNTIF(G196:G201,"+")/6</f>
        <v>0.5</v>
      </c>
      <c r="I203" s="60">
        <f>COUNTIF(I196:I202,"+")/7</f>
        <v>0.42857142857142855</v>
      </c>
      <c r="J203" s="21"/>
      <c r="K203" s="60">
        <f>COUNTIF(K196:K202,"+")/7</f>
        <v>0.5714285714285714</v>
      </c>
      <c r="L203" s="46" t="s">
        <v>95</v>
      </c>
      <c r="M203" s="47">
        <f>(C203+E203+G203+I203+K203)/5</f>
        <v>0.5</v>
      </c>
    </row>
    <row r="204" spans="1:41" ht="1.5" customHeight="1">
      <c r="A204" s="14"/>
      <c r="B204" s="15"/>
      <c r="C204" s="15"/>
      <c r="D204" s="15"/>
      <c r="E204" s="15"/>
      <c r="F204" s="15"/>
      <c r="G204" s="15"/>
      <c r="H204" s="15"/>
      <c r="I204" s="15"/>
      <c r="J204" s="15"/>
      <c r="L204" s="46"/>
      <c r="M204" s="46"/>
    </row>
    <row r="205" spans="1:41" s="13" customFormat="1" ht="12" customHeight="1">
      <c r="B205" s="13" t="s">
        <v>5</v>
      </c>
      <c r="D205" s="13" t="s">
        <v>6</v>
      </c>
      <c r="F205" s="13" t="s">
        <v>7</v>
      </c>
      <c r="H205" s="13" t="s">
        <v>8</v>
      </c>
      <c r="J205" s="13" t="s">
        <v>9</v>
      </c>
      <c r="K205" s="12"/>
      <c r="L205" s="46"/>
      <c r="M205" s="46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</row>
    <row r="206" spans="1:41" ht="12" customHeight="1">
      <c r="A206" s="13">
        <v>1</v>
      </c>
      <c r="B206" s="12" t="str">
        <f>VLOOKUP('Програма-кодове'!K23,Списък!$A$1:$C$209,3,FALSE)</f>
        <v>английски език</v>
      </c>
      <c r="C206" s="87" t="str">
        <f>IF(OR(B206="история",B206="свят и личност",B206= "география",B206="химия",B206="биология",B206="физика",B206="философия"),"+","-")</f>
        <v>-</v>
      </c>
      <c r="D206" s="12" t="str">
        <f>VLOOKUP('Програма-кодове'!L23,Списък!$A$1:$C$209,3,FALSE)</f>
        <v>физкултура</v>
      </c>
      <c r="E206" s="87" t="str">
        <f>IF(OR(D206="история",D206="свят и личност",D206= "география",D206="химия",D206="биология",D206="физика",D206="философия"),"+","-")</f>
        <v>-</v>
      </c>
      <c r="F206" s="21" t="str">
        <f>VLOOKUP('Програма-кодове'!M23,Списък!$A$1:$C$209,3,FALSE)</f>
        <v>физика</v>
      </c>
      <c r="G206" s="87" t="str">
        <f>IF(OR(F206="история",F206="свят и личност",F206= "география",F206="химия",F206="биология",F206="физика",F206="философия"),"+","-")</f>
        <v>+</v>
      </c>
      <c r="H206" s="12" t="str">
        <f>VLOOKUP('Програма-кодове'!N23,Списък!$A$1:$C$209,3,FALSE)</f>
        <v>бълг. език</v>
      </c>
      <c r="I206" s="87" t="str">
        <f>IF(OR(H206="история",H206="свят и личност",H206= "география",H206="химия",H206="биология",H206="физика",H206="философия"),"+","-")</f>
        <v>-</v>
      </c>
      <c r="J206" s="12" t="str">
        <f>VLOOKUP('Програма-кодове'!O23,Списък!$A$1:$C$209,3,FALSE)</f>
        <v>биология</v>
      </c>
      <c r="K206" s="87" t="str">
        <f>IF(OR(J206="история",J206="свят и личност",J206= "география",J206="химия",J206="биология",J206="физика",J206="философия"),"+","-")</f>
        <v>+</v>
      </c>
      <c r="L206" s="46"/>
      <c r="M206" s="46"/>
    </row>
    <row r="207" spans="1:41" ht="12" customHeight="1">
      <c r="A207" s="13">
        <v>2</v>
      </c>
      <c r="B207" s="12" t="str">
        <f>VLOOKUP('Програма-кодове'!K24,Списък!$A$1:$C$209,3,FALSE)</f>
        <v>английски език</v>
      </c>
      <c r="C207" s="87" t="str">
        <f>IF(OR(B207="математика",B207="информатика",B207="английски език",B207="немски език",B207="руски език",B207="бълг. език",B207="ІІ - ри чужд език", B207="ИТ/ДБТ"),"+","-")</f>
        <v>+</v>
      </c>
      <c r="D207" s="12" t="str">
        <f>VLOOKUP('Програма-кодове'!L24,Списък!$A$1:$C$209,3,FALSE)</f>
        <v>физика</v>
      </c>
      <c r="E207" s="87" t="str">
        <f>IF(OR(D207="математика",D207="информатика",D207="английски език",D207="немски език",D207="руски език",D207="бълг. език",D207="ІІ - ри чужд език", D207="ИТ/ДБТ"),"+","-")</f>
        <v>-</v>
      </c>
      <c r="F207" s="21" t="str">
        <f>VLOOKUP('Програма-кодове'!M24,Списък!$A$1:$C$209,3,FALSE)</f>
        <v>химия</v>
      </c>
      <c r="G207" s="87" t="str">
        <f>IF(OR(F207="математика",F207="информатика",F207="английски език",F207="немски език",F207="руски език",F207="бълг. език",F207="ІІ - ри чужд език", F207="ИТ/ДБТ"),"+","-")</f>
        <v>-</v>
      </c>
      <c r="H207" s="12" t="str">
        <f>VLOOKUP('Програма-кодове'!N24,Списък!$A$1:$C$209,3,FALSE)</f>
        <v>физкултура</v>
      </c>
      <c r="I207" s="87" t="str">
        <f>IF(OR(H207="математика",H207="информатика",H207="английски език",H207="немски език",H207="руски език",H207="бълг. език",H207="ІІ - ри чужд език", H207="ИТ/ДБТ"),"+","-")</f>
        <v>-</v>
      </c>
      <c r="J207" s="12" t="str">
        <f>VLOOKUP('Програма-кодове'!O24,Списък!$A$1:$C$209,3,FALSE)</f>
        <v>математика</v>
      </c>
      <c r="K207" s="87" t="str">
        <f>IF(OR(J207="математика",J207="информатика",J207="английски език",J207="немски език",J207="руски език",J207="бълг. език",J207="ІІ - ри чужд език", J207="ИТ/ДБТ"),"+","-")</f>
        <v>+</v>
      </c>
      <c r="L207" s="46"/>
      <c r="M207" s="46"/>
    </row>
    <row r="208" spans="1:41" ht="12" customHeight="1">
      <c r="A208" s="13">
        <v>3</v>
      </c>
      <c r="B208" s="12" t="str">
        <f>VLOOKUP('Програма-кодове'!K25,Списък!$A$1:$C$209,3,FALSE)</f>
        <v>ІІ - ри чужд език</v>
      </c>
      <c r="C208" s="87" t="str">
        <f>IF(OR(B208="математика",B208="информатика",B208="английски език",B208="немски език",B208="руски език",B208="бълг. език",B208="ІІ - ри чужд език", B208="ИТ/ДБТ"),"+","-")</f>
        <v>+</v>
      </c>
      <c r="D208" s="12" t="str">
        <f>VLOOKUP('Програма-кодове'!L25,Списък!$A$1:$C$209,3,FALSE)</f>
        <v>химия</v>
      </c>
      <c r="E208" s="87" t="str">
        <f>IF(OR(D208="математика",D208="информатика",D208="английски език",D208="немски език",D208="руски език",D208="бълг. език",D208="ІІ - ри чужд език", D208="ИТ/ДБТ"),"+","-")</f>
        <v>-</v>
      </c>
      <c r="F208" s="21" t="str">
        <f>VLOOKUP('Програма-кодове'!M25,Списък!$A$1:$C$209,3,FALSE)</f>
        <v>рисуване</v>
      </c>
      <c r="G208" s="87" t="str">
        <f>IF(OR(F208="математика",F208="информатика",F208="английски език",F208="немски език",F208="руски език",F208="бълг. език",F208="ІІ - ри чужд език", F208="ИТ/ДБТ"),"+","-")</f>
        <v>-</v>
      </c>
      <c r="H208" s="12" t="str">
        <f>VLOOKUP('Програма-кодове'!N25,Списък!$A$1:$C$209,3,FALSE)</f>
        <v>история</v>
      </c>
      <c r="I208" s="87" t="str">
        <f>IF(OR(H208="математика",H208="информатика",H208="английски език",H208="немски език",H208="руски език",H208="бълг. език",H208="ІІ - ри чужд език", H208="ИТ/ДБТ"),"+","-")</f>
        <v>-</v>
      </c>
      <c r="J208" s="12" t="str">
        <f>VLOOKUP('Програма-кодове'!O25,Списък!$A$1:$C$209,3,FALSE)</f>
        <v>ІІ - ри чужд език</v>
      </c>
      <c r="K208" s="87" t="str">
        <f>IF(OR(J208="математика",J208="информатика",J208="английски език",J208="немски език",J208="руски език",J208="бълг. език",J208="ІІ - ри чужд език", J208="ИТ/ДБТ"),"+","-")</f>
        <v>+</v>
      </c>
      <c r="L208" s="46"/>
      <c r="M208" s="46"/>
    </row>
    <row r="209" spans="1:41" ht="12" customHeight="1">
      <c r="A209" s="13">
        <v>4</v>
      </c>
      <c r="B209" s="12" t="str">
        <f>VLOOKUP('Програма-кодове'!K26,Списък!$A$1:$C$209,3,FALSE)</f>
        <v>ІІ - ри чужд език</v>
      </c>
      <c r="C209" s="87" t="str">
        <f>IF(OR(B209="математика",B209="информатика",B209="английски език",B209="немски език",B209="руски език",B209="бълг. език",B209="ІІ - ри чужд език", B209="ИТ/ДБТ"),"+","-")</f>
        <v>+</v>
      </c>
      <c r="D209" s="12" t="str">
        <f>VLOOKUP('Програма-кодове'!L26,Списък!$A$1:$C$209,3,FALSE)</f>
        <v>география</v>
      </c>
      <c r="E209" s="87" t="str">
        <f>IF(OR(D209="математика",D209="информатика",D209="английски език",D209="немски език",D209="руски език",D209="бълг. език",D209="ІІ - ри чужд език", D209="ИТ/ДБТ"),"+","-")</f>
        <v>-</v>
      </c>
      <c r="F209" s="21" t="str">
        <f>VLOOKUP('Програма-кодове'!M26,Списък!$A$1:$C$209,3,FALSE)</f>
        <v>английски език</v>
      </c>
      <c r="G209" s="87" t="str">
        <f>IF(OR(F209="математика",F209="информатика",F209="английски език",F209="немски език",F209="руски език",F209="бълг. език",F209="ІІ - ри чужд език", F209="ИТ/ДБТ"),"+","-")</f>
        <v>+</v>
      </c>
      <c r="H209" s="12" t="str">
        <f>VLOOKUP('Програма-кодове'!N26,Списък!$A$1:$C$209,3,FALSE)</f>
        <v>биология</v>
      </c>
      <c r="I209" s="87" t="str">
        <f>IF(OR(H209="математика",H209="информатика",H209="английски език",H209="немски език",H209="руски език",H209="бълг. език",H209="ІІ - ри чужд език", H209="ИТ/ДБТ"),"+","-")</f>
        <v>-</v>
      </c>
      <c r="J209" s="12" t="str">
        <f>VLOOKUP('Програма-кодове'!O26,Списък!$A$1:$C$209,3,FALSE)</f>
        <v>ІІ - ри чужд език</v>
      </c>
      <c r="K209" s="87" t="str">
        <f>IF(OR(J209="математика",J209="информатика",J209="английски език",J209="немски език",J209="руски език",J209="бълг. език",J209="ІІ - ри чужд език", J209="ИТ/ДБТ"),"+","-")</f>
        <v>+</v>
      </c>
      <c r="L209" s="46"/>
      <c r="M209" s="46"/>
    </row>
    <row r="210" spans="1:41" ht="12" customHeight="1">
      <c r="A210" s="13">
        <v>5</v>
      </c>
      <c r="B210" s="12" t="str">
        <f>VLOOKUP('Програма-кодове'!K27,Списък!$A$1:$C$209,3,FALSE)</f>
        <v>география</v>
      </c>
      <c r="C210" s="87" t="str">
        <f>IF(OR(B210="физкултура",B210="музика",B210="рисуване",B210="ИТ/ДБТ",B210="домашен бит и техника"),"+","-")</f>
        <v>-</v>
      </c>
      <c r="D210" s="12" t="str">
        <f>VLOOKUP('Програма-кодове'!L27,Списък!$A$1:$C$209,3,FALSE)</f>
        <v>биология</v>
      </c>
      <c r="E210" s="87" t="str">
        <f>IF(OR(D210="физкултура",D210="музика",D210="рисуване",D210="ИТ/ДБТ",D210="домашен бит и техника"),"+","-")</f>
        <v>-</v>
      </c>
      <c r="F210" s="21" t="str">
        <f>VLOOKUP('Програма-кодове'!M27,Списък!$A$1:$C$209,3,FALSE)</f>
        <v>английски език</v>
      </c>
      <c r="G210" s="87" t="str">
        <f>IF(OR(F210="физкултура",F210="музика",F210="рисуване",F210="ИТ/ДБТ",F210="домашен бит и техника"),"+","-")</f>
        <v>-</v>
      </c>
      <c r="H210" s="12" t="str">
        <f>VLOOKUP('Програма-кодове'!N27,Списък!$A$1:$C$209,3,FALSE)</f>
        <v>химия</v>
      </c>
      <c r="I210" s="87" t="str">
        <f>IF(OR(H210="физкултура",H210="музика",H210="рисуване",H210="ИТ/ДБТ",H210="домашен бит и техника"),"+","-")</f>
        <v>-</v>
      </c>
      <c r="J210" s="12" t="str">
        <f>VLOOKUP('Програма-кодове'!O27,Списък!$A$1:$C$209,3,FALSE)</f>
        <v>химия</v>
      </c>
      <c r="K210" s="87" t="str">
        <f>IF(OR(J210="физкултура",J210="музика",J210="рисуване",J210="ИТ/ДБТ",J210="домашен бит и техника"),"+","-")</f>
        <v>-</v>
      </c>
      <c r="L210" s="46"/>
      <c r="M210" s="46"/>
    </row>
    <row r="211" spans="1:41" ht="12" customHeight="1">
      <c r="A211" s="13">
        <v>6</v>
      </c>
      <c r="B211" s="12" t="str">
        <f>VLOOKUP('Програма-кодове'!K28,Списък!$A$1:$C$209,3,FALSE)</f>
        <v>химия</v>
      </c>
      <c r="C211" s="87" t="str">
        <f>IF(OR(B211="история",B211="свят и личност",B211= "география",B211="химия",B211="биология",B211="физика",B211="философия"),"+","-")</f>
        <v>+</v>
      </c>
      <c r="D211" s="12" t="str">
        <f>VLOOKUP('Програма-кодове'!L28,Списък!$A$1:$C$209,3,FALSE)</f>
        <v>математика</v>
      </c>
      <c r="E211" s="87" t="str">
        <f>IF(OR(D211="история",D211="свят и личност",D211= "география",D211="химия",D211="биология",D211="физика",D211="философия"),"+","-")</f>
        <v>-</v>
      </c>
      <c r="F211" s="21" t="str">
        <f>VLOOKUP('Програма-кодове'!M28,Списък!$A$1:$C$209,3,FALSE)</f>
        <v>биология</v>
      </c>
      <c r="G211" s="87" t="str">
        <f>IF(OR(F211="история",F211="свят и личност",F211= "география",F211="химия",F211="биология",F211="физика",F211="философия"),"+","-")</f>
        <v>+</v>
      </c>
      <c r="H211" s="12" t="str">
        <f>VLOOKUP('Програма-кодове'!N28,Списък!$A$1:$C$209,3,FALSE)</f>
        <v>математика</v>
      </c>
      <c r="I211" s="87" t="str">
        <f>IF(OR(H211="история",H211="свят и личност",H211= "география",H211="химия",H211="биология",H211="физика",H211="философия"),"+","-")</f>
        <v>-</v>
      </c>
      <c r="J211" s="12" t="str">
        <f>VLOOKUP('Програма-кодове'!O28,Списък!$A$1:$C$209,3,FALSE)</f>
        <v>география</v>
      </c>
      <c r="K211" s="87" t="str">
        <f>IF(OR(J211="история",J211="свят и личност",J211= "география",J211="химия",J211="биология",J211="физика",J211="философия"),"+","-")</f>
        <v>+</v>
      </c>
      <c r="L211" s="46"/>
      <c r="M211" s="46"/>
    </row>
    <row r="212" spans="1:41" ht="12" customHeight="1">
      <c r="A212" s="13">
        <v>7</v>
      </c>
      <c r="B212" s="12">
        <f>VLOOKUP('Програма-кодове'!K29,Списък!$A$1:$C$209,3,FALSE)</f>
        <v>0</v>
      </c>
      <c r="C212" s="87"/>
      <c r="D212" s="21">
        <f>VLOOKUP('Програма-кодове'!L29,Списък!$A$1:$C$209,3,FALSE)</f>
        <v>0</v>
      </c>
      <c r="E212" s="87"/>
      <c r="F212" s="99">
        <f>VLOOKUP('Програма-кодове'!M29,Списък!$A$1:$C$209,3,FALSE)</f>
        <v>0</v>
      </c>
      <c r="G212" s="87"/>
      <c r="H212" s="21">
        <f>VLOOKUP('Програма-кодове'!N29,Списък!$A$1:$C$209,3,FALSE)</f>
        <v>0</v>
      </c>
      <c r="I212" s="87"/>
      <c r="J212" s="12">
        <f>VLOOKUP('Програма-кодове'!O29,Списък!$A$1:$C$209,3,FALSE)</f>
        <v>0</v>
      </c>
      <c r="K212" s="87"/>
      <c r="L212" s="46"/>
      <c r="M212" s="46"/>
    </row>
    <row r="213" spans="1:41" ht="12" customHeight="1">
      <c r="C213" s="88">
        <f>COUNTIF(C206:C211,"+")/6</f>
        <v>0.66666666666666663</v>
      </c>
      <c r="D213" s="21"/>
      <c r="E213" s="88">
        <f>COUNTIF(E206:E211,"+")/6</f>
        <v>0</v>
      </c>
      <c r="F213" s="21"/>
      <c r="G213" s="88">
        <f>COUNTIF(G206:G211,"+")/6</f>
        <v>0.5</v>
      </c>
      <c r="H213" s="21"/>
      <c r="I213" s="88">
        <f>COUNTIF(I206:I211,"+")/6</f>
        <v>0</v>
      </c>
      <c r="K213" s="88">
        <f>COUNTIF(K206:K211,"+")/6</f>
        <v>0.83333333333333337</v>
      </c>
      <c r="L213" s="46" t="s">
        <v>95</v>
      </c>
      <c r="M213" s="47">
        <f>(C213+E213+G213+I213+K213)/5</f>
        <v>0.4</v>
      </c>
    </row>
    <row r="214" spans="1:41" ht="1.5" customHeight="1">
      <c r="A214" s="14"/>
      <c r="B214" s="15" t="e">
        <f>VLOOKUP('Програма-кодове'!#REF!,Списък!$A$1:$C$209,3,FALSE)</f>
        <v>#REF!</v>
      </c>
      <c r="C214" s="15"/>
      <c r="D214" s="15" t="e">
        <f>VLOOKUP('Програма-кодове'!#REF!,Списък!$A$1:$C$209,3,FALSE)</f>
        <v>#REF!</v>
      </c>
      <c r="E214" s="15"/>
      <c r="F214" s="15" t="e">
        <f>VLOOKUP('Програма-кодове'!#REF!,Списък!$A$1:$C$209,3,FALSE)</f>
        <v>#REF!</v>
      </c>
      <c r="G214" s="15"/>
      <c r="H214" s="15" t="e">
        <f>VLOOKUP('Програма-кодове'!#REF!,Списък!$A$1:$C$209,3,FALSE)</f>
        <v>#REF!</v>
      </c>
      <c r="I214" s="15"/>
      <c r="J214" s="15" t="e">
        <f>VLOOKUP('Програма-кодове'!#REF!,Списък!$A$1:$C$209,3,FALSE)</f>
        <v>#REF!</v>
      </c>
      <c r="K214" s="15"/>
      <c r="L214" s="46"/>
      <c r="M214" s="46"/>
    </row>
    <row r="215" spans="1:41" s="13" customFormat="1" ht="12" customHeight="1">
      <c r="B215" s="13" t="s">
        <v>10</v>
      </c>
      <c r="D215" s="13" t="s">
        <v>11</v>
      </c>
      <c r="F215" s="13" t="s">
        <v>12</v>
      </c>
      <c r="H215" s="13" t="s">
        <v>13</v>
      </c>
      <c r="J215" s="13" t="s">
        <v>14</v>
      </c>
      <c r="K215" s="12"/>
      <c r="L215" s="46"/>
      <c r="M215" s="46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</row>
    <row r="216" spans="1:41" ht="12" customHeight="1">
      <c r="A216" s="13">
        <v>1</v>
      </c>
      <c r="B216" s="12" t="str">
        <f>VLOOKUP('Програма-кодове'!P23,Списък!$A$1:$C$209,3,FALSE)</f>
        <v>математика</v>
      </c>
      <c r="C216" s="87" t="str">
        <f>IF(OR(B216="история",B216="свят и личност",B216= "география",B216="химия",B216="биология",B216="физика",B216="философия"),"+","-")</f>
        <v>-</v>
      </c>
      <c r="D216" s="21" t="str">
        <f>VLOOKUP('Програма-кодове'!Q23,Списък!$A$1:$C$209,3,FALSE)</f>
        <v>ІІ - ри чужд език</v>
      </c>
      <c r="E216" s="87" t="str">
        <f>IF(OR(D216="история",D216="свят и личност",D216= "география",D216="химия",D216="биология",D216="физика",D216="философия"),"+","-")</f>
        <v>-</v>
      </c>
      <c r="F216" s="12" t="str">
        <f>VLOOKUP('Програма-кодове'!R23,Списък!$A$1:$C$209,3,FALSE)</f>
        <v>ІІ - ри чужд език</v>
      </c>
      <c r="G216" s="87" t="str">
        <f>IF(OR(F216="история",F216="свят и личност",F216= "география",F216="химия",F216="биология",F216="физика",F216="философия"),"+","-")</f>
        <v>-</v>
      </c>
      <c r="H216" s="12" t="str">
        <f>VLOOKUP('Програма-кодове'!S23,Списък!$A$1:$C$209,3,FALSE)</f>
        <v>английски език</v>
      </c>
      <c r="I216" s="87" t="str">
        <f>IF(OR(H216="история",H216="свят и личност",H216= "география",H216="химия",H216="биология",H216="физика",H216="философия"),"+","-")</f>
        <v>-</v>
      </c>
      <c r="J216" s="12" t="str">
        <f>VLOOKUP('Програма-кодове'!T23,Списък!$A$1:$C$209,3,FALSE)</f>
        <v>химия</v>
      </c>
      <c r="K216" s="87" t="str">
        <f>IF(OR(J216="история",J216="свят и личност",J216= "география",J216="химия",J216="биология",J216="физика",J216="философия"),"+","-")</f>
        <v>+</v>
      </c>
      <c r="L216" s="46"/>
      <c r="M216" s="46"/>
    </row>
    <row r="217" spans="1:41" ht="12" customHeight="1">
      <c r="A217" s="13">
        <v>2</v>
      </c>
      <c r="B217" s="12" t="str">
        <f>VLOOKUP('Програма-кодове'!P24,Списък!$A$1:$C$209,3,FALSE)</f>
        <v>информатика</v>
      </c>
      <c r="C217" s="87" t="str">
        <f>IF(OR(B217="математика",B217="информатика",B217="английски език",B217="немски език",B217="руски език",B217="бълг. език",B217="ІІ - ри чужд език", B217="ИТ/ДБТ"),"+","-")</f>
        <v>+</v>
      </c>
      <c r="D217" s="21" t="str">
        <f>VLOOKUP('Програма-кодове'!Q24,Списък!$A$1:$C$209,3,FALSE)</f>
        <v>ІІ - ри чужд език</v>
      </c>
      <c r="E217" s="87" t="str">
        <f>IF(OR(D217="математика",D217="информатика",D217="английски език",D217="немски език",D217="руски език",D217="бълг. език",D217="ІІ - ри чужд език", D217="ИТ/ДБТ"),"+","-")</f>
        <v>+</v>
      </c>
      <c r="F217" s="12" t="str">
        <f>VLOOKUP('Програма-кодове'!R24,Списък!$A$1:$C$209,3,FALSE)</f>
        <v>ІІ - ри чужд език</v>
      </c>
      <c r="G217" s="87" t="str">
        <f>IF(OR(F217="математика",F217="информатика",F217="английски език",F217="немски език",F217="руски език",F217="бълг. език",F217="ІІ - ри чужд език", F217="ИТ/ДБТ"),"+","-")</f>
        <v>+</v>
      </c>
      <c r="H217" s="12" t="str">
        <f>VLOOKUP('Програма-кодове'!S24,Списък!$A$1:$C$209,3,FALSE)</f>
        <v>философия</v>
      </c>
      <c r="I217" s="87" t="str">
        <f>IF(OR(H217="математика",H217="информатика",H217="английски език",H217="немски език",H217="руски език",H217="бълг. език",H217="ІІ - ри чужд език", H217="ИТ/ДБТ"),"+","-")</f>
        <v>-</v>
      </c>
      <c r="J217" s="12" t="str">
        <f>VLOOKUP('Програма-кодове'!T24,Списък!$A$1:$C$209,3,FALSE)</f>
        <v>английски език</v>
      </c>
      <c r="K217" s="87" t="str">
        <f>IF(OR(J217="математика",J217="информатика",J217="английски език",J217="немски език",J217="руски език",J217="бълг. език",J217="ІІ - ри чужд език", J217="ИТ/ДБТ"),"+","-")</f>
        <v>+</v>
      </c>
      <c r="L217" s="46"/>
      <c r="M217" s="46"/>
    </row>
    <row r="218" spans="1:41" ht="12" customHeight="1">
      <c r="A218" s="13">
        <v>3</v>
      </c>
      <c r="B218" s="12" t="str">
        <f>VLOOKUP('Програма-кодове'!P25,Списък!$A$1:$C$209,3,FALSE)</f>
        <v>история</v>
      </c>
      <c r="C218" s="87" t="str">
        <f>IF(OR(B218="математика",B218="информатика",B218="английски език",B218="немски език",B218="руски език",B218="бълг. език",B218="ІІ - ри чужд език", B218="ИТ/ДБТ"),"+","-")</f>
        <v>-</v>
      </c>
      <c r="D218" s="21" t="str">
        <f>VLOOKUP('Програма-кодове'!Q25,Списък!$A$1:$C$209,3,FALSE)</f>
        <v>информатика</v>
      </c>
      <c r="E218" s="87" t="str">
        <f>IF(OR(D218="математика",D218="информатика",D218="английски език",D218="немски език",D218="руски език",D218="бълг. език",D218="ІІ - ри чужд език", D218="ИТ/ДБТ"),"+","-")</f>
        <v>+</v>
      </c>
      <c r="F218" s="12" t="str">
        <f>VLOOKUP('Програма-кодове'!R25,Списък!$A$1:$C$209,3,FALSE)</f>
        <v>английски език</v>
      </c>
      <c r="G218" s="87" t="str">
        <f>IF(OR(F218="математика",F218="информатика",F218="английски език",F218="немски език",F218="руски език",F218="бълг. език",F218="ІІ - ри чужд език", F218="ИТ/ДБТ"),"+","-")</f>
        <v>+</v>
      </c>
      <c r="H218" s="12" t="str">
        <f>VLOOKUP('Програма-кодове'!S25,Списък!$A$1:$C$209,3,FALSE)</f>
        <v>математика</v>
      </c>
      <c r="I218" s="87" t="str">
        <f>IF(OR(H218="математика",H218="информатика",H218="английски език",H218="немски език",H218="руски език",H218="бълг. език",H218="ІІ - ри чужд език", H218="ИТ/ДБТ"),"+","-")</f>
        <v>+</v>
      </c>
      <c r="J218" s="12" t="str">
        <f>VLOOKUP('Програма-кодове'!T25,Списък!$A$1:$C$209,3,FALSE)</f>
        <v>математика</v>
      </c>
      <c r="K218" s="87" t="str">
        <f>IF(OR(J218="математика",J218="информатика",J218="английски език",J218="немски език",J218="руски език",J218="бълг. език",J218="ІІ - ри чужд език", J218="ИТ/ДБТ"),"+","-")</f>
        <v>+</v>
      </c>
      <c r="L218" s="46"/>
      <c r="M218" s="46"/>
    </row>
    <row r="219" spans="1:41" ht="12" customHeight="1">
      <c r="A219" s="13">
        <v>4</v>
      </c>
      <c r="B219" s="12" t="str">
        <f>VLOOKUP('Програма-кодове'!P26,Списък!$A$1:$C$209,3,FALSE)</f>
        <v>химия</v>
      </c>
      <c r="C219" s="87" t="str">
        <f>IF(OR(B219="математика",B219="информатика",B219="английски език",B219="немски език",B219="руски език",B219="бълг. език",B219="ІІ - ри чужд език", B219="ИТ/ДБТ"),"+","-")</f>
        <v>-</v>
      </c>
      <c r="D219" s="21" t="str">
        <f>VLOOKUP('Програма-кодове'!Q26,Списък!$A$1:$C$209,3,FALSE)</f>
        <v>философия</v>
      </c>
      <c r="E219" s="87" t="str">
        <f>IF(OR(D219="математика",D219="информатика",D219="английски език",D219="немски език",D219="руски език",D219="бълг. език",D219="ІІ - ри чужд език", D219="ИТ/ДБТ"),"+","-")</f>
        <v>-</v>
      </c>
      <c r="F219" s="12" t="str">
        <f>VLOOKUP('Програма-кодове'!R26,Списък!$A$1:$C$209,3,FALSE)</f>
        <v>информатика</v>
      </c>
      <c r="G219" s="87" t="str">
        <f>IF(OR(F219="математика",F219="информатика",F219="английски език",F219="немски език",F219="руски език",F219="бълг. език",F219="ІІ - ри чужд език", F219="ИТ/ДБТ"),"+","-")</f>
        <v>+</v>
      </c>
      <c r="H219" s="12" t="str">
        <f>VLOOKUP('Програма-кодове'!S26,Списък!$A$1:$C$209,3,FALSE)</f>
        <v>математика</v>
      </c>
      <c r="I219" s="87" t="str">
        <f>IF(OR(H219="математика",H219="информатика",H219="английски език",H219="немски език",H219="руски език",H219="бълг. език",H219="ІІ - ри чужд език", H219="ИТ/ДБТ"),"+","-")</f>
        <v>+</v>
      </c>
      <c r="J219" s="12" t="str">
        <f>VLOOKUP('Програма-кодове'!T26,Списък!$A$1:$C$209,3,FALSE)</f>
        <v>физкултура</v>
      </c>
      <c r="K219" s="87" t="str">
        <f>IF(OR(J219="математика",J219="информатика",J219="английски език",J219="немски език",J219="руски език",J219="бълг. език",J219="ІІ - ри чужд език", J219="ИТ/ДБТ"),"+","-")</f>
        <v>-</v>
      </c>
      <c r="L219" s="46"/>
      <c r="M219" s="46"/>
    </row>
    <row r="220" spans="1:41" ht="12" customHeight="1">
      <c r="A220" s="13">
        <v>5</v>
      </c>
      <c r="B220" s="12" t="str">
        <f>VLOOKUP('Програма-кодове'!P27,Списък!$A$1:$C$209,3,FALSE)</f>
        <v>ІІ - ри чужд език</v>
      </c>
      <c r="C220" s="87" t="str">
        <f>IF(OR(B220="физкултура",B220="музика",B220="рисуване",B220="ИТ/ДБТ",B220="домашен бит и техника"),"+","-")</f>
        <v>-</v>
      </c>
      <c r="D220" s="21" t="str">
        <f>VLOOKUP('Програма-кодове'!Q27,Списък!$A$1:$C$209,3,FALSE)</f>
        <v>бълг. език</v>
      </c>
      <c r="E220" s="87" t="str">
        <f>IF(OR(D220="физкултура",D220="музика",D220="рисуване",D220="ИТ/ДБТ",D220="домашен бит и техника"),"+","-")</f>
        <v>-</v>
      </c>
      <c r="F220" s="12" t="str">
        <f>VLOOKUP('Програма-кодове'!R27,Списък!$A$1:$C$209,3,FALSE)</f>
        <v>философия</v>
      </c>
      <c r="G220" s="87" t="str">
        <f>IF(OR(F220="физкултура",F220="музика",F220="рисуване",F220="ИТ/ДБТ",F220="домашен бит и техника"),"+","-")</f>
        <v>-</v>
      </c>
      <c r="H220" s="12" t="str">
        <f>VLOOKUP('Програма-кодове'!S27,Списък!$A$1:$C$209,3,FALSE)</f>
        <v>информатика</v>
      </c>
      <c r="I220" s="87" t="str">
        <f>IF(OR(H220="физкултура",H220="музика",H220="рисуване",H220="ИТ/ДБТ",H220="домашен бит и техника"),"+","-")</f>
        <v>-</v>
      </c>
      <c r="J220" s="12" t="str">
        <f>VLOOKUP('Програма-кодове'!T27,Списък!$A$1:$C$209,3,FALSE)</f>
        <v>биология</v>
      </c>
      <c r="K220" s="87" t="str">
        <f>IF(OR(J220="физкултура",J220="музика",J220="рисуване",J220="ИТ/ДБТ",J220="домашен бит и техника"),"+","-")</f>
        <v>-</v>
      </c>
      <c r="L220" s="46"/>
      <c r="M220" s="46"/>
    </row>
    <row r="221" spans="1:41" ht="12" customHeight="1">
      <c r="A221" s="13">
        <v>6</v>
      </c>
      <c r="B221" s="12" t="str">
        <f>VLOOKUP('Програма-кодове'!P28,Списък!$A$1:$C$209,3,FALSE)</f>
        <v>ІІ - ри чужд език</v>
      </c>
      <c r="C221" s="87" t="str">
        <f>IF(OR(B221="история",B221="свят и личност",B221= "география",B221="химия",B221="биология",B221="физика",B221="философия"),"+","-")</f>
        <v>-</v>
      </c>
      <c r="D221" s="21" t="str">
        <f>VLOOKUP('Програма-кодове'!Q28,Списък!$A$1:$C$209,3,FALSE)</f>
        <v>биология</v>
      </c>
      <c r="E221" s="87" t="str">
        <f>IF(OR(D221="история",D221="свят и личност",D221= "география",D221="химия",D221="биология",D221="физика",D221="философия"),"+","-")</f>
        <v>+</v>
      </c>
      <c r="F221" s="12" t="str">
        <f>VLOOKUP('Програма-кодове'!R28,Списък!$A$1:$C$209,3,FALSE)</f>
        <v>география</v>
      </c>
      <c r="G221" s="87" t="str">
        <f>IF(OR(F221="история",F221="свят и личност",F221= "география",F221="химия",F221="биология",F221="физика",F221="философия"),"+","-")</f>
        <v>+</v>
      </c>
      <c r="H221" s="12" t="str">
        <f>VLOOKUP('Програма-кодове'!S28,Списък!$A$1:$C$209,3,FALSE)</f>
        <v>бълг. език</v>
      </c>
      <c r="I221" s="87" t="str">
        <f>IF(OR(H221="история",H221="свят и личност",H221= "география",H221="химия",H221="биология",H221="физика",H221="философия"),"+","-")</f>
        <v>-</v>
      </c>
      <c r="J221" s="12" t="str">
        <f>VLOOKUP('Програма-кодове'!T28,Списък!$A$1:$C$209,3,FALSE)</f>
        <v>философия</v>
      </c>
      <c r="K221" s="87" t="str">
        <f>IF(OR(J221="история",J221="свят и личност",J221= "география",J221="химия",J221="биология",J221="физика",J221="философия"),"+","-")</f>
        <v>+</v>
      </c>
      <c r="L221" s="46"/>
      <c r="M221" s="46"/>
    </row>
    <row r="222" spans="1:41" ht="12" customHeight="1">
      <c r="A222" s="13">
        <v>7</v>
      </c>
      <c r="B222" s="12">
        <f>VLOOKUP('Програма-кодове'!P29,Списък!$A$1:$C$209,3,FALSE)</f>
        <v>0</v>
      </c>
      <c r="C222" s="87"/>
      <c r="D222" s="21">
        <f>VLOOKUP('Програма-кодове'!Q29,Списък!$A$1:$C$209,3,FALSE)</f>
        <v>0</v>
      </c>
      <c r="E222" s="87"/>
      <c r="F222" s="12">
        <f>VLOOKUP('Програма-кодове'!R29,Списък!$A$1:$C$209,3,FALSE)</f>
        <v>0</v>
      </c>
      <c r="G222" s="87"/>
      <c r="H222" s="12">
        <f>VLOOKUP('Програма-кодове'!S29,Списък!$A$1:$C$209,3,FALSE)</f>
        <v>0</v>
      </c>
      <c r="I222" s="87"/>
      <c r="J222" s="12">
        <f>VLOOKUP('Програма-кодове'!T29,Списък!$A$1:$C$209,3,FALSE)</f>
        <v>0</v>
      </c>
      <c r="K222" s="87"/>
      <c r="L222" s="46"/>
      <c r="M222" s="46"/>
    </row>
    <row r="223" spans="1:41" ht="12" customHeight="1">
      <c r="C223" s="88">
        <f>COUNTIF(C216:C221,"+")/6</f>
        <v>0.16666666666666666</v>
      </c>
      <c r="D223" s="21"/>
      <c r="E223" s="88">
        <f>COUNTIF(E216:E221,"+")/6</f>
        <v>0.5</v>
      </c>
      <c r="G223" s="88">
        <f>COUNTIF(G216:G221,"+")/6</f>
        <v>0.66666666666666663</v>
      </c>
      <c r="I223" s="88">
        <f>COUNTIF(I216:I221,"+")/6</f>
        <v>0.33333333333333331</v>
      </c>
      <c r="K223" s="88">
        <f>COUNTIF(K216:K221,"+")/6</f>
        <v>0.66666666666666663</v>
      </c>
      <c r="L223" s="46" t="s">
        <v>95</v>
      </c>
      <c r="M223" s="47">
        <f>(C223+E223+G223+I223+K223)/5</f>
        <v>0.46666666666666662</v>
      </c>
    </row>
    <row r="224" spans="1:41" ht="1.5" customHeight="1">
      <c r="A224" s="14"/>
      <c r="B224" s="15"/>
      <c r="C224" s="15"/>
      <c r="D224" s="15"/>
      <c r="E224" s="15"/>
      <c r="F224" s="15"/>
      <c r="G224" s="15"/>
      <c r="H224" s="15"/>
      <c r="I224" s="15"/>
      <c r="J224" s="15"/>
      <c r="L224" s="46"/>
      <c r="M224" s="46"/>
    </row>
    <row r="225" spans="1:41" s="13" customFormat="1" ht="12" customHeight="1">
      <c r="B225" s="13" t="s">
        <v>15</v>
      </c>
      <c r="D225" s="13" t="s">
        <v>16</v>
      </c>
      <c r="F225" s="13" t="s">
        <v>17</v>
      </c>
      <c r="H225" s="13" t="s">
        <v>46</v>
      </c>
      <c r="J225" s="13" t="s">
        <v>18</v>
      </c>
      <c r="K225" s="12"/>
      <c r="L225" s="46"/>
      <c r="M225" s="46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</row>
    <row r="226" spans="1:41" ht="12" customHeight="1">
      <c r="A226" s="13">
        <v>1</v>
      </c>
      <c r="B226" s="12" t="str">
        <f>VLOOKUP('Програма-кодове'!U23,Списък!$A$1:$C$209,3,FALSE)</f>
        <v>физкултура</v>
      </c>
      <c r="C226" s="87" t="str">
        <f>IF(OR(B226="история",B226="свят и личност",B226= "география",B226="химия",B226="биология",B226="физика",B226="философия"),"+","-")</f>
        <v>-</v>
      </c>
      <c r="D226" s="12" t="str">
        <f>VLOOKUP('Програма-кодове'!V23,Списък!$A$1:$C$209,3,FALSE)</f>
        <v>математика</v>
      </c>
      <c r="E226" s="87" t="str">
        <f>IF(OR(D226="история",D226="свят и личност",D226= "география",D226="химия",D226="биология",D226="физика",D226="философия"),"+","-")</f>
        <v>-</v>
      </c>
      <c r="F226" s="21" t="str">
        <f>VLOOKUP('Програма-кодове'!W23,Списък!$A$1:$C$209,3,FALSE)</f>
        <v>английски език</v>
      </c>
      <c r="G226" s="87" t="str">
        <f>IF(OR(F226="история",F226="свят и личност",F226= "география",F226="химия",F226="биология",F226="физика",F226="философия"),"+","-")</f>
        <v>-</v>
      </c>
      <c r="H226" s="21" t="str">
        <f>VLOOKUP('Програма-кодове'!X23,Списък!$A$1:$C$209,3,FALSE)</f>
        <v>бълг. език</v>
      </c>
      <c r="I226" s="87" t="str">
        <f>IF(OR(H226="история",H226="свят и личност",H226= "география",H226="химия",H226="биология",H226="физика",H226="философия"),"+","-")</f>
        <v>-</v>
      </c>
      <c r="J226" s="12" t="str">
        <f>VLOOKUP('Програма-кодове'!Y23,Списък!$A$1:$C$209,3,FALSE)</f>
        <v>философия</v>
      </c>
      <c r="K226" s="87" t="str">
        <f>IF(OR(J226="история",J226="свят и личност",J226= "география",J226="химия",J226="биология",J226="физика",J226="философия"),"+","-")</f>
        <v>+</v>
      </c>
      <c r="L226" s="46"/>
      <c r="M226" s="46"/>
    </row>
    <row r="227" spans="1:41" ht="12" customHeight="1">
      <c r="A227" s="13">
        <v>2</v>
      </c>
      <c r="B227" s="12" t="str">
        <f>VLOOKUP('Програма-кодове'!U24,Списък!$A$1:$C$209,3,FALSE)</f>
        <v>физика</v>
      </c>
      <c r="C227" s="87" t="str">
        <f>IF(OR(B227="математика",B227="информатика",B227="английски език",B227="немски език",B227="руски език",B227="бълг. език",B227="ІІ - ри чужд език", B227="ИТ/ДБТ"),"+","-")</f>
        <v>-</v>
      </c>
      <c r="D227" s="12" t="str">
        <f>VLOOKUP('Програма-кодове'!V24,Списък!$A$1:$C$209,3,FALSE)</f>
        <v>английски език</v>
      </c>
      <c r="E227" s="87" t="str">
        <f>IF(OR(D227="математика",D227="информатика",D227="английски език",D227="немски език",D227="руски език",D227="бълг. език",D227="ІІ - ри чужд език", D227="ИТ/ДБТ"),"+","-")</f>
        <v>+</v>
      </c>
      <c r="F227" s="21" t="str">
        <f>VLOOKUP('Програма-кодове'!W24,Списък!$A$1:$C$209,3,FALSE)</f>
        <v>история</v>
      </c>
      <c r="G227" s="87" t="str">
        <f>IF(OR(F227="математика",F227="информатика",F227="английски език",F227="немски език",F227="руски език",F227="бълг. език",F227="ІІ - ри чужд език", F227="ИТ/ДБТ"),"+","-")</f>
        <v>-</v>
      </c>
      <c r="H227" s="21" t="str">
        <f>VLOOKUP('Програма-кодове'!X24,Списък!$A$1:$C$209,3,FALSE)</f>
        <v>бълг. език</v>
      </c>
      <c r="I227" s="87" t="str">
        <f>IF(OR(H227="математика",H227="информатика",H227="английски език",H227="немски език",H227="руски език",H227="бълг. език",H227="ІІ - ри чужд език", H227="ИТ/ДБТ"),"+","-")</f>
        <v>+</v>
      </c>
      <c r="J227" s="12" t="str">
        <f>VLOOKUP('Програма-кодове'!Y24,Списък!$A$1:$C$209,3,FALSE)</f>
        <v>математика</v>
      </c>
      <c r="K227" s="87" t="str">
        <f>IF(OR(J227="математика",J227="информатика",J227="английски език",J227="немски език",J227="руски език",J227="бълг. език",J227="ІІ - ри чужд език", J227="ИТ/ДБТ"),"+","-")</f>
        <v>+</v>
      </c>
      <c r="L227" s="46"/>
      <c r="M227" s="46"/>
    </row>
    <row r="228" spans="1:41" ht="12" customHeight="1">
      <c r="A228" s="13">
        <v>3</v>
      </c>
      <c r="B228" s="12" t="str">
        <f>VLOOKUP('Програма-кодове'!U25,Списък!$A$1:$C$209,3,FALSE)</f>
        <v>история</v>
      </c>
      <c r="C228" s="87" t="str">
        <f>IF(OR(B228="математика",B228="информатика",B228="английски език",B228="немски език",B228="руски език",B228="бълг. език",B228="ІІ - ри чужд език", B228="ИТ/ДБТ"),"+","-")</f>
        <v>-</v>
      </c>
      <c r="D228" s="12" t="str">
        <f>VLOOKUP('Програма-кодове'!V25,Списък!$A$1:$C$209,3,FALSE)</f>
        <v>физика</v>
      </c>
      <c r="E228" s="87" t="str">
        <f>IF(OR(D228="математика",D228="информатика",D228="английски език",D228="немски език",D228="руски език",D228="бълг. език",D228="ІІ - ри чужд език", D228="ИТ/ДБТ"),"+","-")</f>
        <v>-</v>
      </c>
      <c r="F228" s="21" t="str">
        <f>VLOOKUP('Програма-кодове'!W25,Списък!$A$1:$C$209,3,FALSE)</f>
        <v>бълг. език</v>
      </c>
      <c r="G228" s="87" t="str">
        <f>IF(OR(F228="математика",F228="информатика",F228="английски език",F228="немски език",F228="руски език",F228="бълг. език",F228="ІІ - ри чужд език", F228="ИТ/ДБТ"),"+","-")</f>
        <v>+</v>
      </c>
      <c r="H228" s="21" t="str">
        <f>VLOOKUP('Програма-кодове'!X25,Списък!$A$1:$C$209,3,FALSE)</f>
        <v>английски език</v>
      </c>
      <c r="I228" s="87" t="str">
        <f>IF(OR(H228="математика",H228="информатика",H228="английски език",H228="немски език",H228="руски език",H228="бълг. език",H228="ІІ - ри чужд език", H228="ИТ/ДБТ"),"+","-")</f>
        <v>+</v>
      </c>
      <c r="J228" s="12" t="str">
        <f>VLOOKUP('Програма-кодове'!Y25,Списък!$A$1:$C$209,3,FALSE)</f>
        <v>биология</v>
      </c>
      <c r="K228" s="87" t="str">
        <f>IF(OR(J228="математика",J228="информатика",J228="английски език",J228="немски език",J228="руски език",J228="бълг. език",J228="ІІ - ри чужд език", J228="ИТ/ДБТ"),"+","-")</f>
        <v>-</v>
      </c>
      <c r="L228" s="46"/>
      <c r="M228" s="46"/>
    </row>
    <row r="229" spans="1:41" ht="12" customHeight="1">
      <c r="A229" s="13">
        <v>4</v>
      </c>
      <c r="B229" s="12" t="str">
        <f>VLOOKUP('Програма-кодове'!U26,Списък!$A$1:$C$209,3,FALSE)</f>
        <v>английски език</v>
      </c>
      <c r="C229" s="87" t="str">
        <f>IF(OR(B229="математика",B229="информатика",B229="английски език",B229="немски език",B229="руски език",B229="бълг. език",B229="ІІ - ри чужд език", B229="ИТ/ДБТ"),"+","-")</f>
        <v>+</v>
      </c>
      <c r="D229" s="12" t="str">
        <f>VLOOKUP('Програма-кодове'!V26,Списък!$A$1:$C$209,3,FALSE)</f>
        <v>биология</v>
      </c>
      <c r="E229" s="87" t="str">
        <f>IF(OR(D229="математика",D229="информатика",D229="английски език",D229="немски език",D229="руски език",D229="бълг. език",D229="ІІ - ри чужд език", D229="ИТ/ДБТ"),"+","-")</f>
        <v>-</v>
      </c>
      <c r="F229" s="21" t="str">
        <f>VLOOKUP('Програма-кодове'!W26,Списък!$A$1:$C$209,3,FALSE)</f>
        <v>бълг. език</v>
      </c>
      <c r="G229" s="87" t="str">
        <f>IF(OR(F229="математика",F229="информатика",F229="английски език",F229="немски език",F229="руски език",F229="бълг. език",F229="ІІ - ри чужд език", F229="ИТ/ДБТ"),"+","-")</f>
        <v>+</v>
      </c>
      <c r="H229" s="21" t="str">
        <f>VLOOKUP('Програма-кодове'!X26,Списък!$A$1:$C$209,3,FALSE)</f>
        <v>история</v>
      </c>
      <c r="I229" s="87" t="str">
        <f>IF(OR(H229="математика",H229="информатика",H229="английски език",H229="немски език",H229="руски език",H229="бълг. език",H229="ІІ - ри чужд език", H229="ИТ/ДБТ"),"+","-")</f>
        <v>-</v>
      </c>
      <c r="J229" s="12" t="str">
        <f>VLOOKUP('Програма-кодове'!Y26,Списък!$A$1:$C$209,3,FALSE)</f>
        <v>английски език</v>
      </c>
      <c r="K229" s="87" t="str">
        <f>IF(OR(J229="математика",J229="информатика",J229="английски език",J229="немски език",J229="руски език",J229="бълг. език",J229="ІІ - ри чужд език", J229="ИТ/ДБТ"),"+","-")</f>
        <v>+</v>
      </c>
      <c r="L229" s="46"/>
      <c r="M229" s="46"/>
    </row>
    <row r="230" spans="1:41" ht="12" customHeight="1">
      <c r="A230" s="13">
        <v>5</v>
      </c>
      <c r="B230" s="12" t="str">
        <f>VLOOKUP('Програма-кодове'!U27,Списък!$A$1:$C$209,3,FALSE)</f>
        <v>информатика</v>
      </c>
      <c r="C230" s="87" t="str">
        <f>IF(OR(B230="физкултура",B230="музика",B230="рисуване",B230="ИТ/ДБТ",B230="домашен бит и техника"),"+","-")</f>
        <v>-</v>
      </c>
      <c r="D230" s="12" t="str">
        <f>VLOOKUP('Програма-кодове'!V27,Списък!$A$1:$C$209,3,FALSE)</f>
        <v>химия</v>
      </c>
      <c r="E230" s="87" t="str">
        <f>IF(OR(D230="физкултура",D230="музика",D230="рисуване",D230="ИТ/ДБТ",D230="домашен бит и техника"),"+","-")</f>
        <v>-</v>
      </c>
      <c r="F230" s="21" t="str">
        <f>VLOOKUP('Програма-кодове'!W27,Списък!$A$1:$C$209,3,FALSE)</f>
        <v>физика</v>
      </c>
      <c r="G230" s="87" t="str">
        <f>IF(OR(F230="физкултура",F230="музика",F230="рисуване",F230="ИТ/ДБТ",F230="домашен бит и техника"),"+","-")</f>
        <v>-</v>
      </c>
      <c r="H230" s="21" t="str">
        <f>VLOOKUP('Програма-кодове'!X27,Списък!$A$1:$C$209,3,FALSE)</f>
        <v>география</v>
      </c>
      <c r="I230" s="87" t="str">
        <f>IF(OR(H230="физкултура",H230="музика",H230="рисуване",H230="ИТ/ДБТ",H230="домашен бит и техника"),"+","-")</f>
        <v>-</v>
      </c>
      <c r="J230" s="12" t="str">
        <f>VLOOKUP('Програма-кодове'!Y27,Списък!$A$1:$C$209,3,FALSE)</f>
        <v>бълг. език</v>
      </c>
      <c r="K230" s="87" t="str">
        <f>IF(OR(J230="физкултура",J230="музика",J230="рисуване",J230="ИТ/ДБТ",J230="домашен бит и техника"),"+","-")</f>
        <v>-</v>
      </c>
      <c r="L230" s="46"/>
      <c r="M230" s="46"/>
    </row>
    <row r="231" spans="1:41" ht="12" customHeight="1">
      <c r="A231" s="13">
        <v>6</v>
      </c>
      <c r="B231" s="12" t="str">
        <f>VLOOKUP('Програма-кодове'!U28,Списък!$A$1:$C$209,3,FALSE)</f>
        <v>математика</v>
      </c>
      <c r="C231" s="87" t="str">
        <f>IF(OR(B231="история",B231="свят и личност",B231= "география",B231="химия",B231="биология",B231="физика",B231="философия"),"+","-")</f>
        <v>-</v>
      </c>
      <c r="D231" s="12" t="str">
        <f>VLOOKUP('Програма-кодове'!V28,Списък!$A$1:$C$209,3,FALSE)</f>
        <v>информатика</v>
      </c>
      <c r="E231" s="87" t="str">
        <f>IF(OR(D231="история",D231="свят и личност",D231= "география",D231="химия",D231="биология",D231="физика",D231="философия"),"+","-")</f>
        <v>-</v>
      </c>
      <c r="F231" s="21" t="str">
        <f>VLOOKUP('Програма-кодове'!W28,Списък!$A$1:$C$209,3,FALSE)</f>
        <v>химия</v>
      </c>
      <c r="G231" s="87" t="str">
        <f>IF(OR(F231="история",F231="свят и личност",F231= "география",F231="химия",F231="биология",F231="физика",F231="философия"),"+","-")</f>
        <v>+</v>
      </c>
      <c r="H231" s="21" t="str">
        <f>VLOOKUP('Програма-кодове'!X28,Списък!$A$1:$C$209,3,FALSE)</f>
        <v>физика</v>
      </c>
      <c r="I231" s="87" t="str">
        <f>IF(OR(H231="история",H231="свят и личност",H231= "география",H231="химия",H231="биология",H231="физика",H231="философия"),"+","-")</f>
        <v>+</v>
      </c>
      <c r="J231" s="12" t="str">
        <f>VLOOKUP('Програма-кодове'!Y28,Списък!$A$1:$C$209,3,FALSE)</f>
        <v>бълг. език</v>
      </c>
      <c r="K231" s="87" t="str">
        <f>IF(OR(J231="история",J231="свят и личност",J231= "география",J231="химия",J231="биология",J231="физика",J231="философия"),"+","-")</f>
        <v>-</v>
      </c>
      <c r="L231" s="46"/>
      <c r="M231" s="46"/>
    </row>
    <row r="232" spans="1:41" ht="12" customHeight="1">
      <c r="A232" s="13">
        <v>7</v>
      </c>
      <c r="B232" s="12">
        <f>VLOOKUP('Програма-кодове'!U29,Списък!$A$1:$C$209,3,FALSE)</f>
        <v>0</v>
      </c>
      <c r="C232" s="87"/>
      <c r="D232" s="12">
        <f>VLOOKUP('Програма-кодове'!V29,Списък!$A$1:$C$209,3,FALSE)</f>
        <v>0</v>
      </c>
      <c r="E232" s="87"/>
      <c r="F232" s="21">
        <f>VLOOKUP('Програма-кодове'!W29,Списък!$A$1:$C$209,3,FALSE)</f>
        <v>0</v>
      </c>
      <c r="G232" s="87"/>
      <c r="H232" s="21">
        <f>VLOOKUP('Програма-кодове'!X29,Списък!$A$1:$C$209,3,FALSE)</f>
        <v>0</v>
      </c>
      <c r="I232" s="87"/>
      <c r="J232" s="12">
        <f>VLOOKUP('Програма-кодове'!Y29,Списък!$A$1:$C$209,3,FALSE)</f>
        <v>0</v>
      </c>
      <c r="K232" s="87"/>
      <c r="L232" s="46"/>
      <c r="M232" s="46"/>
    </row>
    <row r="233" spans="1:41" ht="12" customHeight="1">
      <c r="C233" s="88">
        <f>COUNTIF(C226:C231,"+")/6</f>
        <v>0.16666666666666666</v>
      </c>
      <c r="D233" s="21"/>
      <c r="E233" s="88">
        <f>COUNTIF(E226:E231,"+")/6</f>
        <v>0.16666666666666666</v>
      </c>
      <c r="F233" s="21"/>
      <c r="G233" s="88">
        <f>COUNTIF(G226:G231,"+")/6</f>
        <v>0.5</v>
      </c>
      <c r="H233" s="21"/>
      <c r="I233" s="88">
        <f>COUNTIF(I226:I231,"+")/6</f>
        <v>0.5</v>
      </c>
      <c r="K233" s="88">
        <f>COUNTIF(K226:K231,"+")/6</f>
        <v>0.5</v>
      </c>
      <c r="L233" s="46" t="s">
        <v>95</v>
      </c>
      <c r="M233" s="47">
        <f>(C233+E233+G233+I233+K233)/5</f>
        <v>0.36666666666666664</v>
      </c>
    </row>
    <row r="234" spans="1:41" ht="1.5" customHeight="1">
      <c r="A234" s="100"/>
      <c r="B234" s="101" t="e">
        <f>VLOOKUP('Програма-кодове'!#REF!,Списък!$A$1:$C$209,3,FALSE)</f>
        <v>#REF!</v>
      </c>
      <c r="C234" s="101"/>
      <c r="D234" s="101" t="e">
        <f>VLOOKUP('Програма-кодове'!#REF!,Списък!$A$1:$C$209,3,FALSE)</f>
        <v>#REF!</v>
      </c>
      <c r="E234" s="101"/>
      <c r="F234" s="101" t="e">
        <f>VLOOKUP('Програма-кодове'!#REF!,Списък!$A$1:$C$209,3,FALSE)</f>
        <v>#REF!</v>
      </c>
      <c r="G234" s="101"/>
      <c r="H234" s="101" t="e">
        <f>VLOOKUP('Програма-кодове'!#REF!,Списък!$A$1:$C$209,3,FALSE)</f>
        <v>#REF!</v>
      </c>
      <c r="I234" s="101"/>
      <c r="J234" s="101" t="e">
        <f>VLOOKUP('Програма-кодове'!#REF!,Списък!$A$1:$C$209,3,FALSE)</f>
        <v>#REF!</v>
      </c>
      <c r="K234" s="101"/>
      <c r="L234" s="46"/>
      <c r="M234" s="46"/>
    </row>
    <row r="235" spans="1:41" s="13" customFormat="1" ht="12" customHeight="1">
      <c r="B235" s="13" t="s">
        <v>48</v>
      </c>
      <c r="D235" s="13" t="s">
        <v>49</v>
      </c>
      <c r="F235" s="13" t="s">
        <v>50</v>
      </c>
      <c r="H235" s="13" t="s">
        <v>51</v>
      </c>
      <c r="J235" s="13" t="s">
        <v>52</v>
      </c>
      <c r="K235" s="12"/>
      <c r="L235" s="46"/>
      <c r="M235" s="46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</row>
    <row r="236" spans="1:41" ht="12" customHeight="1">
      <c r="A236" s="13">
        <v>1</v>
      </c>
      <c r="B236" s="12" t="str">
        <f>VLOOKUP('Програма-кодове'!Z23,Списък!$A$1:$C$209,3,FALSE)</f>
        <v>информатика</v>
      </c>
      <c r="C236" s="87" t="str">
        <f>IF(OR(B236="история",B236="свят и личност",B236= "география",B236="химия",B236="биология",B236="физика",B236="философия"),"+","-")</f>
        <v>-</v>
      </c>
      <c r="D236" s="12" t="str">
        <f>VLOOKUP('Програма-кодове'!AA23,Списък!$A$1:$C$209,3,FALSE)</f>
        <v>история</v>
      </c>
      <c r="E236" s="87" t="str">
        <f>IF(OR(D236="история",D236="свят и личност",D236= "география",D236="химия",D236="биология",D236="физика",D236="философия"),"+","-")</f>
        <v>+</v>
      </c>
      <c r="F236" s="12" t="str">
        <f>VLOOKUP('Програма-кодове'!AB23,Списък!$A$1:$C$209,3,FALSE)</f>
        <v>свят и личност</v>
      </c>
      <c r="G236" s="87" t="str">
        <f>IF(OR(F236="история",F236="свят и личност",F236= "география",F236="химия",F236="биология",F236="физика",F236="философия"),"+","-")</f>
        <v>+</v>
      </c>
      <c r="H236" s="12" t="str">
        <f>VLOOKUP('Програма-кодове'!AC23,Списък!$A$1:$C$209,3,FALSE)</f>
        <v>математика</v>
      </c>
      <c r="I236" s="87" t="str">
        <f>IF(OR(H236="история",H236="свят и личност",H236= "география",H236="химия",H236="биология",H236="физика",H236="философия"),"+","-")</f>
        <v>-</v>
      </c>
      <c r="J236" s="12" t="str">
        <f>VLOOKUP('Програма-кодове'!AD23,Списък!$A$1:$C$209,3,FALSE)</f>
        <v>биология</v>
      </c>
      <c r="K236" s="87" t="str">
        <f>IF(OR(J236="история",J236="свят и личност",J236= "география",J236="химия",J236="биология",J236="физика",J236="философия"),"+","-")</f>
        <v>+</v>
      </c>
      <c r="L236" s="46"/>
      <c r="M236" s="46"/>
    </row>
    <row r="237" spans="1:41" ht="12" customHeight="1">
      <c r="A237" s="13">
        <v>2</v>
      </c>
      <c r="B237" s="12" t="str">
        <f>VLOOKUP('Програма-кодове'!Z24,Списък!$A$1:$C$209,3,FALSE)</f>
        <v>информатика</v>
      </c>
      <c r="C237" s="87" t="str">
        <f>IF(OR(B237="математика",B237="информатика",B237="английски език",B237="немски език",B237="руски език",B237="бълг. език",B237="ІІ - ри чужд език", B237="ИТ/ДБТ"),"+","-")</f>
        <v>+</v>
      </c>
      <c r="D237" s="12" t="str">
        <f>VLOOKUP('Програма-кодове'!AA24,Списък!$A$1:$C$209,3,FALSE)</f>
        <v>бълг. език</v>
      </c>
      <c r="E237" s="87" t="str">
        <f>IF(OR(D237="математика",D237="информатика",D237="английски език",D237="немски език",D237="руски език",D237="бълг. език",D237="ІІ - ри чужд език", D237="ИТ/ДБТ"),"+","-")</f>
        <v>+</v>
      </c>
      <c r="F237" s="12" t="str">
        <f>VLOOKUP('Програма-кодове'!AB24,Списък!$A$1:$C$209,3,FALSE)</f>
        <v>физкултура</v>
      </c>
      <c r="G237" s="87" t="str">
        <f>IF(OR(F237="математика",F237="информатика",F237="английски език",F237="немски език",F237="руски език",F237="бълг. език",F237="ІІ - ри чужд език", F237="ИТ/ДБТ"),"+","-")</f>
        <v>-</v>
      </c>
      <c r="H237" s="12" t="str">
        <f>VLOOKUP('Програма-кодове'!AC24,Списък!$A$1:$C$209,3,FALSE)</f>
        <v>математика</v>
      </c>
      <c r="I237" s="87" t="str">
        <f>IF(OR(H237="математика",H237="информатика",H237="английски език",H237="немски език",H237="руски език",H237="бълг. език",H237="ІІ - ри чужд език", H237="ИТ/ДБТ"),"+","-")</f>
        <v>+</v>
      </c>
      <c r="J237" s="12" t="str">
        <f>VLOOKUP('Програма-кодове'!AD24,Списък!$A$1:$C$209,3,FALSE)</f>
        <v>биология</v>
      </c>
      <c r="K237" s="87" t="str">
        <f>IF(OR(J237="математика",J237="информатика",J237="английски език",J237="немски език",J237="руски език",J237="бълг. език",J237="ІІ - ри чужд език", J237="ИТ/ДБТ"),"+","-")</f>
        <v>-</v>
      </c>
      <c r="L237" s="46"/>
      <c r="M237" s="46"/>
    </row>
    <row r="238" spans="1:41" ht="12" customHeight="1">
      <c r="A238" s="13">
        <v>3</v>
      </c>
      <c r="B238" s="12" t="str">
        <f>VLOOKUP('Програма-кодове'!Z25,Списък!$A$1:$C$209,3,FALSE)</f>
        <v>математика</v>
      </c>
      <c r="C238" s="87" t="str">
        <f>IF(OR(B238="математика",B238="информатика",B238="английски език",B238="немски език",B238="руски език",B238="бълг. език",B238="ІІ - ри чужд език", B238="ИТ/ДБТ"),"+","-")</f>
        <v>+</v>
      </c>
      <c r="D238" s="12" t="str">
        <f>VLOOKUP('Програма-кодове'!AA25,Списък!$A$1:$C$209,3,FALSE)</f>
        <v>информатика</v>
      </c>
      <c r="E238" s="87" t="str">
        <f>IF(OR(D238="математика",D238="информатика",D238="английски език",D238="немски език",D238="руски език",D238="бълг. език",D238="ІІ - ри чужд език", D238="ИТ/ДБТ"),"+","-")</f>
        <v>+</v>
      </c>
      <c r="F238" s="12" t="str">
        <f>VLOOKUP('Програма-кодове'!AB25,Списък!$A$1:$C$209,3,FALSE)</f>
        <v>английски език</v>
      </c>
      <c r="G238" s="87" t="str">
        <f>IF(OR(F238="математика",F238="информатика",F238="английски език",F238="немски език",F238="руски език",F238="бълг. език",F238="ІІ - ри чужд език", F238="ИТ/ДБТ"),"+","-")</f>
        <v>+</v>
      </c>
      <c r="H238" s="12" t="str">
        <f>VLOOKUP('Програма-кодове'!AC25,Списък!$A$1:$C$209,3,FALSE)</f>
        <v>немски език</v>
      </c>
      <c r="I238" s="87" t="str">
        <f>IF(OR(H238="математика",H238="информатика",H238="английски език",H238="немски език",H238="руски език",H238="бълг. език",H238="ІІ - ри чужд език", H238="ИТ/ДБТ"),"+","-")</f>
        <v>+</v>
      </c>
      <c r="J238" s="12" t="str">
        <f>VLOOKUP('Програма-кодове'!AD25,Списък!$A$1:$C$209,3,FALSE)</f>
        <v>бълг. език</v>
      </c>
      <c r="K238" s="87" t="str">
        <f>IF(OR(J238="математика",J238="информатика",J238="английски език",J238="немски език",J238="руски език",J238="бълг. език",J238="ІІ - ри чужд език", J238="ИТ/ДБТ"),"+","-")</f>
        <v>+</v>
      </c>
      <c r="L238" s="46"/>
      <c r="M238" s="46"/>
    </row>
    <row r="239" spans="1:41" ht="12" customHeight="1">
      <c r="A239" s="13">
        <v>4</v>
      </c>
      <c r="B239" s="12" t="str">
        <f>VLOOKUP('Програма-кодове'!Z26,Списък!$A$1:$C$209,3,FALSE)</f>
        <v>математика</v>
      </c>
      <c r="C239" s="87" t="str">
        <f>IF(OR(B239="математика",B239="информатика",B239="английски език",B239="немски език",B239="руски език",B239="бълг. език",B239="ІІ - ри чужд език", B239="ИТ/ДБТ"),"+","-")</f>
        <v>+</v>
      </c>
      <c r="D239" s="12" t="str">
        <f>VLOOKUP('Програма-кодове'!AA26,Списък!$A$1:$C$209,3,FALSE)</f>
        <v>информатика</v>
      </c>
      <c r="E239" s="87" t="str">
        <f>IF(OR(D239="математика",D239="информатика",D239="английски език",D239="немски език",D239="руски език",D239="бълг. език",D239="ІІ - ри чужд език", D239="ИТ/ДБТ"),"+","-")</f>
        <v>+</v>
      </c>
      <c r="F239" s="12" t="str">
        <f>VLOOKUP('Програма-кодове'!AB26,Списък!$A$1:$C$209,3,FALSE)</f>
        <v>английски език</v>
      </c>
      <c r="G239" s="87" t="str">
        <f>IF(OR(F239="математика",F239="информатика",F239="английски език",F239="немски език",F239="руски език",F239="бълг. език",F239="ІІ - ри чужд език", F239="ИТ/ДБТ"),"+","-")</f>
        <v>+</v>
      </c>
      <c r="H239" s="12" t="str">
        <f>VLOOKUP('Програма-кодове'!AC26,Списък!$A$1:$C$209,3,FALSE)</f>
        <v>философия</v>
      </c>
      <c r="I239" s="87" t="str">
        <f>IF(OR(H239="математика",H239="информатика",H239="английски език",H239="немски език",H239="руски език",H239="бълг. език",H239="ІІ - ри чужд език", H239="ИТ/ДБТ"),"+","-")</f>
        <v>-</v>
      </c>
      <c r="J239" s="12" t="str">
        <f>VLOOKUP('Програма-кодове'!AD26,Списък!$A$1:$C$209,3,FALSE)</f>
        <v>математика</v>
      </c>
      <c r="K239" s="87" t="str">
        <f>IF(OR(J239="математика",J239="информатика",J239="английски език",J239="немски език",J239="руски език",J239="бълг. език",J239="ІІ - ри чужд език", J239="ИТ/ДБТ"),"+","-")</f>
        <v>+</v>
      </c>
      <c r="L239" s="46"/>
      <c r="M239" s="46"/>
    </row>
    <row r="240" spans="1:41" ht="12" customHeight="1">
      <c r="A240" s="13">
        <v>5</v>
      </c>
      <c r="B240" s="12" t="str">
        <f>VLOOKUP('Програма-кодове'!Z27,Списък!$A$1:$C$209,3,FALSE)</f>
        <v>бълг. език</v>
      </c>
      <c r="C240" s="87" t="str">
        <f>IF(OR(B240="физкултура",B240="музика",B240="рисуване",B240="ИТ/ДБТ",B240="домашен бит и техника"),"+","-")</f>
        <v>-</v>
      </c>
      <c r="D240" s="12" t="str">
        <f>VLOOKUP('Програма-кодове'!AA27,Списък!$A$1:$C$209,3,FALSE)</f>
        <v>математика</v>
      </c>
      <c r="E240" s="87" t="str">
        <f>IF(OR(D240="физкултура",D240="музика",D240="рисуване",D240="ИТ/ДБТ",D240="домашен бит и техника"),"+","-")</f>
        <v>-</v>
      </c>
      <c r="F240" s="12" t="str">
        <f>VLOOKUP('Програма-кодове'!AB27,Списък!$A$1:$C$209,3,FALSE)</f>
        <v>математика</v>
      </c>
      <c r="G240" s="87" t="str">
        <f>IF(OR(F240="физкултура",F240="музика",F240="рисуване",F240="ИТ/ДБТ",F240="домашен бит и техника"),"+","-")</f>
        <v>-</v>
      </c>
      <c r="H240" s="12" t="str">
        <f>VLOOKUP('Програма-кодове'!AC27,Списък!$A$1:$C$209,3,FALSE)</f>
        <v>английски език</v>
      </c>
      <c r="I240" s="87" t="str">
        <f>IF(OR(H240="физкултура",H240="музика",H240="рисуване",H240="ИТ/ДБТ",H240="домашен бит и техника"),"+","-")</f>
        <v>-</v>
      </c>
      <c r="J240" s="12" t="str">
        <f>VLOOKUP('Програма-кодове'!AD27,Списък!$A$1:$C$209,3,FALSE)</f>
        <v>философия</v>
      </c>
      <c r="K240" s="87" t="str">
        <f>IF(OR(J240="физкултура",J240="музика",J240="рисуване",J240="ИТ/ДБТ",J240="домашен бит и техника"),"+","-")</f>
        <v>-</v>
      </c>
      <c r="L240" s="46"/>
      <c r="M240" s="46"/>
    </row>
    <row r="241" spans="1:43" ht="12" customHeight="1">
      <c r="A241" s="13">
        <v>6</v>
      </c>
      <c r="B241" s="12" t="str">
        <f>VLOOKUP('Програма-кодове'!Z28,Списък!$A$1:$C$209,3,FALSE)</f>
        <v>философия</v>
      </c>
      <c r="C241" s="87" t="str">
        <f>IF(OR(B241="история",B241="свят и личност",B241= "география",B241="химия",B241="биология",B241="физика",B241="философия"),"+","-")</f>
        <v>+</v>
      </c>
      <c r="D241" s="12" t="str">
        <f>VLOOKUP('Програма-кодове'!AA28,Списък!$A$1:$C$209,3,FALSE)</f>
        <v>английски език</v>
      </c>
      <c r="E241" s="87" t="str">
        <f>IF(OR(D241="история",D241="свят и личност",D241= "география",D241="химия",D241="биология",D241="физика",D241="философия"),"+","-")</f>
        <v>-</v>
      </c>
      <c r="F241" s="12" t="str">
        <f>VLOOKUP('Програма-кодове'!AB28,Списък!$A$1:$C$209,3,FALSE)</f>
        <v>бълг. език</v>
      </c>
      <c r="G241" s="87" t="str">
        <f>IF(OR(F241="история",F241="свят и личност",F241= "география",F241="химия",F241="биология",F241="физика",F241="философия"),"+","-")</f>
        <v>-</v>
      </c>
      <c r="H241" s="12" t="str">
        <f>VLOOKUP('Програма-кодове'!AC28,Списък!$A$1:$C$209,3,FALSE)</f>
        <v>история</v>
      </c>
      <c r="I241" s="87" t="str">
        <f>IF(OR(H241="история",H241="свят и личност",H241= "география",H241="химия",H241="биология",H241="физика",H241="философия"),"+","-")</f>
        <v>+</v>
      </c>
      <c r="J241" s="12" t="str">
        <f>VLOOKUP('Програма-кодове'!AD28,Списък!$A$1:$C$209,3,FALSE)</f>
        <v>химия</v>
      </c>
      <c r="K241" s="87" t="str">
        <f>IF(OR(J241="история",J241="свят и личност",J241= "география",J241="химия",J241="биология",J241="физика",J241="философия"),"+","-")</f>
        <v>+</v>
      </c>
      <c r="L241" s="46"/>
      <c r="M241" s="46"/>
    </row>
    <row r="242" spans="1:43" ht="12" customHeight="1">
      <c r="A242" s="13">
        <v>7</v>
      </c>
      <c r="B242" s="12">
        <f>VLOOKUP('Програма-кодове'!Z29,Списък!$A$1:$C$209,3,FALSE)</f>
        <v>0</v>
      </c>
      <c r="C242" s="87"/>
      <c r="D242" s="12">
        <f>VLOOKUP('Програма-кодове'!AA29,Списък!$A$1:$C$209,3,FALSE)</f>
        <v>0</v>
      </c>
      <c r="E242" s="87"/>
      <c r="F242" s="12">
        <f>VLOOKUP('Програма-кодове'!AB29,Списък!$A$1:$C$209,3,FALSE)</f>
        <v>0</v>
      </c>
      <c r="G242" s="87"/>
      <c r="H242" s="12">
        <f>VLOOKUP('Програма-кодове'!AC29,Списък!$A$1:$C$209,3,FALSE)</f>
        <v>0</v>
      </c>
      <c r="I242" s="87"/>
      <c r="J242" s="12">
        <f>VLOOKUP('Програма-кодове'!AD29,Списък!$A$1:$C$209,3,FALSE)</f>
        <v>0</v>
      </c>
      <c r="K242" s="87"/>
      <c r="L242" s="46"/>
      <c r="M242" s="46"/>
      <c r="P242" s="63"/>
    </row>
    <row r="243" spans="1:43" ht="12" customHeight="1">
      <c r="C243" s="88">
        <f>COUNTIF(C236:C241,"+")/6</f>
        <v>0.66666666666666663</v>
      </c>
      <c r="E243" s="88">
        <f>COUNTIF(E236:E241,"+")/6</f>
        <v>0.66666666666666663</v>
      </c>
      <c r="G243" s="88">
        <f>COUNTIF(G236:G241,"+")/6</f>
        <v>0.5</v>
      </c>
      <c r="I243" s="88">
        <f>COUNTIF(I236:I241,"+")/6</f>
        <v>0.5</v>
      </c>
      <c r="K243" s="88">
        <f>COUNTIF(K236:K241,"+")/6</f>
        <v>0.66666666666666663</v>
      </c>
      <c r="L243" s="46" t="s">
        <v>95</v>
      </c>
      <c r="M243" s="47">
        <f>(C243+E243+G243+I243+K243)/5</f>
        <v>0.59999999999999987</v>
      </c>
    </row>
    <row r="244" spans="1:43" ht="12.75" customHeight="1">
      <c r="A244" s="394" t="s">
        <v>99</v>
      </c>
      <c r="B244" s="394"/>
      <c r="C244" s="394"/>
      <c r="D244" s="394"/>
      <c r="E244" s="394"/>
      <c r="F244" s="394"/>
      <c r="G244" s="394"/>
      <c r="H244" s="394"/>
      <c r="I244" s="394"/>
      <c r="J244" s="394"/>
      <c r="K244" s="394"/>
      <c r="L244" s="394"/>
      <c r="M244" s="57">
        <f>AVERAGE(A193:K193,A203:K203,A213:K213,A223:K223,A233:K233,A243:K243)</f>
        <v>0.46428571428571414</v>
      </c>
      <c r="N244" s="62"/>
    </row>
    <row r="245" spans="1:43" ht="1.5" customHeight="1">
      <c r="A245" s="14"/>
      <c r="B245" s="15"/>
      <c r="C245" s="15"/>
      <c r="D245" s="15"/>
      <c r="E245" s="15"/>
      <c r="F245" s="15"/>
      <c r="G245" s="15"/>
      <c r="H245" s="15"/>
      <c r="I245" s="15"/>
      <c r="J245" s="15"/>
    </row>
    <row r="246" spans="1:43" ht="23.25" customHeight="1" thickBot="1">
      <c r="A246" s="393" t="s">
        <v>28</v>
      </c>
      <c r="B246" s="393"/>
      <c r="C246" s="393"/>
      <c r="D246" s="393"/>
      <c r="E246" s="393"/>
      <c r="F246" s="393"/>
      <c r="G246" s="393"/>
      <c r="H246" s="393"/>
      <c r="I246" s="393"/>
      <c r="J246" s="393"/>
      <c r="K246" s="393"/>
      <c r="L246" s="393"/>
      <c r="M246" s="393"/>
    </row>
    <row r="247" spans="1:43" s="13" customFormat="1" ht="12" customHeight="1" thickTop="1">
      <c r="B247" s="13">
        <v>5</v>
      </c>
      <c r="L247" s="46"/>
      <c r="M247" s="47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</row>
    <row r="248" spans="1:43" ht="12" customHeight="1">
      <c r="A248" s="13">
        <v>1</v>
      </c>
      <c r="B248" s="12" t="str">
        <f>VLOOKUP('Програма-кодове'!C30,Списък!$A$1:$C$209,3,FALSE)</f>
        <v>английски език</v>
      </c>
      <c r="C248" s="87" t="str">
        <f>IF(OR(B248="история",B248="свят и личност",B248= "география",B248="химия",B248="биология",B248="физика",B248="философия"),"+","-")</f>
        <v>-</v>
      </c>
      <c r="D248" s="12" t="str">
        <f>VLOOKUP('Програма-кодове'!D30,Списък!$A$1:$C$209,3,FALSE)</f>
        <v>математика</v>
      </c>
      <c r="E248" s="87" t="str">
        <f>IF(OR(D248="история",D248="свят и личност",D248= "география",D248="химия",D248="биология",D248="физика",D248="философия"),"+","-")</f>
        <v>-</v>
      </c>
      <c r="F248" s="12" t="str">
        <f>VLOOKUP('Програма-кодове'!E30,Списък!$A$1:$C$209,3,FALSE)</f>
        <v>биология</v>
      </c>
      <c r="G248" s="87" t="str">
        <f>IF(OR(F248="история",F248="свят и личност",F248= "география",F248="химия",F248="биология",F248="физика",F248="философия"),"+","-")</f>
        <v>+</v>
      </c>
      <c r="L248" s="46"/>
      <c r="M248" s="47"/>
    </row>
    <row r="249" spans="1:43" ht="12" customHeight="1">
      <c r="A249" s="13">
        <v>2</v>
      </c>
      <c r="B249" s="12" t="str">
        <f>VLOOKUP('Програма-кодове'!C31,Списък!$A$1:$C$209,3,FALSE)</f>
        <v>история</v>
      </c>
      <c r="C249" s="87" t="str">
        <f>IF(OR(B249="математика",B249="информатика",B249="английски език",B249="немски език",B249="руски език",B249="бълг. език",B249="ІІ - ри чужд език", B249="ИТ/ДБТ"),"+","-")</f>
        <v>-</v>
      </c>
      <c r="D249" s="12" t="str">
        <f>VLOOKUP('Програма-кодове'!D31,Списък!$A$1:$C$209,3,FALSE)</f>
        <v>музика</v>
      </c>
      <c r="E249" s="87" t="str">
        <f>IF(OR(D249="математика",D249="информатика",D249="английски език",D249="немски език",D249="руски език",D249="бълг. език",D249="ІІ - ри чужд език", D249="ИТ/ДБТ"),"+","-")</f>
        <v>-</v>
      </c>
      <c r="F249" s="12" t="str">
        <f>VLOOKUP('Програма-кодове'!E31,Списък!$A$1:$C$209,3,FALSE)</f>
        <v>рисуване</v>
      </c>
      <c r="G249" s="87" t="str">
        <f>IF(OR(F249="математика",F249="информатика",F249="английски език",F249="немски език",F249="руски език",F249="бълг. език",F249="ІІ - ри чужд език", F249="ИТ/ДБТ"),"+","-")</f>
        <v>-</v>
      </c>
      <c r="L249" s="46"/>
      <c r="M249" s="47"/>
    </row>
    <row r="250" spans="1:43" ht="12" customHeight="1">
      <c r="A250" s="13">
        <v>3</v>
      </c>
      <c r="B250" s="12" t="str">
        <f>VLOOKUP('Програма-кодове'!C32,Списък!$A$1:$C$209,3,FALSE)</f>
        <v>физкултура</v>
      </c>
      <c r="C250" s="87" t="str">
        <f>IF(OR(B250="математика",B250="информатика",B250="английски език",B250="немски език",B250="руски език",B250="бълг. език",B250="ІІ - ри чужд език", B250="ИТ/ДБТ"),"+","-")</f>
        <v>-</v>
      </c>
      <c r="D250" s="12" t="str">
        <f>VLOOKUP('Програма-кодове'!D32,Списък!$A$1:$C$209,3,FALSE)</f>
        <v>рисуване</v>
      </c>
      <c r="E250" s="87" t="str">
        <f>IF(OR(D250="математика",D250="информатика",D250="английски език",D250="немски език",D250="руски език",D250="бълг. език",D250="ІІ - ри чужд език", D250="ИТ/ДБТ"),"+","-")</f>
        <v>-</v>
      </c>
      <c r="F250" s="12" t="str">
        <f>VLOOKUP('Програма-кодове'!E32,Списък!$A$1:$C$209,3,FALSE)</f>
        <v>бълг. език</v>
      </c>
      <c r="G250" s="87" t="str">
        <f>IF(OR(F250="математика",F250="информатика",F250="английски език",F250="немски език",F250="руски език",F250="бълг. език",F250="ІІ - ри чужд език", F250="ИТ/ДБТ"),"+","-")</f>
        <v>+</v>
      </c>
      <c r="L250" s="46"/>
      <c r="M250" s="47"/>
    </row>
    <row r="251" spans="1:43" ht="12" customHeight="1">
      <c r="A251" s="13">
        <v>4</v>
      </c>
      <c r="B251" s="12" t="str">
        <f>VLOOKUP('Програма-кодове'!C33,Списък!$A$1:$C$209,3,FALSE)</f>
        <v>бълг. език</v>
      </c>
      <c r="C251" s="87" t="str">
        <f>IF(OR(B251="математика",B251="информатика",B251="английски език",B251="немски език",B251="руски език",B251="бълг. език",B251="ІІ - ри чужд език", B251="ИТ/ДБТ"),"+","-")</f>
        <v>+</v>
      </c>
      <c r="D251" s="12" t="str">
        <f>VLOOKUP('Програма-кодове'!D33,Списък!$A$1:$C$209,3,FALSE)</f>
        <v>история</v>
      </c>
      <c r="E251" s="87" t="str">
        <f>IF(OR(D251="математика",D251="информатика",D251="английски език",D251="немски език",D251="руски език",D251="бълг. език",D251="ІІ - ри чужд език", D251="ИТ/ДБТ"),"+","-")</f>
        <v>-</v>
      </c>
      <c r="F251" s="12" t="str">
        <f>VLOOKUP('Програма-кодове'!E33,Списък!$A$1:$C$209,3,FALSE)</f>
        <v>бълг. език</v>
      </c>
      <c r="G251" s="87" t="str">
        <f>IF(OR(F251="математика",F251="информатика",F251="английски език",F251="немски език",F251="руски език",F251="бълг. език",F251="ІІ - ри чужд език", F251="ИТ/ДБТ"),"+","-")</f>
        <v>+</v>
      </c>
      <c r="L251" s="46"/>
      <c r="M251" s="47"/>
    </row>
    <row r="252" spans="1:43" ht="12" customHeight="1">
      <c r="A252" s="13">
        <v>5</v>
      </c>
      <c r="B252" s="12" t="str">
        <f>VLOOKUP('Програма-кодове'!C34,Списък!$A$1:$C$209,3,FALSE)</f>
        <v>бълг. език</v>
      </c>
      <c r="C252" s="87" t="str">
        <f>IF(OR(B252="физкултура",B252="музика",B252="рисуване",B252="ИТ/ДБТ",B252="домашен бит и техника"),"+","-")</f>
        <v>-</v>
      </c>
      <c r="D252" s="12" t="str">
        <f>VLOOKUP('Програма-кодове'!D34,Списък!$A$1:$C$209,3,FALSE)</f>
        <v>английски език</v>
      </c>
      <c r="E252" s="87" t="str">
        <f>IF(OR(D252="физкултура",D252="музика",D252="рисуване",D252="ИТ/ДБТ",D252="домашен бит и техника"),"+","-")</f>
        <v>-</v>
      </c>
      <c r="F252" s="12" t="str">
        <f>VLOOKUP('Програма-кодове'!E34,Списък!$A$1:$C$209,3,FALSE)</f>
        <v>математика</v>
      </c>
      <c r="G252" s="87" t="str">
        <f>IF(OR(F252="физкултура",F252="музика",F252="рисуване",F252="ИТ/ДБТ",F252="домашен бит и техника"),"+","-")</f>
        <v>-</v>
      </c>
      <c r="L252" s="46"/>
      <c r="M252" s="47"/>
    </row>
    <row r="253" spans="1:43" ht="12" customHeight="1">
      <c r="A253" s="13">
        <v>6</v>
      </c>
      <c r="B253" s="12" t="str">
        <f>VLOOKUP('Програма-кодове'!C35,Списък!$A$1:$C$209,3,FALSE)</f>
        <v>математика</v>
      </c>
      <c r="C253" s="87" t="str">
        <f>IF(OR(B253="история",B253="свят и личност",B253= "география",B253="химия",B253="биология",B253="физика",B253="философия"),"+","-")</f>
        <v>-</v>
      </c>
      <c r="D253" s="12" t="str">
        <f>VLOOKUP('Програма-кодове'!D35,Списък!$A$1:$C$209,3,FALSE)</f>
        <v>английски език</v>
      </c>
      <c r="E253" s="87" t="str">
        <f>IF(OR(D253="история",D253="свят и личност",D253= "география",D253="химия",D253="биология",D253="физика",D253="философия"),"+","-")</f>
        <v>-</v>
      </c>
      <c r="F253" s="12" t="str">
        <f>VLOOKUP('Програма-кодове'!E35,Списък!$A$1:$C$209,3,FALSE)</f>
        <v>физика</v>
      </c>
      <c r="G253" s="87" t="str">
        <f>IF(OR(F253="история",F253="свят и личност",F253= "география",F253="химия",F253="биология",F253="физика",F253="философия"),"+","-")</f>
        <v>+</v>
      </c>
      <c r="L253" s="46"/>
      <c r="M253" s="47"/>
    </row>
    <row r="254" spans="1:43" ht="12" customHeight="1">
      <c r="A254" s="43">
        <v>7</v>
      </c>
      <c r="B254" s="21">
        <f>VLOOKUP('Програма-кодове'!C36,Списък!$A$1:$C$209,3,FALSE)</f>
        <v>0</v>
      </c>
      <c r="C254" s="87"/>
      <c r="D254" s="21">
        <f>VLOOKUP('Програма-кодове'!D36,Списък!$A$1:$C$209,3,FALSE)</f>
        <v>0</v>
      </c>
      <c r="E254" s="87"/>
      <c r="F254" s="21">
        <f>VLOOKUP('Програма-кодове'!E36,Списък!$A$1:$C$209,3,FALSE)</f>
        <v>0</v>
      </c>
      <c r="G254" s="87"/>
      <c r="L254" s="46"/>
      <c r="M254" s="47"/>
    </row>
    <row r="255" spans="1:43" ht="12" customHeight="1">
      <c r="C255" s="88">
        <f>COUNTIF(C248:C253,"+")/6</f>
        <v>0.16666666666666666</v>
      </c>
      <c r="E255" s="88">
        <f>COUNTIF(E248:E253,"+")/6</f>
        <v>0</v>
      </c>
      <c r="G255" s="88">
        <f>COUNTIF(G248:G253,"+")/6</f>
        <v>0.66666666666666663</v>
      </c>
      <c r="L255" s="46" t="s">
        <v>95</v>
      </c>
      <c r="M255" s="47">
        <f>(C255+E255+G255)/3</f>
        <v>0.27777777777777773</v>
      </c>
    </row>
    <row r="256" spans="1:43" ht="2.25" customHeight="1">
      <c r="A256" s="14"/>
      <c r="B256" s="15"/>
      <c r="C256" s="74"/>
      <c r="D256" s="15"/>
      <c r="E256" s="74"/>
      <c r="F256" s="15"/>
      <c r="G256" s="74"/>
      <c r="H256" s="15"/>
      <c r="I256" s="74"/>
      <c r="J256" s="15"/>
      <c r="K256" s="74"/>
      <c r="L256" s="46"/>
      <c r="M256" s="47"/>
    </row>
    <row r="257" spans="1:41" ht="12" customHeight="1">
      <c r="B257" s="13" t="s">
        <v>0</v>
      </c>
      <c r="C257" s="13"/>
      <c r="D257" s="13" t="s">
        <v>1</v>
      </c>
      <c r="E257" s="13"/>
      <c r="F257" s="13" t="s">
        <v>2</v>
      </c>
      <c r="G257" s="13"/>
      <c r="H257" s="13" t="s">
        <v>3</v>
      </c>
      <c r="I257" s="13"/>
      <c r="J257" s="13" t="s">
        <v>4</v>
      </c>
      <c r="L257" s="46"/>
      <c r="M257" s="46"/>
    </row>
    <row r="258" spans="1:41" ht="12" customHeight="1">
      <c r="B258" s="12" t="str">
        <f>VLOOKUP('Програма-кодове'!F30,Списък!$A$1:$C$209,3,FALSE)</f>
        <v>бълг. език</v>
      </c>
      <c r="C258" s="87" t="str">
        <f>IF(OR(B258="история",B258="свят и личност",B258= "география",B258="химия",B258="биология",B258="физика",B258="философия"),"+","-")</f>
        <v>-</v>
      </c>
      <c r="D258" s="12" t="str">
        <f>VLOOKUP('Програма-кодове'!G30,Списък!$A$1:$C$209,3,FALSE)</f>
        <v>бълг. език</v>
      </c>
      <c r="E258" s="87" t="str">
        <f>IF(OR(D258="история",D258="свят и личност",D258= "география",D258="химия",D258="биология",D258="физика",D258="философия"),"+","-")</f>
        <v>-</v>
      </c>
      <c r="F258" s="12" t="str">
        <f>VLOOKUP('Програма-кодове'!H30,Списък!$A$1:$C$209,3,FALSE)</f>
        <v>английски език</v>
      </c>
      <c r="G258" s="87" t="str">
        <f>IF(OR(F258="история",F258="свят и личност",F258= "география",F258="химия",F258="биология",F258="физика",F258="философия"),"+","-")</f>
        <v>-</v>
      </c>
      <c r="H258" s="12" t="str">
        <f>VLOOKUP('Програма-кодове'!I30,Списък!$A$1:$C$209,3,FALSE)</f>
        <v>английски език</v>
      </c>
      <c r="I258" s="87" t="str">
        <f>IF(OR(H258="история",H258="свят и личност",H258= "география",H258="химия",H258="биология",H258="физика",H258="философия"),"+","-")</f>
        <v>-</v>
      </c>
      <c r="J258" s="12" t="str">
        <f>VLOOKUP('Програма-кодове'!J30,Списък!$A$1:$C$209,3,FALSE)</f>
        <v>бълг. език</v>
      </c>
      <c r="K258" s="45" t="str">
        <f>IF(OR(J258="история",J258="свят и личност",J258= "география",J258="химия",J258="биология",J258="физика",J258="философия"),"+","-")</f>
        <v>-</v>
      </c>
      <c r="L258" s="46"/>
      <c r="M258" s="46"/>
    </row>
    <row r="259" spans="1:41" ht="12" customHeight="1">
      <c r="B259" s="12" t="str">
        <f>VLOOKUP('Програма-кодове'!F31,Списък!$A$1:$C$209,3,FALSE)</f>
        <v>бълг. език</v>
      </c>
      <c r="C259" s="87" t="str">
        <f>IF(OR(B259="математика",B259="информатика",B259="английски език",B259="немски език",B259="руски език",B259="бълг. език",B259="ІІ - ри чужд език", B259="ИТ/ДБТ"),"+","-")</f>
        <v>+</v>
      </c>
      <c r="D259" s="12" t="str">
        <f>VLOOKUP('Програма-кодове'!G31,Списък!$A$1:$C$209,3,FALSE)</f>
        <v>бълг. език</v>
      </c>
      <c r="E259" s="87" t="str">
        <f>IF(OR(D259="математика",D259="информатика",D259="английски език",D259="немски език",D259="руски език",D259="бълг. език",D259="ІІ - ри чужд език", D259="ИТ/ДБТ"),"+","-")</f>
        <v>+</v>
      </c>
      <c r="F259" s="12" t="str">
        <f>VLOOKUP('Програма-кодове'!H31,Списък!$A$1:$C$209,3,FALSE)</f>
        <v>английски език</v>
      </c>
      <c r="G259" s="87" t="str">
        <f>IF(OR(F259="математика",F259="информатика",F259="английски език",F259="немски език",F259="руски език",F259="бълг. език",F259="ІІ - ри чужд език", F259="ИТ/ДБТ"),"+","-")</f>
        <v>+</v>
      </c>
      <c r="H259" s="12" t="str">
        <f>VLOOKUP('Програма-кодове'!I31,Списък!$A$1:$C$209,3,FALSE)</f>
        <v>английски език</v>
      </c>
      <c r="I259" s="87" t="str">
        <f>IF(OR(H259="математика",H259="информатика",H259="английски език",H259="немски език",H259="руски език",H259="бълг. език",H259="ІІ - ри чужд език", H259="ИТ/ДБТ"),"+","-")</f>
        <v>+</v>
      </c>
      <c r="J259" s="12" t="str">
        <f>VLOOKUP('Програма-кодове'!J31,Списък!$A$1:$C$209,3,FALSE)</f>
        <v>физкултура</v>
      </c>
      <c r="K259" s="45" t="str">
        <f>IF(OR(J259="математика",J259="информатика",J259="английски език",J259="немски език",J259="руски език",J259="бълг. език",J259="ІІ - ри чужд език", J259="ИТ/ДБТ"),"+","-")</f>
        <v>-</v>
      </c>
      <c r="L259" s="46"/>
      <c r="M259" s="46"/>
    </row>
    <row r="260" spans="1:41" ht="12" customHeight="1">
      <c r="B260" s="12" t="str">
        <f>VLOOKUP('Програма-кодове'!F32,Списък!$A$1:$C$209,3,FALSE)</f>
        <v>английски език</v>
      </c>
      <c r="C260" s="87" t="str">
        <f>IF(OR(B260="математика",B260="информатика",B260="английски език",B260="немски език",B260="руски език",B260="бълг. език",B260="ІІ - ри чужд език", B260="ИТ/ДБТ"),"+","-")</f>
        <v>+</v>
      </c>
      <c r="D260" s="12" t="str">
        <f>VLOOKUP('Програма-кодове'!G32,Списък!$A$1:$C$209,3,FALSE)</f>
        <v>математика</v>
      </c>
      <c r="E260" s="87" t="str">
        <f>IF(OR(D260="математика",D260="информатика",D260="английски език",D260="немски език",D260="руски език",D260="бълг. език",D260="ІІ - ри чужд език", D260="ИТ/ДБТ"),"+","-")</f>
        <v>+</v>
      </c>
      <c r="F260" s="12" t="str">
        <f>VLOOKUP('Програма-кодове'!H32,Списък!$A$1:$C$209,3,FALSE)</f>
        <v>английски език</v>
      </c>
      <c r="G260" s="87" t="str">
        <f>IF(OR(F260="математика",F260="информатика",F260="английски език",F260="немски език",F260="руски език",F260="бълг. език",F260="ІІ - ри чужд език", F260="ИТ/ДБТ"),"+","-")</f>
        <v>+</v>
      </c>
      <c r="H260" s="12" t="str">
        <f>VLOOKUP('Програма-кодове'!I32,Списък!$A$1:$C$209,3,FALSE)</f>
        <v>английски език</v>
      </c>
      <c r="I260" s="87" t="str">
        <f>IF(OR(H260="математика",H260="информатика",H260="английски език",H260="немски език",H260="руски език",H260="бълг. език",H260="ІІ - ри чужд език", H260="ИТ/ДБТ"),"+","-")</f>
        <v>+</v>
      </c>
      <c r="J260" s="12" t="str">
        <f>VLOOKUP('Програма-кодове'!J32,Списък!$A$1:$C$209,3,FALSE)</f>
        <v>английски език</v>
      </c>
      <c r="K260" s="45" t="str">
        <f>IF(OR(J260="математика",J260="информатика",J260="английски език",J260="немски език",J260="руски език",J260="бълг. език",J260="ІІ - ри чужд език", J260="ИТ/ДБТ"),"+","-")</f>
        <v>+</v>
      </c>
      <c r="L260" s="46"/>
      <c r="M260" s="46"/>
    </row>
    <row r="261" spans="1:41" ht="12" customHeight="1">
      <c r="B261" s="12" t="str">
        <f>VLOOKUP('Програма-кодове'!F33,Списък!$A$1:$C$209,3,FALSE)</f>
        <v>английски език</v>
      </c>
      <c r="C261" s="87" t="str">
        <f>IF(OR(B261="математика",B261="информатика",B261="английски език",B261="немски език",B261="руски език",B261="бълг. език",B261="ІІ - ри чужд език", B261="ИТ/ДБТ"),"+","-")</f>
        <v>+</v>
      </c>
      <c r="D261" s="12" t="str">
        <f>VLOOKUP('Програма-кодове'!G33,Списък!$A$1:$C$209,3,FALSE)</f>
        <v>английски език</v>
      </c>
      <c r="E261" s="87" t="str">
        <f>IF(OR(D261="математика",D261="информатика",D261="английски език",D261="немски език",D261="руски език",D261="бълг. език",D261="ІІ - ри чужд език", D261="ИТ/ДБТ"),"+","-")</f>
        <v>+</v>
      </c>
      <c r="F261" s="12" t="str">
        <f>VLOOKUP('Програма-кодове'!H33,Списък!$A$1:$C$209,3,FALSE)</f>
        <v>английски език</v>
      </c>
      <c r="G261" s="87" t="str">
        <f>IF(OR(F261="математика",F261="информатика",F261="английски език",F261="немски език",F261="руски език",F261="бълг. език",F261="ІІ - ри чужд език", F261="ИТ/ДБТ"),"+","-")</f>
        <v>+</v>
      </c>
      <c r="H261" s="12" t="str">
        <f>VLOOKUP('Програма-кодове'!I33,Списък!$A$1:$C$209,3,FALSE)</f>
        <v>музика</v>
      </c>
      <c r="I261" s="87" t="str">
        <f>IF(OR(H261="математика",H261="информатика",H261="английски език",H261="немски език",H261="руски език",H261="бълг. език",H261="ІІ - ри чужд език", H261="ИТ/ДБТ"),"+","-")</f>
        <v>-</v>
      </c>
      <c r="J261" s="12" t="str">
        <f>VLOOKUP('Програма-кодове'!J33,Списък!$A$1:$C$209,3,FALSE)</f>
        <v>английски език</v>
      </c>
      <c r="K261" s="45" t="str">
        <f>IF(OR(J261="математика",J261="информатика",J261="английски език",J261="немски език",J261="руски език",J261="бълг. език",J261="ІІ - ри чужд език", J261="ИТ/ДБТ"),"+","-")</f>
        <v>+</v>
      </c>
      <c r="L261" s="46"/>
      <c r="M261" s="46"/>
    </row>
    <row r="262" spans="1:41" ht="12" customHeight="1">
      <c r="B262" s="12" t="str">
        <f>VLOOKUP('Програма-кодове'!F34,Списък!$A$1:$C$209,3,FALSE)</f>
        <v>английски език</v>
      </c>
      <c r="C262" s="87" t="str">
        <f>IF(OR(B262="физкултура",B262="музика",B262="рисуване",B262="ИТ/ДБТ",B262="домашен бит и техника"),"+","-")</f>
        <v>-</v>
      </c>
      <c r="D262" s="12" t="str">
        <f>VLOOKUP('Програма-кодове'!G34,Списък!$A$1:$C$209,3,FALSE)</f>
        <v>английски език</v>
      </c>
      <c r="E262" s="87" t="str">
        <f>IF(OR(D262="физкултура",D262="музика",D262="рисуване",D262="ИТ/ДБТ",D262="домашен бит и техника"),"+","-")</f>
        <v>-</v>
      </c>
      <c r="F262" s="12" t="str">
        <f>VLOOKUP('Програма-кодове'!H34,Списък!$A$1:$C$209,3,FALSE)</f>
        <v>физкултура</v>
      </c>
      <c r="G262" s="87" t="str">
        <f>IF(OR(F262="физкултура",F262="музика",F262="рисуване",F262="ИТ/ДБТ",F262="домашен бит и техника"),"+","-")</f>
        <v>+</v>
      </c>
      <c r="H262" s="12" t="str">
        <f>VLOOKUP('Програма-кодове'!I34,Списък!$A$1:$C$209,3,FALSE)</f>
        <v>бълг. език</v>
      </c>
      <c r="I262" s="87" t="str">
        <f>IF(OR(H262="физкултура",H262="музика",H262="рисуване",H262="ИТ/ДБТ",H262="домашен бит и техника"),"+","-")</f>
        <v>-</v>
      </c>
      <c r="J262" s="12" t="str">
        <f>VLOOKUP('Програма-кодове'!J34,Списък!$A$1:$C$209,3,FALSE)</f>
        <v>английски език</v>
      </c>
      <c r="K262" s="45" t="str">
        <f>IF(OR(J262="математика",J262="информатика",J262="английски език",J262="немски език",J262="руски език",J262="бълг. език",J262="ІІ - ри чужд език",J262="ИТ",J262="ИТ/ДБТ",J262="история",J262="свят и личност",J262= "география",J262="химия",J262="биология",J262="физика",J262="философия"),"+","-")</f>
        <v>+</v>
      </c>
      <c r="L262" s="46"/>
      <c r="M262" s="46"/>
    </row>
    <row r="263" spans="1:41" ht="12" customHeight="1">
      <c r="B263" s="12" t="str">
        <f>VLOOKUP('Програма-кодове'!F35,Списък!$A$1:$C$209,3,FALSE)</f>
        <v>английски език</v>
      </c>
      <c r="C263" s="87" t="str">
        <f>IF(OR(B263="история",B263="свят и личност",B263= "география",B263="химия",B263="биология",B263="физика",B263="философия"),"+","-")</f>
        <v>-</v>
      </c>
      <c r="D263" s="12" t="str">
        <f>VLOOKUP('Програма-кодове'!G35,Списък!$A$1:$C$209,3,FALSE)</f>
        <v>английски език</v>
      </c>
      <c r="E263" s="87" t="str">
        <f>IF(OR(D263="история",D263="свят и личност",D263= "география",D263="химия",D263="биология",D263="физика",D263="философия"),"+","-")</f>
        <v>-</v>
      </c>
      <c r="F263" s="12" t="str">
        <f>VLOOKUP('Програма-кодове'!H35,Списък!$A$1:$C$209,3,FALSE)</f>
        <v>бълг. език</v>
      </c>
      <c r="G263" s="87" t="str">
        <f>IF(OR(F263="история",F263="свят и личност",F263= "география",F263="химия",F263="биология",F263="физика",F263="философия"),"+","-")</f>
        <v>-</v>
      </c>
      <c r="H263" s="12" t="str">
        <f>VLOOKUP('Програма-кодове'!I35,Списък!$A$1:$C$209,3,FALSE)</f>
        <v>бълг. език</v>
      </c>
      <c r="I263" s="87" t="str">
        <f>IF(OR(H263="история",H263="свят и личност",H263= "география",H263="химия",H263="биология",H263="физика",H263="философия"),"+","-")</f>
        <v>-</v>
      </c>
      <c r="J263" s="12" t="str">
        <f>VLOOKUP('Програма-кодове'!J35,Списък!$A$1:$C$209,3,FALSE)</f>
        <v>английски език</v>
      </c>
      <c r="K263" s="45" t="str">
        <f>IF(OR(J263="физкултура",J263="музика",J263="рисуване",J263="ИТ/ДБТ",J263="домашен бит и техника"),"+","-")</f>
        <v>-</v>
      </c>
      <c r="L263" s="46"/>
      <c r="M263" s="46"/>
    </row>
    <row r="264" spans="1:41" ht="12" customHeight="1">
      <c r="B264" s="12">
        <f>VLOOKUP('Програма-кодове'!F36,Списък!$A$1:$C$209,3,FALSE)</f>
        <v>0</v>
      </c>
      <c r="C264" s="87"/>
      <c r="D264" s="12">
        <f>VLOOKUP('Програма-кодове'!G36,Списък!$A$1:$C$209,3,FALSE)</f>
        <v>0</v>
      </c>
      <c r="E264" s="87"/>
      <c r="F264" s="12">
        <f>VLOOKUP('Програма-кодове'!H36,Списък!$A$1:$C$209,3,FALSE)</f>
        <v>0</v>
      </c>
      <c r="G264" s="87"/>
      <c r="H264" s="12">
        <f>VLOOKUP('Програма-кодове'!I36,Списък!$A$1:$C$209,3,FALSE)</f>
        <v>0</v>
      </c>
      <c r="I264" s="87"/>
      <c r="J264" s="97">
        <f>VLOOKUP('Програма-кодове'!J36,Списък!$A$1:$C$209,3,FALSE)</f>
        <v>0</v>
      </c>
      <c r="K264" s="45" t="str">
        <f>IF(OR(J264="история",J264="свят и личност",J264= "география",J264="химия",J264="биология",J264="физика",J264="философия"),"+","-")</f>
        <v>-</v>
      </c>
      <c r="L264" s="46"/>
      <c r="M264" s="46"/>
    </row>
    <row r="265" spans="1:41" ht="12" customHeight="1">
      <c r="C265" s="88">
        <f>COUNTIF(C258:C263,"+")/6</f>
        <v>0.5</v>
      </c>
      <c r="E265" s="88">
        <f>COUNTIF(E258:E263,"+")/6</f>
        <v>0.5</v>
      </c>
      <c r="G265" s="88">
        <f>COUNTIF(G258:G263,"+")/6</f>
        <v>0.66666666666666663</v>
      </c>
      <c r="I265" s="88">
        <f>COUNTIF(I258:I263,"+")/6</f>
        <v>0.33333333333333331</v>
      </c>
      <c r="K265" s="60">
        <f>COUNTIF(K258:K264,"+")/7</f>
        <v>0.42857142857142855</v>
      </c>
      <c r="L265" s="46" t="s">
        <v>95</v>
      </c>
      <c r="M265" s="47">
        <f>(C265+E265+G265+I265+K265)/5</f>
        <v>0.48571428571428565</v>
      </c>
    </row>
    <row r="266" spans="1:41" ht="1.5" customHeight="1">
      <c r="A266" s="14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46"/>
      <c r="M266" s="46"/>
    </row>
    <row r="267" spans="1:41" s="13" customFormat="1" ht="12" customHeight="1">
      <c r="B267" s="13" t="s">
        <v>5</v>
      </c>
      <c r="D267" s="13" t="s">
        <v>6</v>
      </c>
      <c r="F267" s="13" t="s">
        <v>7</v>
      </c>
      <c r="H267" s="13" t="s">
        <v>8</v>
      </c>
      <c r="J267" s="13" t="s">
        <v>9</v>
      </c>
      <c r="K267" s="12"/>
      <c r="L267" s="46"/>
      <c r="M267" s="46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</row>
    <row r="268" spans="1:41" ht="12" customHeight="1">
      <c r="A268" s="13">
        <v>1</v>
      </c>
      <c r="B268" s="12" t="str">
        <f>VLOOKUP('Програма-кодове'!K30,Списък!$A$1:$C$209,3,FALSE)</f>
        <v>история</v>
      </c>
      <c r="C268" s="87" t="str">
        <f>IF(OR(B268="история",B268="свят и личност",B268= "география",B268="химия",B268="биология",B268="физика",B268="философия"),"+","-")</f>
        <v>+</v>
      </c>
      <c r="D268" s="21" t="str">
        <f>VLOOKUP('Програма-кодове'!L30,Списък!$A$1:$C$209,3,FALSE)</f>
        <v>рисуване</v>
      </c>
      <c r="E268" s="87" t="str">
        <f>IF(OR(D268="история",D268="свят и личност",D268= "география",D268="химия",D268="биология",D268="физика",D268="философия"),"+","-")</f>
        <v>-</v>
      </c>
      <c r="F268" s="12" t="str">
        <f>VLOOKUP('Програма-кодове'!M30,Списък!$A$1:$C$209,3,FALSE)</f>
        <v>география</v>
      </c>
      <c r="G268" s="87" t="str">
        <f>IF(OR(F268="история",F268="свят и личност",F268= "география",F268="химия",F268="биология",F268="физика",F268="философия"),"+","-")</f>
        <v>+</v>
      </c>
      <c r="H268" s="21" t="str">
        <f>VLOOKUP('Програма-кодове'!N30,Списък!$A$1:$C$209,3,FALSE)</f>
        <v>английски език</v>
      </c>
      <c r="I268" s="87" t="str">
        <f>IF(OR(H268="история",H268="свят и личност",H268= "география",H268="химия",H268="биология",H268="физика",H268="философия"),"+","-")</f>
        <v>-</v>
      </c>
      <c r="J268" s="21" t="str">
        <f>VLOOKUP('Програма-кодове'!O30,Списък!$A$1:$C$209,3,FALSE)</f>
        <v>бълг. език</v>
      </c>
      <c r="K268" s="87" t="str">
        <f>IF(OR(J268="история",J268="свят и личност",J268= "география",J268="химия",J268="биология",J268="физика",J268="философия"),"+","-")</f>
        <v>-</v>
      </c>
      <c r="L268" s="46"/>
      <c r="M268" s="46"/>
    </row>
    <row r="269" spans="1:41" ht="12" customHeight="1">
      <c r="A269" s="13">
        <v>2</v>
      </c>
      <c r="B269" s="12" t="str">
        <f>VLOOKUP('Програма-кодове'!K31,Списък!$A$1:$C$209,3,FALSE)</f>
        <v>физика</v>
      </c>
      <c r="C269" s="87" t="str">
        <f>IF(OR(B269="математика",B269="информатика",B269="английски език",B269="немски език",B269="руски език",B269="бълг. език",B269="ІІ - ри чужд език", B269="ИТ/ДБТ"),"+","-")</f>
        <v>-</v>
      </c>
      <c r="D269" s="21" t="str">
        <f>VLOOKUP('Програма-кодове'!L31,Списък!$A$1:$C$209,3,FALSE)</f>
        <v>философия</v>
      </c>
      <c r="E269" s="87" t="str">
        <f>IF(OR(D269="математика",D269="информатика",D269="английски език",D269="немски език",D269="руски език",D269="бълг. език",D269="ІІ - ри чужд език", D269="ИТ/ДБТ"),"+","-")</f>
        <v>-</v>
      </c>
      <c r="F269" s="12" t="str">
        <f>VLOOKUP('Програма-кодове'!M31,Списък!$A$1:$C$209,3,FALSE)</f>
        <v>бълг. език</v>
      </c>
      <c r="G269" s="87" t="str">
        <f>IF(OR(F269="математика",F269="информатика",F269="английски език",F269="немски език",F269="руски език",F269="бълг. език",F269="ІІ - ри чужд език", F269="ИТ/ДБТ"),"+","-")</f>
        <v>+</v>
      </c>
      <c r="H269" s="21" t="str">
        <f>VLOOKUP('Програма-кодове'!N31,Списък!$A$1:$C$209,3,FALSE)</f>
        <v>английски език</v>
      </c>
      <c r="I269" s="87" t="str">
        <f>IF(OR(H269="математика",H269="информатика",H269="английски език",H269="немски език",H269="руски език",H269="бълг. език",H269="ІІ - ри чужд език", H269="ИТ/ДБТ"),"+","-")</f>
        <v>+</v>
      </c>
      <c r="J269" s="21" t="str">
        <f>VLOOKUP('Програма-кодове'!O31,Списък!$A$1:$C$209,3,FALSE)</f>
        <v>история</v>
      </c>
      <c r="K269" s="87" t="str">
        <f>IF(OR(J269="математика",J269="информатика",J269="английски език",J269="немски език",J269="руски език",J269="бълг. език",J269="ІІ - ри чужд език", J269="ИТ/ДБТ"),"+","-")</f>
        <v>-</v>
      </c>
      <c r="L269" s="46"/>
      <c r="M269" s="46"/>
    </row>
    <row r="270" spans="1:41" ht="12" customHeight="1">
      <c r="A270" s="13">
        <v>3</v>
      </c>
      <c r="B270" s="12" t="str">
        <f>VLOOKUP('Програма-кодове'!K32,Списък!$A$1:$C$209,3,FALSE)</f>
        <v>биология</v>
      </c>
      <c r="C270" s="87" t="str">
        <f>IF(OR(B270="математика",B270="информатика",B270="английски език",B270="немски език",B270="руски език",B270="бълг. език",B270="ІІ - ри чужд език", B270="ИТ/ДБТ"),"+","-")</f>
        <v>-</v>
      </c>
      <c r="D270" s="21" t="str">
        <f>VLOOKUP('Програма-кодове'!L32,Списък!$A$1:$C$209,3,FALSE)</f>
        <v>бълг. език</v>
      </c>
      <c r="E270" s="87" t="str">
        <f>IF(OR(D270="математика",D270="информатика",D270="английски език",D270="немски език",D270="руски език",D270="бълг. език",D270="ІІ - ри чужд език", D270="ИТ/ДБТ"),"+","-")</f>
        <v>+</v>
      </c>
      <c r="F270" s="12" t="str">
        <f>VLOOKUP('Програма-кодове'!M32,Списък!$A$1:$C$209,3,FALSE)</f>
        <v>история</v>
      </c>
      <c r="G270" s="87" t="str">
        <f>IF(OR(F270="математика",F270="информатика",F270="английски език",F270="немски език",F270="руски език",F270="бълг. език",F270="ІІ - ри чужд език", F270="ИТ/ДБТ"),"+","-")</f>
        <v>-</v>
      </c>
      <c r="H270" s="21" t="str">
        <f>VLOOKUP('Програма-кодове'!N32,Списък!$A$1:$C$209,3,FALSE)</f>
        <v>история</v>
      </c>
      <c r="I270" s="87" t="str">
        <f>IF(OR(H270="математика",H270="информатика",H270="английски език",H270="немски език",H270="руски език",H270="бълг. език",H270="ІІ - ри чужд език", H270="ИТ/ДБТ"),"+","-")</f>
        <v>-</v>
      </c>
      <c r="J270" s="21" t="str">
        <f>VLOOKUP('Програма-кодове'!O32,Списък!$A$1:$C$209,3,FALSE)</f>
        <v>физика</v>
      </c>
      <c r="K270" s="87" t="str">
        <f>IF(OR(J270="математика",J270="информатика",J270="английски език",J270="немски език",J270="руски език",J270="бълг. език",J270="ІІ - ри чужд език", J270="ИТ/ДБТ"),"+","-")</f>
        <v>-</v>
      </c>
      <c r="L270" s="46"/>
      <c r="M270" s="46"/>
    </row>
    <row r="271" spans="1:41" ht="12" customHeight="1">
      <c r="A271" s="13">
        <v>4</v>
      </c>
      <c r="B271" s="12" t="str">
        <f>VLOOKUP('Програма-кодове'!K33,Списък!$A$1:$C$209,3,FALSE)</f>
        <v>физкултура</v>
      </c>
      <c r="C271" s="87" t="str">
        <f>IF(OR(B271="математика",B271="информатика",B271="английски език",B271="немски език",B271="руски език",B271="бълг. език",B271="ІІ - ри чужд език", B271="ИТ/ДБТ"),"+","-")</f>
        <v>-</v>
      </c>
      <c r="D271" s="21" t="str">
        <f>VLOOKUP('Програма-кодове'!L33,Списък!$A$1:$C$209,3,FALSE)</f>
        <v>английски език</v>
      </c>
      <c r="E271" s="87" t="str">
        <f>IF(OR(D271="математика",D271="информатика",D271="английски език",D271="немски език",D271="руски език",D271="бълг. език",D271="ІІ - ри чужд език", D271="ИТ/ДБТ"),"+","-")</f>
        <v>+</v>
      </c>
      <c r="F271" s="12" t="str">
        <f>VLOOKUP('Програма-кодове'!M33,Списък!$A$1:$C$209,3,FALSE)</f>
        <v>физкултура</v>
      </c>
      <c r="G271" s="87" t="str">
        <f>IF(OR(F271="математика",F271="информатика",F271="английски език",F271="немски език",F271="руски език",F271="бълг. език",F271="ІІ - ри чужд език", F271="ИТ/ДБТ"),"+","-")</f>
        <v>-</v>
      </c>
      <c r="H271" s="21" t="str">
        <f>VLOOKUP('Програма-кодове'!N33,Списък!$A$1:$C$209,3,FALSE)</f>
        <v>география</v>
      </c>
      <c r="I271" s="87" t="str">
        <f>IF(OR(H271="математика",H271="информатика",H271="английски език",H271="немски език",H271="руски език",H271="бълг. език",H271="ІІ - ри чужд език", H271="ИТ/ДБТ"),"+","-")</f>
        <v>-</v>
      </c>
      <c r="J271" s="21" t="str">
        <f>VLOOKUP('Програма-кодове'!O33,Списък!$A$1:$C$209,3,FALSE)</f>
        <v>информатика</v>
      </c>
      <c r="K271" s="87" t="str">
        <f>IF(OR(J271="математика",J271="информатика",J271="английски език",J271="немски език",J271="руски език",J271="бълг. език",J271="ІІ - ри чужд език", J271="ИТ/ДБТ"),"+","-")</f>
        <v>+</v>
      </c>
      <c r="L271" s="46"/>
      <c r="M271" s="46"/>
    </row>
    <row r="272" spans="1:41" ht="12" customHeight="1">
      <c r="A272" s="13">
        <v>5</v>
      </c>
      <c r="B272" s="12" t="str">
        <f>VLOOKUP('Програма-кодове'!K34,Списък!$A$1:$C$209,3,FALSE)</f>
        <v>математика</v>
      </c>
      <c r="C272" s="87" t="str">
        <f>IF(OR(B272="физкултура",B272="музика",B272="рисуване",B272="ИТ/ДБТ",B272="домашен бит и техника"),"+","-")</f>
        <v>-</v>
      </c>
      <c r="D272" s="21" t="str">
        <f>VLOOKUP('Програма-кодове'!L34,Списък!$A$1:$C$209,3,FALSE)</f>
        <v>биология</v>
      </c>
      <c r="E272" s="87" t="str">
        <f>IF(OR(D272="физкултура",D272="музика",D272="рисуване",D272="ИТ/ДБТ",D272="домашен бит и техника"),"+","-")</f>
        <v>-</v>
      </c>
      <c r="F272" s="12" t="str">
        <f>VLOOKUP('Програма-кодове'!M34,Списък!$A$1:$C$209,3,FALSE)</f>
        <v>информатика</v>
      </c>
      <c r="G272" s="87" t="str">
        <f>IF(OR(F272="физкултура",F272="музика",F272="рисуване",F272="ИТ/ДБТ",F272="домашен бит и техника"),"+","-")</f>
        <v>-</v>
      </c>
      <c r="H272" s="21" t="str">
        <f>VLOOKUP('Програма-кодове'!N34,Списък!$A$1:$C$209,3,FALSE)</f>
        <v>физика</v>
      </c>
      <c r="I272" s="87" t="str">
        <f>IF(OR(H272="физкултура",H272="музика",H272="рисуване",H272="ИТ/ДБТ",H272="домашен бит и техника"),"+","-")</f>
        <v>-</v>
      </c>
      <c r="J272" s="21" t="str">
        <f>VLOOKUP('Програма-кодове'!O34,Списък!$A$1:$C$209,3,FALSE)</f>
        <v>английски език</v>
      </c>
      <c r="K272" s="87" t="str">
        <f>IF(OR(J272="физкултура",J272="музика",J272="рисуване",J272="ИТ/ДБТ",J272="домашен бит и техника"),"+","-")</f>
        <v>-</v>
      </c>
      <c r="L272" s="46"/>
      <c r="M272" s="46"/>
    </row>
    <row r="273" spans="1:41" ht="12" customHeight="1">
      <c r="A273" s="13">
        <v>6</v>
      </c>
      <c r="B273" s="12" t="str">
        <f>VLOOKUP('Програма-кодове'!K35,Списък!$A$1:$C$209,3,FALSE)</f>
        <v>бълг. език</v>
      </c>
      <c r="C273" s="87" t="str">
        <f>IF(OR(B273="история",B273="свят и личност",B273= "география",B273="химия",B273="биология",B273="физика",B273="философия"),"+","-")</f>
        <v>-</v>
      </c>
      <c r="D273" s="21" t="str">
        <f>VLOOKUP('Програма-кодове'!L35,Списък!$A$1:$C$209,3,FALSE)</f>
        <v>история</v>
      </c>
      <c r="E273" s="87" t="str">
        <f>IF(OR(D273="история",D273="свят и личност",D273= "география",D273="химия",D273="биология",D273="физика",D273="философия"),"+","-")</f>
        <v>+</v>
      </c>
      <c r="F273" s="12" t="str">
        <f>VLOOKUP('Програма-кодове'!M35,Списък!$A$1:$C$209,3,FALSE)</f>
        <v>биология</v>
      </c>
      <c r="G273" s="87" t="str">
        <f>IF(OR(F273="история",F273="свят и личност",F273= "география",F273="химия",F273="биология",F273="физика",F273="философия"),"+","-")</f>
        <v>+</v>
      </c>
      <c r="H273" s="21" t="str">
        <f>VLOOKUP('Програма-кодове'!N35,Списък!$A$1:$C$209,3,FALSE)</f>
        <v>информатика</v>
      </c>
      <c r="I273" s="87" t="str">
        <f>IF(OR(H273="история",H273="свят и личност",H273= "география",H273="химия",H273="биология",H273="физика",H273="философия"),"+","-")</f>
        <v>-</v>
      </c>
      <c r="J273" s="21" t="str">
        <f>VLOOKUP('Програма-кодове'!O35,Списък!$A$1:$C$209,3,FALSE)</f>
        <v>английски език</v>
      </c>
      <c r="K273" s="87" t="str">
        <f>IF(OR(J273="история",J273="свят и личност",J273= "география",J273="химия",J273="биология",J273="физика",J273="философия"),"+","-")</f>
        <v>-</v>
      </c>
      <c r="L273" s="46"/>
      <c r="M273" s="46"/>
    </row>
    <row r="274" spans="1:41" ht="12" customHeight="1">
      <c r="A274" s="13">
        <v>7</v>
      </c>
      <c r="B274" s="12" t="e">
        <f>VLOOKUP('Програма-кодове'!#REF!,Списък!$A$1:$C$209,3,FALSE)</f>
        <v>#REF!</v>
      </c>
      <c r="C274" s="87"/>
      <c r="D274" s="21" t="e">
        <f>VLOOKUP('Програма-кодове'!#REF!,Списък!$A$1:$C$209,3,FALSE)</f>
        <v>#REF!</v>
      </c>
      <c r="E274" s="87"/>
      <c r="F274" s="12" t="e">
        <f>VLOOKUP('Програма-кодове'!#REF!,Списък!$A$1:$C$209,3,FALSE)</f>
        <v>#REF!</v>
      </c>
      <c r="G274" s="87"/>
      <c r="H274" s="21" t="e">
        <f>VLOOKUP('Програма-кодове'!#REF!,Списък!$A$1:$C$209,3,FALSE)</f>
        <v>#REF!</v>
      </c>
      <c r="I274" s="87"/>
      <c r="J274" s="21" t="e">
        <f>VLOOKUP('Програма-кодове'!#REF!,Списък!$A$1:$C$209,3,FALSE)</f>
        <v>#REF!</v>
      </c>
      <c r="K274" s="87"/>
      <c r="L274" s="46"/>
      <c r="M274" s="46"/>
    </row>
    <row r="275" spans="1:41" ht="12" customHeight="1">
      <c r="C275" s="88">
        <f>COUNTIF(C268:C273,"+")/6</f>
        <v>0.16666666666666666</v>
      </c>
      <c r="D275" s="21"/>
      <c r="E275" s="88">
        <f>COUNTIF(E268:E273,"+")/6</f>
        <v>0.5</v>
      </c>
      <c r="G275" s="88">
        <f>COUNTIF(G268:G273,"+")/6</f>
        <v>0.5</v>
      </c>
      <c r="H275" s="21"/>
      <c r="I275" s="88">
        <f>COUNTIF(I268:I273,"+")/6</f>
        <v>0.16666666666666666</v>
      </c>
      <c r="J275" s="21"/>
      <c r="K275" s="88">
        <f>COUNTIF(K268:K273,"+")/6</f>
        <v>0.16666666666666666</v>
      </c>
      <c r="L275" s="46" t="s">
        <v>95</v>
      </c>
      <c r="M275" s="47">
        <f>(C275+E275+G275+I275+K275)/5</f>
        <v>0.3</v>
      </c>
    </row>
    <row r="276" spans="1:41" ht="1.5" customHeight="1">
      <c r="A276" s="14"/>
      <c r="B276" s="15"/>
      <c r="C276" s="15"/>
      <c r="D276" s="15"/>
      <c r="E276" s="15"/>
      <c r="F276" s="15"/>
      <c r="G276" s="15"/>
      <c r="H276" s="15"/>
      <c r="I276" s="15"/>
      <c r="J276" s="15"/>
      <c r="L276" s="46"/>
      <c r="M276" s="46"/>
    </row>
    <row r="277" spans="1:41" s="13" customFormat="1" ht="12" customHeight="1">
      <c r="B277" s="13" t="s">
        <v>10</v>
      </c>
      <c r="D277" s="13" t="s">
        <v>11</v>
      </c>
      <c r="F277" s="13" t="s">
        <v>12</v>
      </c>
      <c r="H277" s="13" t="s">
        <v>13</v>
      </c>
      <c r="J277" s="13" t="s">
        <v>14</v>
      </c>
      <c r="K277" s="12"/>
      <c r="L277" s="46"/>
      <c r="M277" s="46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</row>
    <row r="278" spans="1:41" ht="12" customHeight="1">
      <c r="A278" s="13">
        <v>1</v>
      </c>
      <c r="B278" s="12" t="str">
        <f>VLOOKUP('Програма-кодове'!P30,Списък!$A$1:$C$209,3,FALSE)</f>
        <v>английски език</v>
      </c>
      <c r="C278" s="87" t="str">
        <f>IF(OR(B278="история",B278="свят и личност",B278= "география",B278="химия",B278="биология",B278="физика",B278="философия"),"+","-")</f>
        <v>-</v>
      </c>
      <c r="D278" s="21" t="str">
        <f>VLOOKUP('Програма-кодове'!Q30,Списък!$A$1:$C$209,3,FALSE)</f>
        <v>информатика</v>
      </c>
      <c r="E278" s="87" t="str">
        <f>IF(OR(D278="история",D278="свят и личност",D278= "география",D278="химия",D278="биология",D278="физика",D278="философия"),"+","-")</f>
        <v>-</v>
      </c>
      <c r="F278" s="12" t="str">
        <f>VLOOKUP('Програма-кодове'!R30,Списък!$A$1:$C$209,3,FALSE)</f>
        <v>физика</v>
      </c>
      <c r="G278" s="87" t="str">
        <f>IF(OR(F278="история",F278="свят и личност",F278= "география",F278="химия",F278="биология",F278="физика",F278="философия"),"+","-")</f>
        <v>+</v>
      </c>
      <c r="H278" s="21" t="str">
        <f>VLOOKUP('Програма-кодове'!S30,Списък!$A$1:$C$209,3,FALSE)</f>
        <v>физкултура</v>
      </c>
      <c r="I278" s="87" t="str">
        <f>IF(OR(H278="история",H278="свят и личност",H278= "география",H278="химия",H278="биология",H278="физика",H278="философия"),"+","-")</f>
        <v>-</v>
      </c>
      <c r="J278" s="12" t="str">
        <f>VLOOKUP('Програма-кодове'!T30,Списък!$A$1:$C$209,3,FALSE)</f>
        <v>физика</v>
      </c>
      <c r="K278" s="87" t="str">
        <f>IF(OR(J278="история",J278="свят и личност",J278= "география",J278="химия",J278="биология",J278="физика",J278="философия"),"+","-")</f>
        <v>+</v>
      </c>
      <c r="L278" s="46"/>
      <c r="M278" s="46"/>
    </row>
    <row r="279" spans="1:41" ht="12" customHeight="1">
      <c r="A279" s="13">
        <v>2</v>
      </c>
      <c r="B279" s="12" t="str">
        <f>VLOOKUP('Програма-кодове'!P31,Списък!$A$1:$C$209,3,FALSE)</f>
        <v>физика</v>
      </c>
      <c r="C279" s="87" t="str">
        <f>IF(OR(B279="математика",B279="информатика",B279="английски език",B279="немски език",B279="руски език",B279="бълг. език",B279="ІІ - ри чужд език", B279="ИТ/ДБТ"),"+","-")</f>
        <v>-</v>
      </c>
      <c r="D279" s="21" t="str">
        <f>VLOOKUP('Програма-кодове'!Q31,Списък!$A$1:$C$209,3,FALSE)</f>
        <v>математика</v>
      </c>
      <c r="E279" s="87" t="str">
        <f>IF(OR(D279="математика",D279="информатика",D279="английски език",D279="немски език",D279="руски език",D279="бълг. език",D279="ІІ - ри чужд език", D279="ИТ/ДБТ"),"+","-")</f>
        <v>+</v>
      </c>
      <c r="F279" s="12" t="str">
        <f>VLOOKUP('Програма-кодове'!R31,Списък!$A$1:$C$209,3,FALSE)</f>
        <v>информатика</v>
      </c>
      <c r="G279" s="87" t="str">
        <f>IF(OR(F279="математика",F279="информатика",F279="английски език",F279="немски език",F279="руски език",F279="бълг. език",F279="ІІ - ри чужд език", F279="ИТ/ДБТ"),"+","-")</f>
        <v>+</v>
      </c>
      <c r="H279" s="21" t="str">
        <f>VLOOKUP('Програма-кодове'!S31,Списък!$A$1:$C$209,3,FALSE)</f>
        <v>английски език</v>
      </c>
      <c r="I279" s="87" t="str">
        <f>IF(OR(H279="математика",H279="информатика",H279="английски език",H279="немски език",H279="руски език",H279="бълг. език",H279="ІІ - ри чужд език", H279="ИТ/ДБТ"),"+","-")</f>
        <v>+</v>
      </c>
      <c r="J279" s="12" t="str">
        <f>VLOOKUP('Програма-кодове'!T31,Списък!$A$1:$C$209,3,FALSE)</f>
        <v>химия</v>
      </c>
      <c r="K279" s="87" t="str">
        <f>IF(OR(J279="математика",J279="информатика",J279="английски език",J279="немски език",J279="руски език",J279="бълг. език",J279="ІІ - ри чужд език", J279="ИТ/ДБТ"),"+","-")</f>
        <v>-</v>
      </c>
      <c r="L279" s="46"/>
      <c r="M279" s="46"/>
    </row>
    <row r="280" spans="1:41" ht="12" customHeight="1">
      <c r="A280" s="13">
        <v>3</v>
      </c>
      <c r="B280" s="12" t="str">
        <f>VLOOKUP('Програма-кодове'!P32,Списък!$A$1:$C$209,3,FALSE)</f>
        <v>физкултура</v>
      </c>
      <c r="C280" s="87" t="str">
        <f>IF(OR(B280="математика",B280="информатика",B280="английски език",B280="немски език",B280="руски език",B280="бълг. език",B280="ІІ - ри чужд език", B280="ИТ/ДБТ"),"+","-")</f>
        <v>-</v>
      </c>
      <c r="D280" s="21" t="str">
        <f>VLOOKUP('Програма-кодове'!Q32,Списък!$A$1:$C$209,3,FALSE)</f>
        <v>английски език</v>
      </c>
      <c r="E280" s="87" t="str">
        <f>IF(OR(D280="математика",D280="информатика",D280="английски език",D280="немски език",D280="руски език",D280="бълг. език",D280="ІІ - ри чужд език", D280="ИТ/ДБТ"),"+","-")</f>
        <v>+</v>
      </c>
      <c r="F280" s="12" t="str">
        <f>VLOOKUP('Програма-кодове'!R32,Списък!$A$1:$C$209,3,FALSE)</f>
        <v>математика</v>
      </c>
      <c r="G280" s="87" t="str">
        <f>IF(OR(F280="математика",F280="информатика",F280="английски език",F280="немски език",F280="руски език",F280="бълг. език",F280="ІІ - ри чужд език", F280="ИТ/ДБТ"),"+","-")</f>
        <v>+</v>
      </c>
      <c r="H280" s="21" t="str">
        <f>VLOOKUP('Програма-кодове'!S32,Списък!$A$1:$C$209,3,FALSE)</f>
        <v>немски език</v>
      </c>
      <c r="I280" s="87" t="str">
        <f>IF(OR(H280="математика",H280="информатика",H280="английски език",H280="немски език",H280="руски език",H280="бълг. език",H280="ІІ - ри чужд език", H280="ИТ/ДБТ"),"+","-")</f>
        <v>+</v>
      </c>
      <c r="J280" s="12" t="str">
        <f>VLOOKUP('Програма-кодове'!T32,Списък!$A$1:$C$209,3,FALSE)</f>
        <v>химия</v>
      </c>
      <c r="K280" s="87" t="str">
        <f>IF(OR(J280="математика",J280="информатика",J280="английски език",J280="немски език",J280="руски език",J280="бълг. език",J280="ІІ - ри чужд език", J280="ИТ/ДБТ"),"+","-")</f>
        <v>-</v>
      </c>
      <c r="L280" s="46"/>
      <c r="M280" s="46"/>
    </row>
    <row r="281" spans="1:41" ht="12" customHeight="1">
      <c r="A281" s="13">
        <v>4</v>
      </c>
      <c r="B281" s="12" t="str">
        <f>VLOOKUP('Програма-кодове'!P33,Списък!$A$1:$C$209,3,FALSE)</f>
        <v>математика</v>
      </c>
      <c r="C281" s="87" t="str">
        <f>IF(OR(B281="математика",B281="информатика",B281="английски език",B281="немски език",B281="руски език",B281="бълг. език",B281="ІІ - ри чужд език", B281="ИТ/ДБТ"),"+","-")</f>
        <v>+</v>
      </c>
      <c r="D281" s="21" t="str">
        <f>VLOOKUP('Програма-кодове'!Q33,Списък!$A$1:$C$209,3,FALSE)</f>
        <v>физика</v>
      </c>
      <c r="E281" s="87" t="str">
        <f>IF(OR(D281="математика",D281="информатика",D281="английски език",D281="немски език",D281="руски език",D281="бълг. език",D281="ІІ - ри чужд език", D281="ИТ/ДБТ"),"+","-")</f>
        <v>-</v>
      </c>
      <c r="F281" s="12" t="str">
        <f>VLOOKUP('Програма-кодове'!R33,Списък!$A$1:$C$209,3,FALSE)</f>
        <v>биология</v>
      </c>
      <c r="G281" s="87" t="str">
        <f>IF(OR(F281="математика",F281="информатика",F281="английски език",F281="немски език",F281="руски език",F281="бълг. език",F281="ІІ - ри чужд език", F281="ИТ/ДБТ"),"+","-")</f>
        <v>-</v>
      </c>
      <c r="H281" s="21" t="str">
        <f>VLOOKUP('Програма-кодове'!S33,Списък!$A$1:$C$209,3,FALSE)</f>
        <v>немски език</v>
      </c>
      <c r="I281" s="87" t="str">
        <f>IF(OR(H281="математика",H281="информатика",H281="английски език",H281="немски език",H281="руски език",H281="бълг. език",H281="ІІ - ри чужд език", H281="ИТ/ДБТ"),"+","-")</f>
        <v>+</v>
      </c>
      <c r="J281" s="12" t="str">
        <f>VLOOKUP('Програма-кодове'!T33,Списък!$A$1:$C$209,3,FALSE)</f>
        <v>бълг. език</v>
      </c>
      <c r="K281" s="87" t="str">
        <f>IF(OR(J281="математика",J281="информатика",J281="английски език",J281="немски език",J281="руски език",J281="бълг. език",J281="ІІ - ри чужд език", J281="ИТ/ДБТ"),"+","-")</f>
        <v>+</v>
      </c>
      <c r="L281" s="46"/>
      <c r="M281" s="46"/>
    </row>
    <row r="282" spans="1:41" ht="12" customHeight="1">
      <c r="A282" s="13">
        <v>5</v>
      </c>
      <c r="B282" s="12" t="str">
        <f>VLOOKUP('Програма-кодове'!P34,Списък!$A$1:$C$209,3,FALSE)</f>
        <v>бълг. език</v>
      </c>
      <c r="C282" s="87" t="str">
        <f>IF(OR(B282="физкултура",B282="музика",B282="рисуване",B282="ИТ/ДБТ",B282="домашен бит и техника"),"+","-")</f>
        <v>-</v>
      </c>
      <c r="D282" s="21" t="str">
        <f>VLOOKUP('Програма-кодове'!Q34,Списък!$A$1:$C$209,3,FALSE)</f>
        <v>философия</v>
      </c>
      <c r="E282" s="87" t="str">
        <f>IF(OR(D282="физкултура",D282="музика",D282="рисуване",D282="ИТ/ДБТ",D282="домашен бит и техника"),"+","-")</f>
        <v>-</v>
      </c>
      <c r="F282" s="12" t="str">
        <f>VLOOKUP('Програма-кодове'!R34,Списък!$A$1:$C$209,3,FALSE)</f>
        <v>химия</v>
      </c>
      <c r="G282" s="87" t="str">
        <f>IF(OR(F282="физкултура",F282="музика",F282="рисуване",F282="ИТ/ДБТ",F282="домашен бит и техника"),"+","-")</f>
        <v>-</v>
      </c>
      <c r="H282" s="21" t="str">
        <f>VLOOKUP('Програма-кодове'!S34,Списък!$A$1:$C$209,3,FALSE)</f>
        <v>физика</v>
      </c>
      <c r="I282" s="87" t="str">
        <f>IF(OR(H282="физкултура",H282="музика",H282="рисуване",H282="ИТ/ДБТ",H282="домашен бит и техника"),"+","-")</f>
        <v>-</v>
      </c>
      <c r="J282" s="12" t="str">
        <f>VLOOKUP('Програма-кодове'!T34,Списък!$A$1:$C$209,3,FALSE)</f>
        <v>география</v>
      </c>
      <c r="K282" s="87" t="str">
        <f>IF(OR(J282="физкултура",J282="музика",J282="рисуване",J282="ИТ/ДБТ",J282="домашен бит и техника"),"+","-")</f>
        <v>-</v>
      </c>
      <c r="L282" s="46"/>
      <c r="M282" s="46"/>
    </row>
    <row r="283" spans="1:41" ht="12" customHeight="1">
      <c r="A283" s="13">
        <v>6</v>
      </c>
      <c r="B283" s="12" t="str">
        <f>VLOOKUP('Програма-кодове'!P35,Списък!$A$1:$C$209,3,FALSE)</f>
        <v>биология</v>
      </c>
      <c r="C283" s="87" t="str">
        <f>IF(OR(B283="история",B283="свят и личност",B283= "география",B283="химия",B283="биология",B283="физика",B283="философия"),"+","-")</f>
        <v>+</v>
      </c>
      <c r="D283" s="21" t="str">
        <f>VLOOKUP('Програма-кодове'!Q35,Списък!$A$1:$C$209,3,FALSE)</f>
        <v>география</v>
      </c>
      <c r="E283" s="87" t="str">
        <f>IF(OR(D283="история",D283="свят и личност",D283= "география",D283="химия",D283="биология",D283="физика",D283="философия"),"+","-")</f>
        <v>+</v>
      </c>
      <c r="F283" s="12" t="str">
        <f>VLOOKUP('Програма-кодове'!R35,Списък!$A$1:$C$209,3,FALSE)</f>
        <v>бълг. език</v>
      </c>
      <c r="G283" s="87" t="str">
        <f>IF(OR(F283="история",F283="свят и личност",F283= "география",F283="химия",F283="биология",F283="физика",F283="философия"),"+","-")</f>
        <v>-</v>
      </c>
      <c r="H283" s="21" t="str">
        <f>VLOOKUP('Програма-кодове'!S35,Списък!$A$1:$C$209,3,FALSE)</f>
        <v>химия</v>
      </c>
      <c r="I283" s="87" t="str">
        <f>IF(OR(H283="история",H283="свят и личност",H283= "география",H283="химия",H283="биология",H283="физика",H283="философия"),"+","-")</f>
        <v>+</v>
      </c>
      <c r="J283" s="12" t="str">
        <f>VLOOKUP('Програма-кодове'!T35,Списък!$A$1:$C$209,3,FALSE)</f>
        <v>математика</v>
      </c>
      <c r="K283" s="87" t="str">
        <f>IF(OR(J283="история",J283="свят и личност",J283= "география",J283="химия",J283="биология",J283="физика",J283="философия"),"+","-")</f>
        <v>-</v>
      </c>
      <c r="L283" s="46"/>
      <c r="M283" s="46"/>
    </row>
    <row r="284" spans="1:41" ht="12" customHeight="1">
      <c r="A284" s="13">
        <v>7</v>
      </c>
      <c r="B284" s="21" t="e">
        <f>VLOOKUP('Програма-кодове'!#REF!,Списък!$A$1:$C$209,3,FALSE)</f>
        <v>#REF!</v>
      </c>
      <c r="C284" s="87"/>
      <c r="D284" s="21" t="e">
        <f>VLOOKUP('Програма-кодове'!#REF!,Списък!$A$1:$C$209,3,FALSE)</f>
        <v>#REF!</v>
      </c>
      <c r="E284" s="87"/>
      <c r="F284" s="12" t="e">
        <f>VLOOKUP('Програма-кодове'!#REF!,Списък!$A$1:$C$209,3,FALSE)</f>
        <v>#REF!</v>
      </c>
      <c r="G284" s="87"/>
      <c r="H284" s="21" t="e">
        <f>VLOOKUP('Програма-кодове'!#REF!,Списък!$A$1:$C$209,3,FALSE)</f>
        <v>#REF!</v>
      </c>
      <c r="I284" s="87"/>
      <c r="J284" s="12" t="e">
        <f>VLOOKUP('Програма-кодове'!#REF!,Списък!$A$1:$C$209,3,FALSE)</f>
        <v>#REF!</v>
      </c>
      <c r="K284" s="87"/>
      <c r="L284" s="46"/>
      <c r="M284" s="46"/>
    </row>
    <row r="285" spans="1:41" ht="12" customHeight="1">
      <c r="C285" s="88">
        <f>COUNTIF(C278:C283,"+")/6</f>
        <v>0.33333333333333331</v>
      </c>
      <c r="D285" s="21"/>
      <c r="E285" s="88">
        <f>COUNTIF(E278:E283,"+")/6</f>
        <v>0.5</v>
      </c>
      <c r="G285" s="88">
        <f>COUNTIF(G278:G283,"+")/6</f>
        <v>0.5</v>
      </c>
      <c r="H285" s="21"/>
      <c r="I285" s="88">
        <f>COUNTIF(I278:I283,"+")/6</f>
        <v>0.66666666666666663</v>
      </c>
      <c r="K285" s="88">
        <f>COUNTIF(K278:K283,"+")/6</f>
        <v>0.33333333333333331</v>
      </c>
      <c r="L285" s="46" t="s">
        <v>95</v>
      </c>
      <c r="M285" s="47">
        <f>(C285+E285+G285+I285+K285)/5</f>
        <v>0.46666666666666667</v>
      </c>
    </row>
    <row r="286" spans="1:41" ht="1.5" customHeight="1">
      <c r="A286" s="14"/>
      <c r="B286" s="15"/>
      <c r="C286" s="15"/>
      <c r="D286" s="15"/>
      <c r="E286" s="15"/>
      <c r="F286" s="15"/>
      <c r="G286" s="15"/>
      <c r="H286" s="15"/>
      <c r="I286" s="15"/>
      <c r="J286" s="15"/>
      <c r="L286" s="46"/>
      <c r="M286" s="46"/>
    </row>
    <row r="287" spans="1:41" s="13" customFormat="1" ht="12" customHeight="1">
      <c r="B287" s="13" t="s">
        <v>15</v>
      </c>
      <c r="D287" s="13" t="s">
        <v>16</v>
      </c>
      <c r="F287" s="13" t="s">
        <v>17</v>
      </c>
      <c r="H287" s="13" t="s">
        <v>46</v>
      </c>
      <c r="J287" s="13" t="s">
        <v>18</v>
      </c>
      <c r="K287" s="12"/>
      <c r="L287" s="46"/>
      <c r="M287" s="46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</row>
    <row r="288" spans="1:41" ht="12" customHeight="1">
      <c r="A288" s="13">
        <v>1</v>
      </c>
      <c r="B288" s="12" t="str">
        <f>VLOOKUP('Програма-кодове'!U30,Списък!$A$1:$C$209,3,FALSE)</f>
        <v>бълг. език</v>
      </c>
      <c r="C288" s="87" t="str">
        <f>IF(OR(B288="история",B288="свят и личност",B288= "география",B288="химия",B288="биология",B288="физика",B288="философия"),"+","-")</f>
        <v>-</v>
      </c>
      <c r="D288" s="12" t="str">
        <f>VLOOKUP('Програма-кодове'!V30,Списък!$A$1:$C$209,3,FALSE)</f>
        <v>физкултура</v>
      </c>
      <c r="E288" s="87" t="str">
        <f>IF(OR(D288="история",D288="свят и личност",D288= "география",D288="химия",D288="биология",D288="физика",D288="философия"),"+","-")</f>
        <v>-</v>
      </c>
      <c r="F288" s="12" t="str">
        <f>VLOOKUP('Програма-кодове'!W30,Списък!$A$1:$C$209,3,FALSE)</f>
        <v>информатика</v>
      </c>
      <c r="G288" s="87" t="str">
        <f>IF(OR(F288="история",F288="свят и личност",F288= "география",F288="химия",F288="биология",F288="физика",F288="философия"),"+","-")</f>
        <v>-</v>
      </c>
      <c r="H288" s="12" t="str">
        <f>VLOOKUP('Програма-кодове'!X30,Списък!$A$1:$C$209,3,FALSE)</f>
        <v>химия</v>
      </c>
      <c r="I288" s="87" t="str">
        <f>IF(OR(H288="история",H288="свят и личност",H288= "география",H288="химия",H288="биология",H288="физика",H288="философия"),"+","-")</f>
        <v>+</v>
      </c>
      <c r="J288" s="12" t="str">
        <f>VLOOKUP('Програма-кодове'!Y30,Списък!$A$1:$C$209,3,FALSE)</f>
        <v>история</v>
      </c>
      <c r="K288" s="87" t="str">
        <f>IF(OR(J288="история",J288="свят и личност",J288= "география",J288="химия",J288="биология",J288="физика",J288="философия"),"+","-")</f>
        <v>+</v>
      </c>
      <c r="L288" s="46"/>
      <c r="M288" s="46"/>
    </row>
    <row r="289" spans="1:41" ht="12" customHeight="1">
      <c r="A289" s="13">
        <v>2</v>
      </c>
      <c r="B289" s="12" t="str">
        <f>VLOOKUP('Програма-кодове'!U31,Списък!$A$1:$C$209,3,FALSE)</f>
        <v>бълг. език</v>
      </c>
      <c r="C289" s="87" t="str">
        <f>IF(OR(B289="математика",B289="информатика",B289="английски език",B289="немски език",B289="руски език",B289="бълг. език",B289="ІІ - ри чужд език", B289="ИТ/ДБТ"),"+","-")</f>
        <v>+</v>
      </c>
      <c r="D289" s="12" t="str">
        <f>VLOOKUP('Програма-кодове'!V31,Списък!$A$1:$C$209,3,FALSE)</f>
        <v>английски език</v>
      </c>
      <c r="E289" s="87" t="str">
        <f>IF(OR(D289="математика",D289="информатика",D289="английски език",D289="немски език",D289="руски език",D289="бълг. език",D289="ІІ - ри чужд език", D289="ИТ/ДБТ"),"+","-")</f>
        <v>+</v>
      </c>
      <c r="F289" s="12" t="str">
        <f>VLOOKUP('Програма-кодове'!W31,Списък!$A$1:$C$209,3,FALSE)</f>
        <v>физкултура</v>
      </c>
      <c r="G289" s="87" t="str">
        <f>IF(OR(F289="математика",F289="информатика",F289="английски език",F289="немски език",F289="руски език",F289="бълг. език",F289="ІІ - ри чужд език", F289="ИТ/ДБТ"),"+","-")</f>
        <v>-</v>
      </c>
      <c r="H289" s="12" t="str">
        <f>VLOOKUP('Програма-кодове'!X31,Списък!$A$1:$C$209,3,FALSE)</f>
        <v>информатика</v>
      </c>
      <c r="I289" s="87" t="str">
        <f>IF(OR(H289="математика",H289="информатика",H289="английски език",H289="немски език",H289="руски език",H289="бълг. език",H289="ІІ - ри чужд език", H289="ИТ/ДБТ"),"+","-")</f>
        <v>+</v>
      </c>
      <c r="J289" s="12" t="str">
        <f>VLOOKUP('Програма-кодове'!Y31,Списък!$A$1:$C$209,3,FALSE)</f>
        <v>биология</v>
      </c>
      <c r="K289" s="87" t="str">
        <f>IF(OR(J289="математика",J289="информатика",J289="английски език",J289="немски език",J289="руски език",J289="бълг. език",J289="ІІ - ри чужд език", J289="ИТ/ДБТ"),"+","-")</f>
        <v>-</v>
      </c>
      <c r="L289" s="46"/>
      <c r="M289" s="46"/>
    </row>
    <row r="290" spans="1:41" ht="12" customHeight="1">
      <c r="A290" s="13">
        <v>3</v>
      </c>
      <c r="B290" s="12" t="str">
        <f>VLOOKUP('Програма-кодове'!U32,Списък!$A$1:$C$209,3,FALSE)</f>
        <v>английски език</v>
      </c>
      <c r="C290" s="87" t="str">
        <f>IF(OR(B290="математика",B290="информатика",B290="английски език",B290="немски език",B290="руски език",B290="бълг. език",B290="ІІ - ри чужд език", B290="ИТ/ДБТ"),"+","-")</f>
        <v>+</v>
      </c>
      <c r="D290" s="12" t="str">
        <f>VLOOKUP('Програма-кодове'!V32,Списък!$A$1:$C$209,3,FALSE)</f>
        <v>философия</v>
      </c>
      <c r="E290" s="87" t="str">
        <f>IF(OR(D290="математика",D290="информатика",D290="английски език",D290="немски език",D290="руски език",D290="бълг. език",D290="ІІ - ри чужд език", D290="ИТ/ДБТ"),"+","-")</f>
        <v>-</v>
      </c>
      <c r="F290" s="12" t="str">
        <f>VLOOKUP('Програма-кодове'!W32,Списък!$A$1:$C$209,3,FALSE)</f>
        <v>английски език</v>
      </c>
      <c r="G290" s="87" t="str">
        <f>IF(OR(F290="математика",F290="информатика",F290="английски език",F290="немски език",F290="руски език",F290="бълг. език",F290="ІІ - ри чужд език", F290="ИТ/ДБТ"),"+","-")</f>
        <v>+</v>
      </c>
      <c r="H290" s="12" t="str">
        <f>VLOOKUP('Програма-кодове'!X32,Списък!$A$1:$C$209,3,FALSE)</f>
        <v>немски език</v>
      </c>
      <c r="I290" s="87" t="str">
        <f>IF(OR(H290="математика",H290="информатика",H290="английски език",H290="немски език",H290="руски език",H290="бълг. език",H290="ІІ - ри чужд език", H290="ИТ/ДБТ"),"+","-")</f>
        <v>+</v>
      </c>
      <c r="J290" s="12" t="str">
        <f>VLOOKUP('Програма-кодове'!Y32,Списък!$A$1:$C$209,3,FALSE)</f>
        <v>химия</v>
      </c>
      <c r="K290" s="87" t="str">
        <f>IF(OR(J290="математика",J290="информатика",J290="английски език",J290="немски език",J290="руски език",J290="бълг. език",J290="ІІ - ри чужд език", J290="ИТ/ДБТ"),"+","-")</f>
        <v>-</v>
      </c>
      <c r="L290" s="46"/>
      <c r="M290" s="46"/>
    </row>
    <row r="291" spans="1:41" ht="12" customHeight="1">
      <c r="A291" s="13">
        <v>4</v>
      </c>
      <c r="B291" s="12" t="str">
        <f>VLOOKUP('Програма-кодове'!U33,Списък!$A$1:$C$209,3,FALSE)</f>
        <v>химия</v>
      </c>
      <c r="C291" s="87" t="str">
        <f>IF(OR(B291="математика",B291="информатика",B291="английски език",B291="немски език",B291="руски език",B291="бълг. език",B291="ІІ - ри чужд език", B291="ИТ/ДБТ"),"+","-")</f>
        <v>-</v>
      </c>
      <c r="D291" s="12" t="str">
        <f>VLOOKUP('Програма-кодове'!V33,Списък!$A$1:$C$209,3,FALSE)</f>
        <v>бълг. език</v>
      </c>
      <c r="E291" s="87" t="str">
        <f>IF(OR(D291="математика",D291="информатика",D291="английски език",D291="немски език",D291="руски език",D291="бълг. език",D291="ІІ - ри чужд език", D291="ИТ/ДБТ"),"+","-")</f>
        <v>+</v>
      </c>
      <c r="F291" s="12" t="str">
        <f>VLOOKUP('Програма-кодове'!W33,Списък!$A$1:$C$209,3,FALSE)</f>
        <v>философия</v>
      </c>
      <c r="G291" s="87" t="str">
        <f>IF(OR(F291="математика",F291="информатика",F291="английски език",F291="немски език",F291="руски език",F291="бълг. език",F291="ІІ - ри чужд език", F291="ИТ/ДБТ"),"+","-")</f>
        <v>-</v>
      </c>
      <c r="H291" s="12" t="str">
        <f>VLOOKUP('Програма-кодове'!X33,Списък!$A$1:$C$209,3,FALSE)</f>
        <v>математика</v>
      </c>
      <c r="I291" s="87" t="str">
        <f>IF(OR(H291="математика",H291="информатика",H291="английски език",H291="немски език",H291="руски език",H291="бълг. език",H291="ІІ - ри чужд език", H291="ИТ/ДБТ"),"+","-")</f>
        <v>+</v>
      </c>
      <c r="J291" s="12" t="str">
        <f>VLOOKUP('Програма-кодове'!Y33,Списък!$A$1:$C$209,3,FALSE)</f>
        <v>физика</v>
      </c>
      <c r="K291" s="87" t="str">
        <f>IF(OR(J291="математика",J291="информатика",J291="английски език",J291="немски език",J291="руски език",J291="бълг. език",J291="ІІ - ри чужд език", J291="ИТ/ДБТ"),"+","-")</f>
        <v>-</v>
      </c>
      <c r="L291" s="46"/>
      <c r="M291" s="46"/>
    </row>
    <row r="292" spans="1:41" ht="12" customHeight="1">
      <c r="A292" s="13">
        <v>5</v>
      </c>
      <c r="B292" s="12" t="str">
        <f>VLOOKUP('Програма-кодове'!U34,Списък!$A$1:$C$209,3,FALSE)</f>
        <v>физкултура</v>
      </c>
      <c r="C292" s="87" t="str">
        <f>IF(OR(B292="физкултура",B292="музика",B292="рисуване",B292="ИТ/ДБТ",B292="домашен бит и техника"),"+","-")</f>
        <v>+</v>
      </c>
      <c r="D292" s="12" t="str">
        <f>VLOOKUP('Програма-кодове'!V34,Списък!$A$1:$C$209,3,FALSE)</f>
        <v>бълг. език</v>
      </c>
      <c r="E292" s="87" t="str">
        <f>IF(OR(D292="физкултура",D292="музика",D292="рисуване",D292="ИТ/ДБТ",D292="домашен бит и техника"),"+","-")</f>
        <v>-</v>
      </c>
      <c r="F292" s="12" t="str">
        <f>VLOOKUP('Програма-кодове'!W34,Списък!$A$1:$C$209,3,FALSE)</f>
        <v>биология</v>
      </c>
      <c r="G292" s="87" t="str">
        <f>IF(OR(F292="физкултура",F292="музика",F292="рисуване",F292="ИТ/ДБТ",F292="домашен бит и техника"),"+","-")</f>
        <v>-</v>
      </c>
      <c r="H292" s="12" t="str">
        <f>VLOOKUP('Програма-кодове'!X34,Списък!$A$1:$C$209,3,FALSE)</f>
        <v>математика</v>
      </c>
      <c r="I292" s="87" t="str">
        <f>IF(OR(H292="физкултура",H292="музика",H292="рисуване",H292="ИТ/ДБТ",H292="домашен бит и техника"),"+","-")</f>
        <v>-</v>
      </c>
      <c r="J292" s="12" t="str">
        <f>VLOOKUP('Програма-кодове'!Y34,Списък!$A$1:$C$209,3,FALSE)</f>
        <v>английски език</v>
      </c>
      <c r="K292" s="87" t="str">
        <f>IF(OR(J292="физкултура",J292="музика",J292="рисуване",J292="ИТ/ДБТ",J292="домашен бит и техника"),"+","-")</f>
        <v>-</v>
      </c>
      <c r="L292" s="46"/>
      <c r="M292" s="46"/>
    </row>
    <row r="293" spans="1:41" ht="12" customHeight="1">
      <c r="A293" s="13">
        <v>6</v>
      </c>
      <c r="B293" s="12" t="str">
        <f>VLOOKUP('Програма-кодове'!U35,Списък!$A$1:$C$209,3,FALSE)</f>
        <v>философия</v>
      </c>
      <c r="C293" s="87" t="str">
        <f>IF(OR(B293="история",B293="свят и личност",B293= "география",B293="химия",B293="биология",B293="физика",B293="философия"),"+","-")</f>
        <v>+</v>
      </c>
      <c r="D293" s="12" t="str">
        <f>VLOOKUP('Програма-кодове'!V35,Списък!$A$1:$C$209,3,FALSE)</f>
        <v>история</v>
      </c>
      <c r="E293" s="87" t="str">
        <f>IF(OR(D293="история",D293="свят и личност",D293= "география",D293="химия",D293="биология",D293="физика",D293="философия"),"+","-")</f>
        <v>+</v>
      </c>
      <c r="F293" s="12" t="str">
        <f>VLOOKUP('Програма-кодове'!W35,Списък!$A$1:$C$209,3,FALSE)</f>
        <v>математика</v>
      </c>
      <c r="G293" s="87" t="str">
        <f>IF(OR(F293="история",F293="свят и личност",F293= "география",F293="химия",F293="биология",F293="физика",F293="философия"),"+","-")</f>
        <v>-</v>
      </c>
      <c r="H293" s="12" t="str">
        <f>VLOOKUP('Програма-кодове'!X35,Списък!$A$1:$C$209,3,FALSE)</f>
        <v>английски език</v>
      </c>
      <c r="I293" s="87" t="str">
        <f>IF(OR(H293="история",H293="свят и личност",H293= "география",H293="химия",H293="биология",H293="физика",H293="философия"),"+","-")</f>
        <v>-</v>
      </c>
      <c r="J293" s="12" t="str">
        <f>VLOOKUP('Програма-кодове'!Y35,Списък!$A$1:$C$209,3,FALSE)</f>
        <v>физкултура</v>
      </c>
      <c r="K293" s="87" t="str">
        <f>IF(OR(J293="история",J293="свят и личност",J293= "география",J293="химия",J293="биология",J293="физика",J293="философия"),"+","-")</f>
        <v>-</v>
      </c>
      <c r="L293" s="46"/>
      <c r="M293" s="46"/>
    </row>
    <row r="294" spans="1:41" ht="12" customHeight="1">
      <c r="A294" s="13">
        <v>7</v>
      </c>
      <c r="B294" s="12">
        <f>VLOOKUP('Програма-кодове'!U36,Списък!$A$1:$C$209,3,FALSE)</f>
        <v>0</v>
      </c>
      <c r="C294" s="87"/>
      <c r="D294" s="12">
        <f>VLOOKUP('Програма-кодове'!V36,Списък!$A$1:$C$209,3,FALSE)</f>
        <v>0</v>
      </c>
      <c r="E294" s="87"/>
      <c r="F294" s="12">
        <f>VLOOKUP('Програма-кодове'!W36,Списък!$A$1:$C$209,3,FALSE)</f>
        <v>0</v>
      </c>
      <c r="G294" s="87"/>
      <c r="I294" s="87"/>
      <c r="K294" s="87"/>
      <c r="L294" s="46"/>
      <c r="M294" s="46"/>
    </row>
    <row r="295" spans="1:41" ht="12" customHeight="1">
      <c r="C295" s="88">
        <f>COUNTIF(C288:C293,"+")/6</f>
        <v>0.66666666666666663</v>
      </c>
      <c r="E295" s="88">
        <f>COUNTIF(E288:E293,"+")/6</f>
        <v>0.5</v>
      </c>
      <c r="G295" s="88">
        <f>COUNTIF(G288:G293,"+")/6</f>
        <v>0.16666666666666666</v>
      </c>
      <c r="I295" s="88">
        <f>COUNTIF(I288:I293,"+")/6</f>
        <v>0.66666666666666663</v>
      </c>
      <c r="K295" s="88">
        <f>COUNTIF(K288:K293,"+")/6</f>
        <v>0.16666666666666666</v>
      </c>
      <c r="L295" s="46" t="s">
        <v>95</v>
      </c>
      <c r="M295" s="47">
        <f>(C295+E295+G295+I295+K295)/5</f>
        <v>0.43333333333333329</v>
      </c>
    </row>
    <row r="296" spans="1:41" ht="1.5" customHeight="1">
      <c r="A296" s="14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46"/>
      <c r="M296" s="46"/>
    </row>
    <row r="297" spans="1:41" s="13" customFormat="1" ht="12" customHeight="1">
      <c r="B297" s="13" t="s">
        <v>48</v>
      </c>
      <c r="D297" s="13" t="s">
        <v>49</v>
      </c>
      <c r="F297" s="13" t="s">
        <v>50</v>
      </c>
      <c r="H297" s="13" t="s">
        <v>51</v>
      </c>
      <c r="J297" s="13" t="s">
        <v>52</v>
      </c>
      <c r="K297" s="12"/>
      <c r="L297" s="46"/>
      <c r="M297" s="46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</row>
    <row r="298" spans="1:41" ht="12" customHeight="1">
      <c r="A298" s="13">
        <v>1</v>
      </c>
      <c r="B298" s="12" t="str">
        <f>VLOOKUP('Програма-кодове'!Z30,Списък!$A$1:$C$209,3,FALSE)</f>
        <v>английски език</v>
      </c>
      <c r="C298" s="87" t="str">
        <f>IF(OR(B298="история",B298="свят и личност",B298= "география",B298="химия",B298="биология",B298="физика",B298="философия"),"+","-")</f>
        <v>-</v>
      </c>
      <c r="D298" s="12" t="str">
        <f>VLOOKUP('Програма-кодове'!AA30,Списък!$A$1:$C$209,3,FALSE)</f>
        <v>философия</v>
      </c>
      <c r="E298" s="87" t="str">
        <f>IF(OR(D298="история",D298="свят и личност",D298= "география",D298="химия",D298="биология",D298="физика",D298="философия"),"+","-")</f>
        <v>+</v>
      </c>
      <c r="F298" s="12" t="str">
        <f>VLOOKUP('Програма-кодове'!AB30,Списък!$A$1:$C$209,3,FALSE)</f>
        <v>математика</v>
      </c>
      <c r="G298" s="87" t="str">
        <f>IF(OR(F298="история",F298="свят и личност",F298= "география",F298="химия",F298="биология",F298="физика",F298="философия"),"+","-")</f>
        <v>-</v>
      </c>
      <c r="H298" s="12" t="str">
        <f>VLOOKUP('Програма-кодове'!AC30,Списък!$A$1:$C$209,3,FALSE)</f>
        <v>информатика</v>
      </c>
      <c r="I298" s="87" t="str">
        <f>IF(OR(H298="история",H298="свят и личност",H298= "география",H298="химия",H298="биология",H298="физика",H298="философия"),"+","-")</f>
        <v>-</v>
      </c>
      <c r="J298" s="12" t="str">
        <f>VLOOKUP('Програма-кодове'!AD30,Списък!$A$1:$C$209,3,FALSE)</f>
        <v>химия</v>
      </c>
      <c r="K298" s="87" t="str">
        <f>IF(OR(J298="история",J298="свят и личност",J298= "география",J298="химия",J298="биология",J298="физика",J298="философия"),"+","-")</f>
        <v>+</v>
      </c>
      <c r="L298" s="46"/>
      <c r="M298" s="46"/>
    </row>
    <row r="299" spans="1:41" ht="12" customHeight="1">
      <c r="A299" s="13">
        <v>2</v>
      </c>
      <c r="B299" s="12" t="str">
        <f>VLOOKUP('Програма-кодове'!Z31,Списък!$A$1:$C$209,3,FALSE)</f>
        <v>история</v>
      </c>
      <c r="C299" s="87" t="str">
        <f>IF(OR(B299="математика",B299="информатика",B299="английски език",B299="немски език",B299="руски език",B299="бълг. език",B299="ІІ - ри чужд език", B299="ИТ/ДБТ"),"+","-")</f>
        <v>-</v>
      </c>
      <c r="D299" s="12" t="str">
        <f>VLOOKUP('Програма-кодове'!AA31,Списък!$A$1:$C$209,3,FALSE)</f>
        <v>английски език</v>
      </c>
      <c r="E299" s="87" t="str">
        <f>IF(OR(D299="математика",D299="информатика",D299="английски език",D299="немски език",D299="руски език",D299="бълг. език",D299="ІІ - ри чужд език", D299="ИТ/ДБТ"),"+","-")</f>
        <v>+</v>
      </c>
      <c r="F299" s="12" t="str">
        <f>VLOOKUP('Програма-кодове'!AB31,Списък!$A$1:$C$209,3,FALSE)</f>
        <v>математика</v>
      </c>
      <c r="G299" s="87" t="str">
        <f>IF(OR(F299="математика",F299="информатика",F299="английски език",F299="немски език",F299="руски език",F299="бълг. език",F299="ІІ - ри чужд език", F299="ИТ/ДБТ"),"+","-")</f>
        <v>+</v>
      </c>
      <c r="H299" s="12" t="str">
        <f>VLOOKUP('Програма-кодове'!AC31,Списък!$A$1:$C$209,3,FALSE)</f>
        <v>информатика</v>
      </c>
      <c r="I299" s="87" t="str">
        <f>IF(OR(H299="математика",H299="информатика",H299="английски език",H299="немски език",H299="руски език",H299="бълг. език",H299="ІІ - ри чужд език", H299="ИТ/ДБТ"),"+","-")</f>
        <v>+</v>
      </c>
      <c r="J299" s="12" t="str">
        <f>VLOOKUP('Програма-кодове'!AD31,Списък!$A$1:$C$209,3,FALSE)</f>
        <v>бълг. език</v>
      </c>
      <c r="K299" s="87" t="str">
        <f>IF(OR(J299="математика",J299="информатика",J299="английски език",J299="немски език",J299="руски език",J299="бълг. език",J299="ІІ - ри чужд език", J299="ИТ/ДБТ"),"+","-")</f>
        <v>+</v>
      </c>
      <c r="L299" s="46"/>
      <c r="M299" s="46"/>
    </row>
    <row r="300" spans="1:41" ht="12" customHeight="1">
      <c r="A300" s="13">
        <v>3</v>
      </c>
      <c r="B300" s="12" t="str">
        <f>VLOOKUP('Програма-кодове'!Z32,Списък!$A$1:$C$209,3,FALSE)</f>
        <v>математика</v>
      </c>
      <c r="C300" s="87" t="str">
        <f>IF(OR(B300="математика",B300="информатика",B300="английски език",B300="немски език",B300="руски език",B300="бълг. език",B300="ІІ - ри чужд език", B300="ИТ/ДБТ"),"+","-")</f>
        <v>+</v>
      </c>
      <c r="D300" s="12" t="str">
        <f>VLOOKUP('Програма-кодове'!AA32,Списък!$A$1:$C$209,3,FALSE)</f>
        <v>история</v>
      </c>
      <c r="E300" s="87" t="str">
        <f>IF(OR(D300="математика",D300="информатика",D300="английски език",D300="немски език",D300="руски език",D300="бълг. език",D300="ІІ - ри чужд език", D300="ИТ/ДБТ"),"+","-")</f>
        <v>-</v>
      </c>
      <c r="F300" s="12" t="str">
        <f>VLOOKUP('Програма-кодове'!AB32,Списък!$A$1:$C$209,3,FALSE)</f>
        <v>информатика</v>
      </c>
      <c r="G300" s="87" t="str">
        <f>IF(OR(F300="математика",F300="информатика",F300="английски език",F300="немски език",F300="руски език",F300="бълг. език",F300="ІІ - ри чужд език", F300="ИТ/ДБТ"),"+","-")</f>
        <v>+</v>
      </c>
      <c r="H300" s="12" t="str">
        <f>VLOOKUP('Програма-кодове'!AC32,Списък!$A$1:$C$209,3,FALSE)</f>
        <v>бълг. език</v>
      </c>
      <c r="I300" s="87" t="str">
        <f>IF(OR(H300="математика",H300="информатика",H300="английски език",H300="немски език",H300="руски език",H300="бълг. език",H300="ІІ - ри чужд език", H300="ИТ/ДБТ"),"+","-")</f>
        <v>+</v>
      </c>
      <c r="J300" s="12" t="str">
        <f>VLOOKUP('Програма-кодове'!AD32,Списък!$A$1:$C$209,3,FALSE)</f>
        <v>английски език</v>
      </c>
      <c r="K300" s="87" t="str">
        <f>IF(OR(J300="математика",J300="информатика",J300="английски език",J300="немски език",J300="руски език",J300="бълг. език",J300="ІІ - ри чужд език", J300="ИТ/ДБТ"),"+","-")</f>
        <v>+</v>
      </c>
      <c r="L300" s="46"/>
      <c r="M300" s="46"/>
    </row>
    <row r="301" spans="1:41" ht="12" customHeight="1">
      <c r="A301" s="13">
        <v>4</v>
      </c>
      <c r="B301" s="12" t="str">
        <f>VLOOKUP('Програма-кодове'!Z33,Списък!$A$1:$C$209,3,FALSE)</f>
        <v>математика</v>
      </c>
      <c r="C301" s="87" t="str">
        <f>IF(OR(B301="математика",B301="информатика",B301="английски език",B301="немски език",B301="руски език",B301="бълг. език",B301="ІІ - ри чужд език", B301="ИТ/ДБТ"),"+","-")</f>
        <v>+</v>
      </c>
      <c r="D301" s="12" t="str">
        <f>VLOOKUP('Програма-кодове'!AA33,Списък!$A$1:$C$209,3,FALSE)</f>
        <v>бълг. език</v>
      </c>
      <c r="E301" s="87" t="str">
        <f>IF(OR(D301="математика",D301="информатика",D301="английски език",D301="немски език",D301="руски език",D301="бълг. език",D301="ІІ - ри чужд език", D301="ИТ/ДБТ"),"+","-")</f>
        <v>+</v>
      </c>
      <c r="F301" s="12" t="str">
        <f>VLOOKUP('Програма-кодове'!AB33,Списък!$A$1:$C$209,3,FALSE)</f>
        <v>информатика</v>
      </c>
      <c r="G301" s="87" t="str">
        <f>IF(OR(F301="математика",F301="информатика",F301="английски език",F301="немски език",F301="руски език",F301="бълг. език",F301="ІІ - ри чужд език", F301="ИТ/ДБТ"),"+","-")</f>
        <v>+</v>
      </c>
      <c r="H301" s="12" t="str">
        <f>VLOOKUP('Програма-кодове'!AC33,Списък!$A$1:$C$209,3,FALSE)</f>
        <v>немски език</v>
      </c>
      <c r="I301" s="87" t="str">
        <f>IF(OR(H301="математика",H301="информатика",H301="английски език",H301="немски език",H301="руски език",H301="бълг. език",H301="ІІ - ри чужд език", H301="ИТ/ДБТ"),"+","-")</f>
        <v>+</v>
      </c>
      <c r="J301" s="12" t="str">
        <f>VLOOKUP('Програма-кодове'!AD33,Списък!$A$1:$C$209,3,FALSE)</f>
        <v>история</v>
      </c>
      <c r="K301" s="87" t="str">
        <f>IF(OR(J301="математика",J301="информатика",J301="английски език",J301="немски език",J301="руски език",J301="бълг. език",J301="ІІ - ри чужд език", J301="ИТ/ДБТ"),"+","-")</f>
        <v>-</v>
      </c>
      <c r="L301" s="46"/>
      <c r="M301" s="46"/>
    </row>
    <row r="302" spans="1:41" ht="12" customHeight="1">
      <c r="A302" s="13">
        <v>5</v>
      </c>
      <c r="B302" s="12" t="str">
        <f>VLOOKUP('Програма-кодове'!Z34,Списък!$A$1:$C$209,3,FALSE)</f>
        <v>ІІ - ри чужд език</v>
      </c>
      <c r="C302" s="87" t="str">
        <f>IF(OR(B302="физкултура",B302="музика",B302="рисуване",B302="ИТ/ДБТ",B302="домашен бит и техника"),"+","-")</f>
        <v>-</v>
      </c>
      <c r="D302" s="12" t="str">
        <f>VLOOKUP('Програма-кодове'!AA34,Списък!$A$1:$C$209,3,FALSE)</f>
        <v>математика</v>
      </c>
      <c r="E302" s="87" t="str">
        <f>IF(OR(D302="физкултура",D302="музика",D302="рисуване",D302="ИТ/ДБТ",D302="домашен бит и техника"),"+","-")</f>
        <v>-</v>
      </c>
      <c r="F302" s="12" t="str">
        <f>VLOOKUP('Програма-кодове'!AB34,Списък!$A$1:$C$209,3,FALSE)</f>
        <v>история</v>
      </c>
      <c r="G302" s="87" t="str">
        <f>IF(OR(F302="физкултура",F302="музика",F302="рисуване",F302="ИТ/ДБТ",F302="домашен бит и техника"),"+","-")</f>
        <v>-</v>
      </c>
      <c r="H302" s="12" t="str">
        <f>VLOOKUP('Програма-кодове'!AC34,Списък!$A$1:$C$209,3,FALSE)</f>
        <v>английски език</v>
      </c>
      <c r="I302" s="87" t="str">
        <f>IF(OR(H302="физкултура",H302="музика",H302="рисуване",H302="ИТ/ДБТ",H302="домашен бит и техника"),"+","-")</f>
        <v>-</v>
      </c>
      <c r="J302" s="12" t="str">
        <f>VLOOKUP('Програма-кодове'!AD34,Списък!$A$1:$C$209,3,FALSE)</f>
        <v>ІІ - ри чужд език</v>
      </c>
      <c r="K302" s="87" t="str">
        <f>IF(OR(J302="физкултура",J302="музика",J302="рисуване",J302="ИТ/ДБТ",J302="домашен бит и техника"),"+","-")</f>
        <v>-</v>
      </c>
      <c r="L302" s="46"/>
      <c r="M302" s="46"/>
    </row>
    <row r="303" spans="1:41" ht="12" customHeight="1">
      <c r="A303" s="13">
        <v>6</v>
      </c>
      <c r="B303" s="12" t="str">
        <f>VLOOKUP('Програма-кодове'!Z35,Списък!$A$1:$C$209,3,FALSE)</f>
        <v>ІІ - ри чужд език</v>
      </c>
      <c r="C303" s="87" t="str">
        <f>IF(OR(B303="история",B303="свят и личност",B303= "география",B303="химия",B303="биология",B303="физика",B303="философия"),"+","-")</f>
        <v>-</v>
      </c>
      <c r="D303" s="12" t="str">
        <f>VLOOKUP('Програма-кодове'!AA35,Списък!$A$1:$C$209,3,FALSE)</f>
        <v>математика</v>
      </c>
      <c r="E303" s="87" t="str">
        <f>IF(OR(D303="история",D303="свят и личност",D303= "география",D303="химия",D303="биология",D303="физика",D303="философия"),"+","-")</f>
        <v>-</v>
      </c>
      <c r="F303" s="12" t="str">
        <f>VLOOKUP('Програма-кодове'!AB35,Списък!$A$1:$C$209,3,FALSE)</f>
        <v>английски език</v>
      </c>
      <c r="G303" s="87" t="str">
        <f>IF(OR(F303="история",F303="свят и личност",F303= "география",F303="химия",F303="биология",F303="физика",F303="философия"),"+","-")</f>
        <v>-</v>
      </c>
      <c r="H303" s="12" t="str">
        <f>VLOOKUP('Програма-кодове'!AC35,Списък!$A$1:$C$209,3,FALSE)</f>
        <v>физкултура</v>
      </c>
      <c r="I303" s="87" t="str">
        <f>IF(OR(H303="история",H303="свят и личност",H303= "география",H303="химия",H303="биология",H303="физика",H303="философия"),"+","-")</f>
        <v>-</v>
      </c>
      <c r="J303" s="12" t="str">
        <f>VLOOKUP('Програма-кодове'!AD35,Списък!$A$1:$C$209,3,FALSE)</f>
        <v>ІІ - ри чужд език</v>
      </c>
      <c r="K303" s="87" t="str">
        <f>IF(OR(J303="история",J303="свят и личност",J303= "география",J303="химия",J303="биология",J303="физика",J303="философия"),"+","-")</f>
        <v>-</v>
      </c>
      <c r="L303" s="46"/>
      <c r="M303" s="46"/>
    </row>
    <row r="304" spans="1:41" ht="12" customHeight="1">
      <c r="A304" s="13">
        <v>7</v>
      </c>
      <c r="B304" s="12">
        <f>VLOOKUP('Програма-кодове'!Z36,Списък!$A$1:$C$209,3,FALSE)</f>
        <v>0</v>
      </c>
      <c r="C304" s="87"/>
      <c r="D304" s="12">
        <f>VLOOKUP('Програма-кодове'!AA36,Списък!$A$1:$C$209,3,FALSE)</f>
        <v>0</v>
      </c>
      <c r="E304" s="87"/>
      <c r="F304" s="21">
        <f>VLOOKUP('Програма-кодове'!AB36,Списък!$A$1:$C$209,3,FALSE)</f>
        <v>0</v>
      </c>
      <c r="G304" s="87"/>
      <c r="H304" s="12">
        <f>VLOOKUP('Програма-кодове'!AC36,Списък!$A$1:$C$209,3,FALSE)</f>
        <v>0</v>
      </c>
      <c r="I304" s="87"/>
      <c r="J304" s="12">
        <f>VLOOKUP('Програма-кодове'!AD36,Списък!$A$1:$C$209,3,FALSE)</f>
        <v>0</v>
      </c>
      <c r="K304" s="87"/>
      <c r="L304" s="46"/>
      <c r="M304" s="46"/>
    </row>
    <row r="305" spans="1:14" ht="12" customHeight="1">
      <c r="C305" s="88">
        <f>COUNTIF(C298:C303,"+")/6</f>
        <v>0.33333333333333331</v>
      </c>
      <c r="E305" s="88">
        <f>COUNTIF(E298:E303,"+")/6</f>
        <v>0.5</v>
      </c>
      <c r="G305" s="88">
        <f>COUNTIF(G298:G303,"+")/6</f>
        <v>0.5</v>
      </c>
      <c r="I305" s="88">
        <f>COUNTIF(I298:I303,"+")/6</f>
        <v>0.5</v>
      </c>
      <c r="K305" s="88">
        <f>COUNTIF(K298:K303,"+")/6</f>
        <v>0.5</v>
      </c>
      <c r="L305" s="46" t="s">
        <v>95</v>
      </c>
      <c r="M305" s="47">
        <f>(C305+E305+G305+I305+K305)/5</f>
        <v>0.46666666666666662</v>
      </c>
    </row>
    <row r="306" spans="1:14">
      <c r="A306" s="394" t="s">
        <v>100</v>
      </c>
      <c r="B306" s="394"/>
      <c r="C306" s="394"/>
      <c r="D306" s="394"/>
      <c r="E306" s="394"/>
      <c r="F306" s="394"/>
      <c r="G306" s="394"/>
      <c r="H306" s="394"/>
      <c r="I306" s="394"/>
      <c r="J306" s="394"/>
      <c r="K306" s="394"/>
      <c r="L306" s="394"/>
      <c r="M306" s="57">
        <f>AVERAGE(A255:K255,A265:K265,A275:K275,A285:K285,A295:K295,A305:K305)</f>
        <v>0.41411564625850339</v>
      </c>
      <c r="N306" s="62"/>
    </row>
    <row r="307" spans="1:14">
      <c r="J307" s="396" t="s">
        <v>102</v>
      </c>
      <c r="K307" s="396"/>
      <c r="L307" s="396"/>
      <c r="M307" s="56" t="e">
        <f>AVERAGE(M61,M122,M183,M244,M306)</f>
        <v>#REF!</v>
      </c>
      <c r="N307" s="56"/>
    </row>
    <row r="308" spans="1:14">
      <c r="J308" s="49"/>
      <c r="K308" s="49"/>
      <c r="L308" s="49"/>
      <c r="M308" s="48"/>
    </row>
    <row r="309" spans="1:14">
      <c r="B309" s="395" t="s">
        <v>108</v>
      </c>
      <c r="C309" s="395"/>
      <c r="D309" s="395"/>
      <c r="E309" s="395"/>
      <c r="F309" s="395"/>
      <c r="G309" s="395"/>
      <c r="H309" s="395"/>
      <c r="I309" s="395"/>
      <c r="J309" s="395"/>
      <c r="K309" s="395"/>
      <c r="L309" s="49"/>
      <c r="M309" s="48"/>
    </row>
    <row r="310" spans="1:14">
      <c r="B310" s="46"/>
      <c r="C310" s="55" t="s">
        <v>103</v>
      </c>
      <c r="D310" s="55"/>
      <c r="E310" s="55" t="s">
        <v>104</v>
      </c>
      <c r="F310" s="55"/>
      <c r="G310" s="55" t="s">
        <v>105</v>
      </c>
      <c r="H310" s="55"/>
      <c r="I310" s="55" t="s">
        <v>106</v>
      </c>
      <c r="J310" s="54"/>
      <c r="K310" s="54" t="s">
        <v>107</v>
      </c>
      <c r="L310" s="49"/>
      <c r="M310" s="48"/>
    </row>
    <row r="311" spans="1:14">
      <c r="B311" s="53" t="s">
        <v>157</v>
      </c>
      <c r="C311" s="89">
        <f>(M10+M71+M132+M193+M255)/5</f>
        <v>0.36666666666666659</v>
      </c>
      <c r="D311" s="45"/>
      <c r="E311" s="50">
        <f>AVERAGE(E10,E71,E132,E193,E255)</f>
        <v>0.23333333333333331</v>
      </c>
      <c r="F311" s="45"/>
      <c r="G311" s="50">
        <f>AVERAGE(G10,G71,G132,G193,G255)</f>
        <v>0.49999999999999989</v>
      </c>
      <c r="H311" s="45"/>
      <c r="I311" s="45"/>
      <c r="J311" s="43"/>
      <c r="K311" s="43"/>
      <c r="L311" s="49"/>
      <c r="M311" s="48"/>
    </row>
    <row r="312" spans="1:14">
      <c r="A312" s="52"/>
      <c r="B312" s="53">
        <v>8</v>
      </c>
      <c r="C312" s="50">
        <f>AVERAGE(C10,C71,C132,C193,C255)</f>
        <v>0.36666666666666664</v>
      </c>
      <c r="D312" s="51"/>
      <c r="E312" s="50">
        <f>AVERAGE(E20,E81,E142,E203,E265)</f>
        <v>0.48571428571428577</v>
      </c>
      <c r="F312" s="51"/>
      <c r="G312" s="50">
        <f>AVERAGE(G20,G81,G142,G203,G265)</f>
        <v>0.60476190476190461</v>
      </c>
      <c r="H312" s="51"/>
      <c r="I312" s="50">
        <f>AVERAGE(I20,I81,I142,I203,I265)</f>
        <v>0.51428571428571435</v>
      </c>
      <c r="J312" s="51"/>
      <c r="K312" s="50">
        <f>AVERAGE(K20,K81,K142,K203,K265)</f>
        <v>0.48571428571428565</v>
      </c>
    </row>
    <row r="313" spans="1:14">
      <c r="A313" s="52"/>
      <c r="B313" s="53">
        <v>9</v>
      </c>
      <c r="C313" s="50">
        <f>AVERAGE(C30,C91,C152,C213,C275)</f>
        <v>0.42380952380952375</v>
      </c>
      <c r="D313" s="51"/>
      <c r="E313" s="50">
        <f>AVERAGE(E30,E91,E152,E213,E275)</f>
        <v>0.3571428571428571</v>
      </c>
      <c r="G313" s="50">
        <f>AVERAGE(G30,G91,G152,G213,G275)</f>
        <v>0.45714285714285713</v>
      </c>
      <c r="I313" s="50">
        <f>AVERAGE(I30,I91,I152,I213,I275)</f>
        <v>0.29047619047619044</v>
      </c>
      <c r="K313" s="50">
        <f>AVERAGE(K30,K91,K152,K213,K275)</f>
        <v>0.31428571428571428</v>
      </c>
    </row>
    <row r="314" spans="1:14">
      <c r="A314" s="52"/>
      <c r="B314" s="53">
        <v>10</v>
      </c>
      <c r="C314" s="50">
        <f>AVERAGE(C40,C101,C162,C223,C285)</f>
        <v>0.5</v>
      </c>
      <c r="D314" s="51"/>
      <c r="E314" s="50">
        <f>AVERAGE(E40,E101,E162,E223,E285)</f>
        <v>0.51428571428571423</v>
      </c>
      <c r="G314" s="50">
        <f>AVERAGE(G40,G101,G162,G223,G285)</f>
        <v>0.4904761904761904</v>
      </c>
      <c r="I314" s="50">
        <f>AVERAGE(I40,I101,I162,I223,I285)</f>
        <v>0.48571428571428565</v>
      </c>
      <c r="K314" s="50">
        <f>AVERAGE(K40,K101,K162,K223,K285)</f>
        <v>0.54285714285714293</v>
      </c>
    </row>
    <row r="315" spans="1:14">
      <c r="A315" s="52"/>
      <c r="B315" s="53">
        <v>11</v>
      </c>
      <c r="C315" s="50">
        <f>AVERAGE(C50,C111,C172,C233,C295)</f>
        <v>0.38571428571428568</v>
      </c>
      <c r="D315" s="51"/>
      <c r="E315" s="50">
        <f>AVERAGE(E50,E111,E172,E233,E295)</f>
        <v>0.47619047619047616</v>
      </c>
      <c r="G315" s="50">
        <f>AVERAGE(G50,G111,G172,G233,G295)</f>
        <v>0.44761904761904753</v>
      </c>
      <c r="I315" s="50">
        <f>AVERAGE(I50,I111,I172,I233,I295)</f>
        <v>0.43333333333333329</v>
      </c>
      <c r="K315" s="50">
        <f>AVERAGE(K50,K111,K172,K233,K295)</f>
        <v>0.39047619047619048</v>
      </c>
    </row>
    <row r="316" spans="1:14">
      <c r="A316" s="52"/>
      <c r="B316" s="53">
        <v>12</v>
      </c>
      <c r="C316" s="50">
        <f>AVERAGE(C60,C121,C182,C243,C305)</f>
        <v>0.5714285714285714</v>
      </c>
      <c r="D316" s="51"/>
      <c r="E316" s="50">
        <f>AVERAGE(E60,E121,E182,E243,E305)</f>
        <v>0.57619047619047614</v>
      </c>
      <c r="G316" s="50">
        <f>AVERAGE(G60,G121,G182,G243,G305)</f>
        <v>0.51428571428571423</v>
      </c>
      <c r="I316" s="50">
        <f>AVERAGE(I60,I121,I182,I243,I305)</f>
        <v>0.5714285714285714</v>
      </c>
      <c r="K316" s="50">
        <f>AVERAGE(K60,K121,K182,K243,K305)</f>
        <v>0.4904761904761904</v>
      </c>
    </row>
    <row r="317" spans="1:14">
      <c r="K317" s="50"/>
    </row>
    <row r="318" spans="1:14">
      <c r="B318" s="12" t="s">
        <v>184</v>
      </c>
    </row>
    <row r="319" spans="1:14">
      <c r="B319" s="12" t="s">
        <v>168</v>
      </c>
    </row>
    <row r="320" spans="1:14">
      <c r="B320" s="12" t="s">
        <v>180</v>
      </c>
    </row>
    <row r="321" spans="2:2">
      <c r="B321" s="12" t="s">
        <v>181</v>
      </c>
    </row>
    <row r="322" spans="2:2">
      <c r="B322" s="12" t="s">
        <v>182</v>
      </c>
    </row>
    <row r="323" spans="2:2">
      <c r="B323" s="12" t="s">
        <v>183</v>
      </c>
    </row>
    <row r="324" spans="2:2">
      <c r="B324" s="12" t="s">
        <v>185</v>
      </c>
    </row>
    <row r="326" spans="2:2">
      <c r="B326" s="12" t="s">
        <v>199</v>
      </c>
    </row>
  </sheetData>
  <mergeCells count="12">
    <mergeCell ref="A246:M246"/>
    <mergeCell ref="A244:L244"/>
    <mergeCell ref="B309:K309"/>
    <mergeCell ref="J307:L307"/>
    <mergeCell ref="A306:L306"/>
    <mergeCell ref="A1:M1"/>
    <mergeCell ref="A123:M123"/>
    <mergeCell ref="A184:M184"/>
    <mergeCell ref="A122:L122"/>
    <mergeCell ref="A183:L183"/>
    <mergeCell ref="A62:M62"/>
    <mergeCell ref="A61:L61"/>
  </mergeCells>
  <phoneticPr fontId="0" type="noConversion"/>
  <printOptions horizontalCentered="1"/>
  <pageMargins left="0.19685039370078741" right="0.19685039370078741" top="0.19685039370078741" bottom="0.19685039370078741" header="0.51181102362204722" footer="0.51181102362204722"/>
  <pageSetup paperSize="9" scale="80" orientation="landscape" r:id="rId1"/>
  <headerFooter alignWithMargins="0"/>
  <rowBreaks count="4" manualBreakCount="4">
    <brk id="61" max="16383" man="1"/>
    <brk id="122" max="16383" man="1"/>
    <brk id="183" max="16383" man="1"/>
    <brk id="245" max="16383" man="1"/>
  </rowBreaks>
  <ignoredErrors>
    <ignoredError sqref="F298:F304 F3:F8 F64:F71 F125:F130 F186:F191 F248:F253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93"/>
  <sheetViews>
    <sheetView tabSelected="1" topLeftCell="A70" workbookViewId="0">
      <selection activeCell="G89" sqref="G89"/>
    </sheetView>
  </sheetViews>
  <sheetFormatPr defaultColWidth="9.140625" defaultRowHeight="12.75"/>
  <cols>
    <col min="1" max="1" width="2.28515625" style="21" customWidth="1"/>
    <col min="2" max="2" width="2.5703125" style="43" customWidth="1"/>
    <col min="3" max="7" width="18.7109375" style="21" customWidth="1"/>
    <col min="8" max="16384" width="9.140625" style="21"/>
  </cols>
  <sheetData>
    <row r="1" spans="1:7" ht="44.25" customHeight="1"/>
    <row r="2" spans="1:7" ht="34.5">
      <c r="A2" s="401" t="s">
        <v>189</v>
      </c>
      <c r="B2" s="401"/>
      <c r="C2" s="401"/>
      <c r="D2" s="401"/>
      <c r="E2" s="401"/>
      <c r="F2" s="401"/>
      <c r="G2" s="401"/>
    </row>
    <row r="3" spans="1:7" ht="39" customHeight="1">
      <c r="A3" s="398" t="s">
        <v>190</v>
      </c>
      <c r="B3" s="398"/>
      <c r="C3" s="398"/>
      <c r="D3" s="398"/>
      <c r="E3" s="398"/>
      <c r="F3" s="398"/>
      <c r="G3" s="398"/>
    </row>
    <row r="4" spans="1:7" ht="51.75" customHeight="1">
      <c r="A4" s="118"/>
      <c r="B4" s="118"/>
      <c r="C4" s="118"/>
      <c r="D4" s="118"/>
      <c r="E4" s="118"/>
      <c r="F4" s="118"/>
      <c r="G4" s="118"/>
    </row>
    <row r="5" spans="1:7" ht="21.75" customHeight="1">
      <c r="A5" s="118"/>
      <c r="B5" s="118"/>
      <c r="C5" s="118"/>
      <c r="D5" s="118"/>
      <c r="E5" s="119" t="s">
        <v>198</v>
      </c>
      <c r="F5" s="119"/>
      <c r="G5" s="119"/>
    </row>
    <row r="6" spans="1:7" ht="21.75" customHeight="1">
      <c r="A6" s="118"/>
      <c r="B6" s="118"/>
      <c r="C6" s="118"/>
      <c r="E6" s="119" t="s">
        <v>194</v>
      </c>
      <c r="G6" s="118"/>
    </row>
    <row r="7" spans="1:7" ht="21.75" customHeight="1">
      <c r="A7" s="118"/>
      <c r="B7" s="118"/>
      <c r="C7" s="118"/>
      <c r="E7" s="119" t="s">
        <v>195</v>
      </c>
      <c r="G7" s="118"/>
    </row>
    <row r="8" spans="1:7" ht="21.75" customHeight="1">
      <c r="A8" s="118"/>
      <c r="B8" s="118"/>
      <c r="C8" s="118"/>
      <c r="E8" s="119" t="s">
        <v>196</v>
      </c>
      <c r="G8" s="118"/>
    </row>
    <row r="9" spans="1:7" ht="21.75" customHeight="1">
      <c r="A9" s="118"/>
      <c r="B9" s="118"/>
      <c r="C9" s="118"/>
      <c r="E9" s="119" t="s">
        <v>197</v>
      </c>
      <c r="G9" s="118"/>
    </row>
    <row r="10" spans="1:7" ht="60" customHeight="1">
      <c r="A10" s="118"/>
      <c r="B10" s="118"/>
      <c r="C10" s="118"/>
      <c r="D10" s="118"/>
      <c r="E10" s="118"/>
      <c r="F10" s="118"/>
      <c r="G10" s="118"/>
    </row>
    <row r="11" spans="1:7" ht="105.75" customHeight="1">
      <c r="A11" s="399" t="s">
        <v>191</v>
      </c>
      <c r="B11" s="400"/>
      <c r="C11" s="400"/>
      <c r="D11" s="400"/>
      <c r="E11" s="400"/>
      <c r="F11" s="400"/>
      <c r="G11" s="400"/>
    </row>
    <row r="12" spans="1:7" ht="88.5" customHeight="1"/>
    <row r="13" spans="1:7" ht="34.5" customHeight="1">
      <c r="A13" s="402" t="s">
        <v>193</v>
      </c>
      <c r="B13" s="402"/>
      <c r="C13" s="402"/>
      <c r="D13" s="402"/>
      <c r="E13" s="402"/>
      <c r="F13" s="402"/>
      <c r="G13" s="402"/>
    </row>
    <row r="14" spans="1:7" ht="51.75" customHeight="1">
      <c r="A14" s="401" t="s">
        <v>380</v>
      </c>
      <c r="B14" s="401"/>
      <c r="C14" s="401"/>
      <c r="D14" s="401"/>
      <c r="E14" s="401"/>
      <c r="F14" s="401"/>
      <c r="G14" s="401"/>
    </row>
    <row r="15" spans="1:7" ht="84.75" customHeight="1"/>
    <row r="16" spans="1:7" ht="27.75" customHeight="1">
      <c r="F16" s="120" t="s">
        <v>192</v>
      </c>
      <c r="G16" s="121"/>
    </row>
    <row r="17" spans="1:7" ht="27.75">
      <c r="E17" s="122"/>
      <c r="F17" s="123"/>
      <c r="G17" s="120" t="s">
        <v>381</v>
      </c>
    </row>
    <row r="18" spans="1:7" ht="13.5" thickBot="1"/>
    <row r="19" spans="1:7" ht="13.5" thickTop="1">
      <c r="A19" s="114"/>
      <c r="B19" s="115"/>
      <c r="C19" s="116" t="s">
        <v>24</v>
      </c>
      <c r="D19" s="116" t="s">
        <v>25</v>
      </c>
      <c r="E19" s="116" t="s">
        <v>26</v>
      </c>
      <c r="F19" s="116" t="s">
        <v>130</v>
      </c>
      <c r="G19" s="116" t="s">
        <v>28</v>
      </c>
    </row>
    <row r="20" spans="1:7" ht="12.75" customHeight="1">
      <c r="A20" s="397" t="s">
        <v>129</v>
      </c>
      <c r="B20" s="43">
        <v>1</v>
      </c>
      <c r="C20" s="21" t="str">
        <f>VLOOKUP('Програма-кодове'!C2,Списък!$A$1:$C$210,3,FALSE)</f>
        <v>физика</v>
      </c>
      <c r="D20" s="21" t="str">
        <f>VLOOKUP('Програма-кодове'!C9,Списък!$A$1:$C$210,3,FALSE)</f>
        <v>английски език</v>
      </c>
      <c r="E20" s="21" t="str">
        <f>VLOOKUP('Програма-кодове'!C16,Списък!$A$1:$C$210,3,FALSE)</f>
        <v>музика</v>
      </c>
      <c r="F20" s="21" t="str">
        <f>VLOOKUP('Програма-кодове'!C23,Списък!$A$1:$C$209,3,FALSE)</f>
        <v>физика</v>
      </c>
      <c r="G20" s="21" t="str">
        <f>VLOOKUP('Програма-кодове'!C30,Списък!$A$1:$C$209,3,FALSE)</f>
        <v>английски език</v>
      </c>
    </row>
    <row r="21" spans="1:7">
      <c r="A21" s="397"/>
      <c r="B21" s="43">
        <v>2</v>
      </c>
      <c r="C21" s="21" t="str">
        <f>VLOOKUP('Програма-кодове'!C3,Списък!$A$1:$C$210,3,FALSE)</f>
        <v>английски език</v>
      </c>
      <c r="D21" s="21" t="str">
        <f>VLOOKUP('Програма-кодове'!C10,Списък!$A$1:$C$210,3,FALSE)</f>
        <v>бълг. език</v>
      </c>
      <c r="E21" s="21" t="str">
        <f>VLOOKUP('Програма-кодове'!C17,Списък!$A$1:$C$210,3,FALSE)</f>
        <v>математика</v>
      </c>
      <c r="F21" s="21" t="str">
        <f>VLOOKUP('Програма-кодове'!C24,Списък!$A$1:$C$209,3,FALSE)</f>
        <v>бълг. език</v>
      </c>
      <c r="G21" s="21" t="str">
        <f>VLOOKUP('Програма-кодове'!C31,Списък!$A$1:$C$209,3,FALSE)</f>
        <v>история</v>
      </c>
    </row>
    <row r="22" spans="1:7">
      <c r="A22" s="397"/>
      <c r="B22" s="43">
        <v>3</v>
      </c>
      <c r="C22" s="21" t="str">
        <f>VLOOKUP('Програма-кодове'!C4,Списък!$A$1:$C$210,3,FALSE)</f>
        <v>рисуване</v>
      </c>
      <c r="D22" s="21" t="str">
        <f>VLOOKUP('Програма-кодове'!C11,Списък!$A$1:$C$210,3,FALSE)</f>
        <v>математика</v>
      </c>
      <c r="E22" s="21" t="str">
        <f>VLOOKUP('Програма-кодове'!C18,Списък!$A$1:$C$210,3,FALSE)</f>
        <v>английски език</v>
      </c>
      <c r="F22" s="21" t="str">
        <f>VLOOKUP('Програма-кодове'!C25,Списък!$A$1:$C$209,3,FALSE)</f>
        <v>физкултура</v>
      </c>
      <c r="G22" s="21" t="str">
        <f>VLOOKUP('Програма-кодове'!C32,Списък!$A$1:$C$209,3,FALSE)</f>
        <v>физкултура</v>
      </c>
    </row>
    <row r="23" spans="1:7">
      <c r="A23" s="397"/>
      <c r="B23" s="43">
        <v>4</v>
      </c>
      <c r="C23" s="21" t="str">
        <f>VLOOKUP('Програма-кодове'!C5,Списък!$A$1:$C$210,3,FALSE)</f>
        <v>ИТ/ТП</v>
      </c>
      <c r="D23" s="21" t="str">
        <f>VLOOKUP('Програма-кодове'!C12,Списък!$A$1:$C$210,3,FALSE)</f>
        <v>музика</v>
      </c>
      <c r="E23" s="21" t="str">
        <f>VLOOKUP('Програма-кодове'!C19,Списък!$A$1:$C$210,3,FALSE)</f>
        <v>география</v>
      </c>
      <c r="F23" s="21" t="str">
        <f>VLOOKUP('Програма-кодове'!C26,Списък!$A$1:$C$209,3,FALSE)</f>
        <v>математика</v>
      </c>
      <c r="G23" s="21" t="str">
        <f>VLOOKUP('Програма-кодове'!C33,Списък!$A$1:$C$209,3,FALSE)</f>
        <v>бълг. език</v>
      </c>
    </row>
    <row r="24" spans="1:7">
      <c r="A24" s="397"/>
      <c r="B24" s="43">
        <v>5</v>
      </c>
      <c r="C24" s="21" t="str">
        <f>VLOOKUP('Програма-кодове'!C6,Списък!$A$1:$C$210,3,FALSE)</f>
        <v>математика</v>
      </c>
      <c r="D24" s="21" t="str">
        <f>VLOOKUP('Програма-кодове'!C13,Списък!$A$1:$C$210,3,FALSE)</f>
        <v>география</v>
      </c>
      <c r="E24" s="21" t="str">
        <f>VLOOKUP('Програма-кодове'!C20,Списък!$A$1:$C$210,3,FALSE)</f>
        <v>физкултура</v>
      </c>
      <c r="F24" s="21" t="str">
        <f>VLOOKUP('Програма-кодове'!C27,Списък!$A$1:$C$209,3,FALSE)</f>
        <v>история</v>
      </c>
      <c r="G24" s="21" t="str">
        <f>VLOOKUP('Програма-кодове'!C34,Списък!$A$1:$C$209,3,FALSE)</f>
        <v>бълг. език</v>
      </c>
    </row>
    <row r="25" spans="1:7">
      <c r="A25" s="397"/>
      <c r="B25" s="43">
        <v>6</v>
      </c>
      <c r="C25" s="21" t="str">
        <f>VLOOKUP('Програма-кодове'!C7,Списък!$A$1:$C$210,3,FALSE)</f>
        <v>ИТ/ТП</v>
      </c>
      <c r="D25" s="21" t="str">
        <f>VLOOKUP('Програма-кодове'!C14,Списък!$A$1:$C$210,3,FALSE)</f>
        <v>рисуване</v>
      </c>
      <c r="E25" s="21" t="str">
        <f>VLOOKUP('Програма-кодове'!C21,Списък!$A$1:$C$210,3,FALSE)</f>
        <v>бълг. език</v>
      </c>
      <c r="F25" s="21" t="str">
        <f>VLOOKUP('Програма-кодове'!C28,Списък!$A$1:$C$209,3,FALSE)</f>
        <v>информатика</v>
      </c>
      <c r="G25" s="21" t="str">
        <f>VLOOKUP('Програма-кодове'!C35,Списък!$A$1:$C$209,3,FALSE)</f>
        <v>математика</v>
      </c>
    </row>
    <row r="26" spans="1:7">
      <c r="A26" s="397"/>
      <c r="B26" s="43">
        <v>7</v>
      </c>
      <c r="E26" s="21" t="s">
        <v>59</v>
      </c>
    </row>
    <row r="27" spans="1:7" ht="13.5" thickBot="1">
      <c r="A27" s="397"/>
    </row>
    <row r="28" spans="1:7" ht="12.75" customHeight="1" thickTop="1">
      <c r="A28" s="114"/>
      <c r="B28" s="115"/>
      <c r="C28" s="116" t="s">
        <v>24</v>
      </c>
      <c r="D28" s="116" t="s">
        <v>25</v>
      </c>
      <c r="E28" s="116" t="s">
        <v>26</v>
      </c>
      <c r="F28" s="116" t="s">
        <v>130</v>
      </c>
      <c r="G28" s="116" t="s">
        <v>28</v>
      </c>
    </row>
    <row r="29" spans="1:7" ht="12.75" customHeight="1">
      <c r="A29" s="397" t="s">
        <v>131</v>
      </c>
      <c r="B29" s="43">
        <v>1</v>
      </c>
      <c r="C29" s="21" t="str">
        <f>VLOOKUP('Програма-кодове'!D2,Списък!$A$1:$C$210,3,FALSE)</f>
        <v>бълг. език</v>
      </c>
      <c r="D29" s="21" t="str">
        <f>VLOOKUP('Програма-кодове'!D9,Списък!$A$1:$C$210,3,FALSE)</f>
        <v>английски език</v>
      </c>
      <c r="E29" s="21" t="str">
        <f>VLOOKUP('Програма-кодове'!D16,Списък!$A$1:$C$210,3,FALSE)</f>
        <v>математика</v>
      </c>
      <c r="F29" s="21" t="str">
        <f>VLOOKUP('Програма-кодове'!D23,Списък!$A$1:$C$209,3,FALSE)</f>
        <v>математика</v>
      </c>
      <c r="G29" s="21" t="str">
        <f>VLOOKUP('Програма-кодове'!D30,Списък!$A$1:$C$209,3,FALSE)</f>
        <v>математика</v>
      </c>
    </row>
    <row r="30" spans="1:7" ht="12.75" customHeight="1">
      <c r="A30" s="397"/>
      <c r="B30" s="43">
        <v>2</v>
      </c>
      <c r="C30" s="21" t="str">
        <f>VLOOKUP('Програма-кодове'!D3,Списък!$A$1:$C$210,3,FALSE)</f>
        <v>физика</v>
      </c>
      <c r="D30" s="21" t="str">
        <f>VLOOKUP('Програма-кодове'!D10,Списък!$A$1:$C$210,3,FALSE)</f>
        <v>физкултура</v>
      </c>
      <c r="E30" s="21" t="str">
        <f>VLOOKUP('Програма-кодове'!D17,Списък!$A$1:$C$210,3,FALSE)</f>
        <v>ИТ/ТП</v>
      </c>
      <c r="F30" s="21" t="str">
        <f>VLOOKUP('Програма-кодове'!D24,Списък!$A$1:$C$209,3,FALSE)</f>
        <v>рисуване</v>
      </c>
      <c r="G30" s="21" t="str">
        <f>VLOOKUP('Програма-кодове'!D31,Списък!$A$1:$C$209,3,FALSE)</f>
        <v>музика</v>
      </c>
    </row>
    <row r="31" spans="1:7" ht="12.75" customHeight="1">
      <c r="A31" s="397"/>
      <c r="B31" s="43">
        <v>3</v>
      </c>
      <c r="C31" s="21" t="str">
        <f>VLOOKUP('Програма-кодове'!D4,Списък!$A$1:$C$210,3,FALSE)</f>
        <v>математика</v>
      </c>
      <c r="D31" s="21" t="str">
        <f>VLOOKUP('Програма-кодове'!D11,Списък!$A$1:$C$210,3,FALSE)</f>
        <v>математика</v>
      </c>
      <c r="E31" s="21" t="str">
        <f>VLOOKUP('Програма-кодове'!D18,Списък!$A$1:$C$210,3,FALSE)</f>
        <v>бълг. език</v>
      </c>
      <c r="F31" s="21" t="str">
        <f>VLOOKUP('Програма-кодове'!D25,Списък!$A$1:$C$209,3,FALSE)</f>
        <v>английски език</v>
      </c>
      <c r="G31" s="21" t="str">
        <f>VLOOKUP('Програма-кодове'!D32,Списък!$A$1:$C$209,3,FALSE)</f>
        <v>рисуване</v>
      </c>
    </row>
    <row r="32" spans="1:7" ht="12.75" customHeight="1">
      <c r="A32" s="397"/>
      <c r="B32" s="43">
        <v>4</v>
      </c>
      <c r="C32" s="21" t="str">
        <f>VLOOKUP('Програма-кодове'!D5,Списък!$A$1:$C$210,3,FALSE)</f>
        <v>ИТ</v>
      </c>
      <c r="D32" s="21" t="str">
        <f>VLOOKUP('Програма-кодове'!D12,Списък!$A$1:$C$210,3,FALSE)</f>
        <v>физика</v>
      </c>
      <c r="E32" s="21" t="str">
        <f>VLOOKUP('Програма-кодове'!D19,Списък!$A$1:$C$210,3,FALSE)</f>
        <v>ИТ/ТП</v>
      </c>
      <c r="F32" s="21" t="str">
        <f>VLOOKUP('Програма-кодове'!D26,Списък!$A$1:$C$209,3,FALSE)</f>
        <v>география</v>
      </c>
      <c r="G32" s="21" t="str">
        <f>VLOOKUP('Програма-кодове'!D33,Списък!$A$1:$C$209,3,FALSE)</f>
        <v>история</v>
      </c>
    </row>
    <row r="33" spans="1:7" ht="12.75" customHeight="1">
      <c r="A33" s="397"/>
      <c r="B33" s="43">
        <v>5</v>
      </c>
      <c r="C33" s="21" t="str">
        <f>VLOOKUP('Програма-кодове'!D6,Списък!$A$1:$C$210,3,FALSE)</f>
        <v>физкултура</v>
      </c>
      <c r="D33" s="21" t="str">
        <f>VLOOKUP('Програма-кодове'!D13,Списък!$A$1:$C$210,3,FALSE)</f>
        <v>музика</v>
      </c>
      <c r="E33" s="21" t="str">
        <f>VLOOKUP('Програма-кодове'!D20,Списък!$A$1:$C$210,3,FALSE)</f>
        <v>физика</v>
      </c>
      <c r="F33" s="21" t="str">
        <f>VLOOKUP('Програма-кодове'!D27,Списък!$A$1:$C$209,3,FALSE)</f>
        <v>бълг. език</v>
      </c>
      <c r="G33" s="21" t="str">
        <f>VLOOKUP('Програма-кодове'!D34,Списък!$A$1:$C$209,3,FALSE)</f>
        <v>английски език</v>
      </c>
    </row>
    <row r="34" spans="1:7" ht="12.75" customHeight="1">
      <c r="A34" s="397"/>
      <c r="B34" s="43">
        <v>6</v>
      </c>
      <c r="C34" s="21" t="str">
        <f>VLOOKUP('Програма-кодове'!D7,Списък!$A$1:$C$210,3,FALSE)</f>
        <v>история</v>
      </c>
      <c r="D34" s="21" t="str">
        <f>VLOOKUP('Програма-кодове'!D14,Списък!$A$1:$C$210,3,FALSE)</f>
        <v>бълг. език</v>
      </c>
      <c r="E34" s="21" t="str">
        <f>VLOOKUP('Програма-кодове'!D21,Списък!$A$1:$C$210,3,FALSE)</f>
        <v>физкултура</v>
      </c>
      <c r="F34" s="21" t="str">
        <f>VLOOKUP('Програма-кодове'!D28,Списък!$A$1:$C$209,3,FALSE)</f>
        <v>бълг. език</v>
      </c>
      <c r="G34" s="21" t="str">
        <f>VLOOKUP('Програма-кодове'!D35,Списък!$A$1:$C$209,3,FALSE)</f>
        <v>английски език</v>
      </c>
    </row>
    <row r="35" spans="1:7" ht="12.75" customHeight="1">
      <c r="A35" s="397"/>
      <c r="B35" s="43">
        <v>7</v>
      </c>
      <c r="E35" s="21" t="s">
        <v>59</v>
      </c>
    </row>
    <row r="36" spans="1:7" ht="12.75" customHeight="1" thickBot="1">
      <c r="A36" s="124"/>
    </row>
    <row r="37" spans="1:7" ht="12.75" customHeight="1" thickTop="1">
      <c r="A37" s="114"/>
      <c r="B37" s="115"/>
      <c r="C37" s="116" t="s">
        <v>24</v>
      </c>
      <c r="D37" s="116" t="s">
        <v>25</v>
      </c>
      <c r="E37" s="116" t="s">
        <v>26</v>
      </c>
      <c r="F37" s="116" t="s">
        <v>130</v>
      </c>
      <c r="G37" s="116" t="s">
        <v>28</v>
      </c>
    </row>
    <row r="38" spans="1:7" ht="12.75" customHeight="1">
      <c r="A38" s="397" t="s">
        <v>158</v>
      </c>
      <c r="B38" s="43">
        <v>1</v>
      </c>
      <c r="C38" s="21" t="str">
        <f>VLOOKUP('Програма-кодове'!E2,Списък!$A$1:$C$210,3,FALSE)</f>
        <v>английски език</v>
      </c>
      <c r="D38" s="21" t="str">
        <f>VLOOKUP('Програма-кодове'!E9,Списък!$A$1:$C$210,3,FALSE)</f>
        <v>география</v>
      </c>
      <c r="E38" s="21" t="str">
        <f>VLOOKUP('Програма-кодове'!E16,Списък!$A$1:$C$210,3,FALSE)</f>
        <v>ИТ/ТП</v>
      </c>
      <c r="F38" s="21" t="str">
        <f>VLOOKUP('Програма-кодове'!E23,Списък!$A$1:$C$209,3,FALSE)</f>
        <v>рисуване</v>
      </c>
      <c r="G38" s="21" t="str">
        <f>VLOOKUP('Програма-кодове'!E30,Списък!$A$1:$C$209,3,FALSE)</f>
        <v>биология</v>
      </c>
    </row>
    <row r="39" spans="1:7" ht="12.75" customHeight="1">
      <c r="A39" s="397"/>
      <c r="B39" s="43">
        <v>2</v>
      </c>
      <c r="C39" s="21" t="str">
        <f>VLOOKUP('Програма-кодове'!E3,Списък!$A$1:$C$210,3,FALSE)</f>
        <v>физкултура</v>
      </c>
      <c r="D39" s="21" t="str">
        <f>VLOOKUP('Програма-кодове'!E10,Списък!$A$1:$C$210,3,FALSE)</f>
        <v>математика</v>
      </c>
      <c r="E39" s="21" t="str">
        <f>VLOOKUP('Програма-кодове'!E17,Списък!$A$1:$C$210,3,FALSE)</f>
        <v>математика</v>
      </c>
      <c r="F39" s="21" t="str">
        <f>VLOOKUP('Програма-кодове'!E24,Списък!$A$1:$C$209,3,FALSE)</f>
        <v>химия</v>
      </c>
      <c r="G39" s="21" t="str">
        <f>VLOOKUP('Програма-кодове'!E31,Списък!$A$1:$C$209,3,FALSE)</f>
        <v>рисуване</v>
      </c>
    </row>
    <row r="40" spans="1:7" ht="12.75" customHeight="1">
      <c r="A40" s="397"/>
      <c r="B40" s="43">
        <v>3</v>
      </c>
      <c r="C40" s="21" t="str">
        <f>VLOOKUP('Програма-кодове'!E4,Списък!$A$1:$C$210,3,FALSE)</f>
        <v>география</v>
      </c>
      <c r="D40" s="21" t="str">
        <f>VLOOKUP('Програма-кодове'!E11,Списък!$A$1:$C$210,3,FALSE)</f>
        <v>математика</v>
      </c>
      <c r="E40" s="21" t="str">
        <f>VLOOKUP('Програма-кодове'!E18,Списък!$A$1:$C$210,3,FALSE)</f>
        <v>ИТ/ТП</v>
      </c>
      <c r="F40" s="21" t="str">
        <f>VLOOKUP('Програма-кодове'!E25,Списък!$A$1:$C$209,3,FALSE)</f>
        <v>бълг. език</v>
      </c>
      <c r="G40" s="21" t="str">
        <f>VLOOKUP('Програма-кодове'!E32,Списък!$A$1:$C$209,3,FALSE)</f>
        <v>бълг. език</v>
      </c>
    </row>
    <row r="41" spans="1:7" ht="12.75" customHeight="1">
      <c r="A41" s="397"/>
      <c r="B41" s="43">
        <v>4</v>
      </c>
      <c r="C41" s="21" t="str">
        <f>VLOOKUP('Програма-кодове'!E5,Списък!$A$1:$C$210,3,FALSE)</f>
        <v>бълг. език</v>
      </c>
      <c r="D41" s="21" t="str">
        <f>VLOOKUP('Програма-кодове'!E12,Списък!$A$1:$C$210,3,FALSE)</f>
        <v>история</v>
      </c>
      <c r="E41" s="21" t="str">
        <f>VLOOKUP('Програма-кодове'!E19,Списък!$A$1:$C$210,3,FALSE)</f>
        <v>бълг. език</v>
      </c>
      <c r="F41" s="21" t="str">
        <f>VLOOKUP('Програма-кодове'!E26,Списък!$A$1:$C$209,3,FALSE)</f>
        <v>английски език</v>
      </c>
      <c r="G41" s="21" t="str">
        <f>VLOOKUP('Програма-кодове'!E33,Списък!$A$1:$C$209,3,FALSE)</f>
        <v>бълг. език</v>
      </c>
    </row>
    <row r="42" spans="1:7" ht="12.75" customHeight="1">
      <c r="A42" s="397"/>
      <c r="B42" s="43">
        <v>5</v>
      </c>
      <c r="C42" s="21" t="str">
        <f>VLOOKUP('Програма-кодове'!E6,Списък!$A$1:$C$210,3,FALSE)</f>
        <v>бълг. език</v>
      </c>
      <c r="D42" s="21" t="str">
        <f>VLOOKUP('Програма-кодове'!E13,Списък!$A$1:$C$210,3,FALSE)</f>
        <v>бълг. език</v>
      </c>
      <c r="E42" s="21" t="str">
        <f>VLOOKUP('Програма-кодове'!E20,Списък!$A$1:$C$210,3,FALSE)</f>
        <v>английски език</v>
      </c>
      <c r="F42" s="21" t="str">
        <f>VLOOKUP('Програма-кодове'!E27,Списък!$A$1:$C$209,3,FALSE)</f>
        <v>физкултура</v>
      </c>
      <c r="G42" s="21" t="str">
        <f>VLOOKUP('Програма-кодове'!E34,Списък!$A$1:$C$209,3,FALSE)</f>
        <v>математика</v>
      </c>
    </row>
    <row r="43" spans="1:7" ht="12.75" customHeight="1">
      <c r="A43" s="397"/>
      <c r="B43" s="43">
        <v>6</v>
      </c>
      <c r="C43" s="21" t="str">
        <f>VLOOKUP('Програма-кодове'!E7,Списък!$A$1:$C$210,3,FALSE)</f>
        <v>математика</v>
      </c>
      <c r="D43" s="21" t="str">
        <f>VLOOKUP('Програма-кодове'!E14,Списък!$A$1:$C$210,3,FALSE)</f>
        <v>музика</v>
      </c>
      <c r="E43" s="21" t="str">
        <f>VLOOKUP('Програма-кодове'!E21,Списък!$A$1:$C$210,3,FALSE)</f>
        <v>биология</v>
      </c>
      <c r="F43" s="21" t="str">
        <f>VLOOKUP('Програма-кодове'!E28,Списък!$A$1:$C$209,3,FALSE)</f>
        <v>история</v>
      </c>
      <c r="G43" s="21" t="str">
        <f>VLOOKUP('Програма-кодове'!E35,Списък!$A$1:$C$209,3,FALSE)</f>
        <v>физика</v>
      </c>
    </row>
    <row r="44" spans="1:7" ht="12.75" customHeight="1">
      <c r="A44" s="397"/>
      <c r="B44" s="43">
        <v>7</v>
      </c>
      <c r="C44" s="21" t="str">
        <f>VLOOKUP('Програма-кодове'!E8,Списък!$A$1:$C$210,3,FALSE)</f>
        <v>физика</v>
      </c>
      <c r="E44" s="21" t="s">
        <v>59</v>
      </c>
    </row>
    <row r="45" spans="1:7" ht="12.75" customHeight="1" thickBot="1">
      <c r="A45" s="124"/>
    </row>
    <row r="46" spans="1:7" ht="12.75" customHeight="1" thickTop="1">
      <c r="A46" s="114"/>
      <c r="B46" s="115"/>
      <c r="C46" s="116" t="s">
        <v>24</v>
      </c>
      <c r="D46" s="116" t="s">
        <v>25</v>
      </c>
      <c r="E46" s="116" t="s">
        <v>26</v>
      </c>
      <c r="F46" s="116" t="s">
        <v>130</v>
      </c>
      <c r="G46" s="116" t="s">
        <v>28</v>
      </c>
    </row>
    <row r="47" spans="1:7" ht="12.75" customHeight="1">
      <c r="A47" s="397" t="s">
        <v>132</v>
      </c>
      <c r="B47" s="43">
        <v>1</v>
      </c>
      <c r="C47" s="21" t="str">
        <f>VLOOKUP('Програма-кодове'!F2,Списък!$A$1:$C$210,3,FALSE)</f>
        <v>математика</v>
      </c>
      <c r="D47" s="21" t="str">
        <f>VLOOKUP('Програма-кодове'!F9,Списък!$A$1:$C$210,3,FALSE)</f>
        <v>английски език</v>
      </c>
      <c r="E47" s="21" t="str">
        <f>VLOOKUP('Програма-кодове'!F16,Списък!$A$1:$C$210,3,FALSE)</f>
        <v>математика</v>
      </c>
      <c r="F47" s="21" t="str">
        <f>VLOOKUP('Програма-кодове'!F23,Списък!$A$1:$C$209,3,FALSE)</f>
        <v>информатика</v>
      </c>
      <c r="G47" s="21" t="str">
        <f>VLOOKUP('Програма-кодове'!F30,Списък!$A$1:$C$209,3,FALSE)</f>
        <v>бълг. език</v>
      </c>
    </row>
    <row r="48" spans="1:7" ht="12.75" customHeight="1">
      <c r="A48" s="397"/>
      <c r="B48" s="43">
        <v>2</v>
      </c>
      <c r="C48" s="21" t="str">
        <f>VLOOKUP('Програма-кодове'!F3,Списък!$A$1:$C$210,3,FALSE)</f>
        <v>бълг. език</v>
      </c>
      <c r="D48" s="21" t="str">
        <f>VLOOKUP('Програма-кодове'!F10,Списък!$A$1:$C$210,3,FALSE)</f>
        <v>информатика</v>
      </c>
      <c r="E48" s="21" t="str">
        <f>VLOOKUP('Програма-кодове'!F17,Списък!$A$1:$C$210,3,FALSE)</f>
        <v>бълг. език</v>
      </c>
      <c r="F48" s="21" t="str">
        <f>VLOOKUP('Програма-кодове'!F24,Списък!$A$1:$C$209,3,FALSE)</f>
        <v>математика</v>
      </c>
      <c r="G48" s="21" t="str">
        <f>VLOOKUP('Програма-кодове'!F31,Списък!$A$1:$C$209,3,FALSE)</f>
        <v>бълг. език</v>
      </c>
    </row>
    <row r="49" spans="1:7" ht="12.75" customHeight="1">
      <c r="A49" s="397"/>
      <c r="B49" s="43">
        <v>3</v>
      </c>
      <c r="C49" s="21" t="str">
        <f>VLOOKUP('Програма-кодове'!F4,Списък!$A$1:$C$210,3,FALSE)</f>
        <v>информатика</v>
      </c>
      <c r="D49" s="21" t="str">
        <f>VLOOKUP('Програма-кодове'!F11,Списък!$A$1:$C$210,3,FALSE)</f>
        <v>английски език</v>
      </c>
      <c r="E49" s="21" t="str">
        <f>VLOOKUP('Програма-кодове'!F18,Списък!$A$1:$C$210,3,FALSE)</f>
        <v>английски език</v>
      </c>
      <c r="F49" s="21" t="str">
        <f>VLOOKUP('Програма-кодове'!F25,Списък!$A$1:$C$209,3,FALSE)</f>
        <v>английски език</v>
      </c>
      <c r="G49" s="21" t="str">
        <f>VLOOKUP('Програма-кодове'!F32,Списък!$A$1:$C$209,3,FALSE)</f>
        <v>английски език</v>
      </c>
    </row>
    <row r="50" spans="1:7" ht="12.75" customHeight="1">
      <c r="A50" s="397"/>
      <c r="B50" s="43">
        <v>4</v>
      </c>
      <c r="C50" s="21" t="str">
        <f>VLOOKUP('Програма-кодове'!F5,Списък!$A$1:$C$210,3,FALSE)</f>
        <v>английски език</v>
      </c>
      <c r="D50" s="21" t="str">
        <f>VLOOKUP('Програма-кодове'!F12,Списък!$A$1:$C$210,3,FALSE)</f>
        <v>английски език</v>
      </c>
      <c r="E50" s="21" t="str">
        <f>VLOOKUP('Програма-кодове'!F19,Списък!$A$1:$C$210,3,FALSE)</f>
        <v>английски език</v>
      </c>
      <c r="F50" s="21" t="str">
        <f>VLOOKUP('Програма-кодове'!F26,Списък!$A$1:$C$209,3,FALSE)</f>
        <v>физкултура</v>
      </c>
      <c r="G50" s="21" t="str">
        <f>VLOOKUP('Програма-кодове'!F33,Списък!$A$1:$C$209,3,FALSE)</f>
        <v>английски език</v>
      </c>
    </row>
    <row r="51" spans="1:7" ht="12.75" customHeight="1">
      <c r="A51" s="397"/>
      <c r="B51" s="43">
        <v>5</v>
      </c>
      <c r="C51" s="21" t="str">
        <f>VLOOKUP('Програма-кодове'!F6,Списък!$A$1:$C$210,3,FALSE)</f>
        <v>английски език</v>
      </c>
      <c r="D51" s="21" t="str">
        <f>VLOOKUP('Програма-кодове'!F13,Списък!$A$1:$C$210,3,FALSE)</f>
        <v>английски език</v>
      </c>
      <c r="E51" s="21" t="str">
        <f>VLOOKUP('Програма-кодове'!F20,Списък!$A$1:$C$210,3,FALSE)</f>
        <v>физкултура</v>
      </c>
      <c r="F51" s="21" t="str">
        <f>VLOOKUP('Програма-кодове'!F27,Списък!$A$1:$C$209,3,FALSE)</f>
        <v>английски език</v>
      </c>
      <c r="G51" s="21" t="str">
        <f>VLOOKUP('Програма-кодове'!F34,Списък!$A$1:$C$209,3,FALSE)</f>
        <v>английски език</v>
      </c>
    </row>
    <row r="52" spans="1:7" ht="12.75" customHeight="1">
      <c r="A52" s="397"/>
      <c r="B52" s="43">
        <v>6</v>
      </c>
      <c r="C52" s="21" t="str">
        <f>VLOOKUP('Програма-кодове'!F7,Списък!$A$1:$C$210,3,FALSE)</f>
        <v>английски език</v>
      </c>
      <c r="D52" s="21" t="str">
        <f>VLOOKUP('Програма-кодове'!F14,Списък!$A$1:$C$210,3,FALSE)</f>
        <v>философия</v>
      </c>
      <c r="E52" s="21" t="str">
        <f>VLOOKUP('Програма-кодове'!F21,Списък!$A$1:$C$210,3,FALSE)</f>
        <v>английски език</v>
      </c>
      <c r="F52" s="21" t="str">
        <f>VLOOKUP('Програма-кодове'!F28,Списък!$A$1:$C$209,3,FALSE)</f>
        <v>английски език</v>
      </c>
      <c r="G52" s="21" t="str">
        <f>VLOOKUP('Програма-кодове'!F35,Списък!$A$1:$C$209,3,FALSE)</f>
        <v>английски език</v>
      </c>
    </row>
    <row r="53" spans="1:7" ht="12.75" customHeight="1">
      <c r="A53" s="397"/>
      <c r="B53" s="43">
        <v>7</v>
      </c>
      <c r="C53" s="21" t="str">
        <f>VLOOKUP('Програма-кодове'!F8,Списък!$A$1:$C$210,3,FALSE)</f>
        <v>английски език</v>
      </c>
      <c r="D53" s="21" t="str">
        <f>VLOOKUP('Програма-кодове'!F15,Списък!$A$1:$C$210,3,FALSE)</f>
        <v>музика</v>
      </c>
      <c r="E53" s="21" t="s">
        <v>59</v>
      </c>
    </row>
    <row r="54" spans="1:7" ht="12.75" customHeight="1" thickBot="1">
      <c r="A54" s="124"/>
    </row>
    <row r="55" spans="1:7" ht="12.75" customHeight="1" thickTop="1">
      <c r="A55" s="114"/>
      <c r="B55" s="115"/>
      <c r="C55" s="116" t="s">
        <v>24</v>
      </c>
      <c r="D55" s="116" t="s">
        <v>25</v>
      </c>
      <c r="E55" s="116" t="s">
        <v>26</v>
      </c>
      <c r="F55" s="116" t="s">
        <v>130</v>
      </c>
      <c r="G55" s="116" t="s">
        <v>28</v>
      </c>
    </row>
    <row r="56" spans="1:7" ht="12.75" customHeight="1">
      <c r="A56" s="397" t="s">
        <v>133</v>
      </c>
      <c r="B56" s="43">
        <v>1</v>
      </c>
      <c r="C56" s="21" t="str">
        <f>VLOOKUP('Програма-кодове'!G2,Списък!$A$1:$C$210,3,FALSE)</f>
        <v>английски език</v>
      </c>
      <c r="D56" s="21" t="str">
        <f>VLOOKUP('Програма-кодове'!G9,Списък!$A$1:$C$210,3,FALSE)</f>
        <v>бълг. език</v>
      </c>
      <c r="E56" s="21" t="str">
        <f>VLOOKUP('Програма-кодове'!G16,Списък!$A$1:$C$210,3,FALSE)</f>
        <v>математика</v>
      </c>
      <c r="F56" s="21" t="str">
        <f>VLOOKUP('Програма-кодове'!G23,Списък!$A$1:$C$209,3,FALSE)</f>
        <v>английски език</v>
      </c>
      <c r="G56" s="21" t="str">
        <f>VLOOKUP('Програма-кодове'!G30,Списък!$A$1:$C$209,3,FALSE)</f>
        <v>бълг. език</v>
      </c>
    </row>
    <row r="57" spans="1:7" ht="12.75" customHeight="1">
      <c r="A57" s="397"/>
      <c r="B57" s="43">
        <v>2</v>
      </c>
      <c r="C57" s="21" t="str">
        <f>VLOOKUP('Програма-кодове'!G3,Списък!$A$1:$C$210,3,FALSE)</f>
        <v>английски език</v>
      </c>
      <c r="D57" s="21" t="str">
        <f>VLOOKUP('Програма-кодове'!G10,Списък!$A$1:$C$210,3,FALSE)</f>
        <v>философия</v>
      </c>
      <c r="E57" s="21" t="str">
        <f>VLOOKUP('Програма-кодове'!G17,Списък!$A$1:$C$210,3,FALSE)</f>
        <v>музика</v>
      </c>
      <c r="F57" s="21" t="str">
        <f>VLOOKUP('Програма-кодове'!G24,Списък!$A$1:$C$209,3,FALSE)</f>
        <v>английски език</v>
      </c>
      <c r="G57" s="21" t="str">
        <f>VLOOKUP('Програма-кодове'!G31,Списък!$A$1:$C$209,3,FALSE)</f>
        <v>бълг. език</v>
      </c>
    </row>
    <row r="58" spans="1:7" ht="12.75" customHeight="1">
      <c r="A58" s="397"/>
      <c r="B58" s="43">
        <v>3</v>
      </c>
      <c r="C58" s="21" t="str">
        <f>VLOOKUP('Програма-кодове'!G4,Списък!$A$1:$C$210,3,FALSE)</f>
        <v>английски език</v>
      </c>
      <c r="D58" s="21" t="str">
        <f>VLOOKUP('Програма-кодове'!G11,Списък!$A$1:$C$210,3,FALSE)</f>
        <v>информатика</v>
      </c>
      <c r="E58" s="21" t="str">
        <f>VLOOKUP('Програма-кодове'!G18,Списък!$A$1:$C$210,3,FALSE)</f>
        <v>английски език</v>
      </c>
      <c r="F58" s="21" t="str">
        <f>VLOOKUP('Програма-кодове'!G25,Списък!$A$1:$C$209,3,FALSE)</f>
        <v>английски език</v>
      </c>
      <c r="G58" s="21" t="str">
        <f>VLOOKUP('Програма-кодове'!G32,Списък!$A$1:$C$209,3,FALSE)</f>
        <v>математика</v>
      </c>
    </row>
    <row r="59" spans="1:7" ht="12.75" customHeight="1">
      <c r="A59" s="397"/>
      <c r="B59" s="43">
        <v>4</v>
      </c>
      <c r="C59" s="21" t="str">
        <f>VLOOKUP('Програма-кодове'!G5,Списък!$A$1:$C$210,3,FALSE)</f>
        <v>математика</v>
      </c>
      <c r="D59" s="21" t="str">
        <f>VLOOKUP('Програма-кодове'!G12,Списък!$A$1:$C$210,3,FALSE)</f>
        <v>английски език</v>
      </c>
      <c r="E59" s="21" t="str">
        <f>VLOOKUP('Програма-кодове'!G19,Списък!$A$1:$C$210,3,FALSE)</f>
        <v>английски език</v>
      </c>
      <c r="F59" s="21" t="str">
        <f>VLOOKUP('Програма-кодове'!G26,Списък!$A$1:$C$209,3,FALSE)</f>
        <v>английски език</v>
      </c>
      <c r="G59" s="21" t="str">
        <f>VLOOKUP('Програма-кодове'!G33,Списък!$A$1:$C$209,3,FALSE)</f>
        <v>английски език</v>
      </c>
    </row>
    <row r="60" spans="1:7" ht="12.75" customHeight="1">
      <c r="A60" s="397"/>
      <c r="B60" s="43">
        <v>5</v>
      </c>
      <c r="C60" s="21" t="str">
        <f>VLOOKUP('Програма-кодове'!G6,Списък!$A$1:$C$210,3,FALSE)</f>
        <v>бълг. език</v>
      </c>
      <c r="D60" s="21" t="str">
        <f>VLOOKUP('Програма-кодове'!G13,Списък!$A$1:$C$210,3,FALSE)</f>
        <v>английски език</v>
      </c>
      <c r="E60" s="21" t="str">
        <f>VLOOKUP('Програма-кодове'!G20,Списък!$A$1:$C$210,3,FALSE)</f>
        <v>английски език</v>
      </c>
      <c r="F60" s="21" t="str">
        <f>VLOOKUP('Програма-кодове'!G27,Списък!$A$1:$C$209,3,FALSE)</f>
        <v>ИТ/ИТ</v>
      </c>
      <c r="G60" s="21" t="str">
        <f>VLOOKUP('Програма-кодове'!G34,Списък!$A$1:$C$209,3,FALSE)</f>
        <v>английски език</v>
      </c>
    </row>
    <row r="61" spans="1:7" ht="12.75" customHeight="1">
      <c r="A61" s="397"/>
      <c r="B61" s="43">
        <v>6</v>
      </c>
      <c r="C61" s="21" t="str">
        <f>VLOOKUP('Програма-кодове'!G7,Списък!$A$1:$C$210,3,FALSE)</f>
        <v>ИТ/ИТ</v>
      </c>
      <c r="D61" s="21" t="str">
        <f>VLOOKUP('Програма-кодове'!G14,Списък!$A$1:$C$210,3,FALSE)</f>
        <v>английски език</v>
      </c>
      <c r="E61" s="21" t="str">
        <f>VLOOKUP('Програма-кодове'!G21,Списък!$A$1:$C$210,3,FALSE)</f>
        <v>английски език</v>
      </c>
      <c r="F61" s="21" t="str">
        <f>VLOOKUP('Програма-кодове'!G28,Списък!$A$1:$C$209,3,FALSE)</f>
        <v>физкултура</v>
      </c>
      <c r="G61" s="21" t="str">
        <f>VLOOKUP('Програма-кодове'!G35,Списък!$A$1:$C$209,3,FALSE)</f>
        <v>английски език</v>
      </c>
    </row>
    <row r="62" spans="1:7" ht="12.75" customHeight="1">
      <c r="A62" s="397"/>
      <c r="B62" s="43">
        <v>7</v>
      </c>
      <c r="C62" s="21" t="str">
        <f>VLOOKUP('Програма-кодове'!G8,Списък!$A$1:$C$210,3,FALSE)</f>
        <v>физкултура</v>
      </c>
      <c r="D62" s="21" t="str">
        <f>VLOOKUP('Програма-кодове'!G15,Списък!$A$1:$C$210,3,FALSE)</f>
        <v>английски език</v>
      </c>
      <c r="E62" s="21" t="s">
        <v>59</v>
      </c>
    </row>
    <row r="63" spans="1:7" ht="12.75" customHeight="1" thickBot="1">
      <c r="A63" s="124"/>
    </row>
    <row r="64" spans="1:7" ht="12.75" customHeight="1" thickTop="1">
      <c r="A64" s="114"/>
      <c r="B64" s="115"/>
      <c r="C64" s="116" t="s">
        <v>24</v>
      </c>
      <c r="D64" s="116" t="s">
        <v>25</v>
      </c>
      <c r="E64" s="116" t="s">
        <v>26</v>
      </c>
      <c r="F64" s="116" t="s">
        <v>130</v>
      </c>
      <c r="G64" s="116" t="s">
        <v>28</v>
      </c>
    </row>
    <row r="65" spans="1:7" ht="12.75" customHeight="1">
      <c r="A65" s="397" t="s">
        <v>134</v>
      </c>
      <c r="B65" s="43">
        <v>1</v>
      </c>
      <c r="C65" s="21" t="str">
        <f>VLOOKUP('Програма-кодове'!H2,Списък!$A$1:$C$210,3,FALSE)</f>
        <v>английски език</v>
      </c>
      <c r="D65" s="21" t="str">
        <f>VLOOKUP('Програма-кодове'!H9,Списък!$A$1:$C$210,3,FALSE)</f>
        <v>информатика</v>
      </c>
      <c r="E65" s="21" t="str">
        <f>VLOOKUP('Програма-кодове'!H16,Списък!$A$1:$C$210,3,FALSE)</f>
        <v>бълг. език</v>
      </c>
      <c r="F65" s="21" t="str">
        <f>VLOOKUP('Програма-кодове'!H23,Списък!$A$1:$C$209,3,FALSE)</f>
        <v>английски език</v>
      </c>
      <c r="G65" s="21" t="str">
        <f>VLOOKUP('Програма-кодове'!H30,Списък!$A$1:$C$209,3,FALSE)</f>
        <v>английски език</v>
      </c>
    </row>
    <row r="66" spans="1:7" ht="12.75" customHeight="1">
      <c r="A66" s="397"/>
      <c r="B66" s="43">
        <v>2</v>
      </c>
      <c r="C66" s="21" t="str">
        <f>VLOOKUP('Програма-кодове'!H3,Списък!$A$1:$C$210,3,FALSE)</f>
        <v>английски език</v>
      </c>
      <c r="D66" s="21" t="str">
        <f>VLOOKUP('Програма-кодове'!H10,Списък!$A$1:$C$210,3,FALSE)</f>
        <v>английски език</v>
      </c>
      <c r="E66" s="21" t="str">
        <f>VLOOKUP('Програма-кодове'!H17,Списък!$A$1:$C$210,3,FALSE)</f>
        <v>бълг. език</v>
      </c>
      <c r="F66" s="21" t="str">
        <f>VLOOKUP('Програма-кодове'!H24,Списък!$A$1:$C$209,3,FALSE)</f>
        <v>английски език</v>
      </c>
      <c r="G66" s="21" t="str">
        <f>VLOOKUP('Програма-кодове'!H31,Списък!$A$1:$C$209,3,FALSE)</f>
        <v>английски език</v>
      </c>
    </row>
    <row r="67" spans="1:7" ht="12.75" customHeight="1">
      <c r="A67" s="397"/>
      <c r="B67" s="43">
        <v>3</v>
      </c>
      <c r="C67" s="21" t="str">
        <f>VLOOKUP('Програма-кодове'!H4,Списък!$A$1:$C$210,3,FALSE)</f>
        <v>английски език</v>
      </c>
      <c r="D67" s="21" t="str">
        <f>VLOOKUP('Програма-кодове'!H11,Списък!$A$1:$C$210,3,FALSE)</f>
        <v>английски език</v>
      </c>
      <c r="E67" s="21" t="str">
        <f>VLOOKUP('Програма-кодове'!H18,Списък!$A$1:$C$210,3,FALSE)</f>
        <v>математика</v>
      </c>
      <c r="F67" s="21" t="str">
        <f>VLOOKUP('Програма-кодове'!H25,Списък!$A$1:$C$209,3,FALSE)</f>
        <v>информатика</v>
      </c>
      <c r="G67" s="21" t="str">
        <f>VLOOKUP('Програма-кодове'!H32,Списък!$A$1:$C$209,3,FALSE)</f>
        <v>английски език</v>
      </c>
    </row>
    <row r="68" spans="1:7" ht="12.75" customHeight="1">
      <c r="A68" s="397"/>
      <c r="B68" s="43">
        <v>4</v>
      </c>
      <c r="C68" s="21" t="str">
        <f>VLOOKUP('Програма-кодове'!H5,Списък!$A$1:$C$210,3,FALSE)</f>
        <v>английски език</v>
      </c>
      <c r="D68" s="21" t="str">
        <f>VLOOKUP('Програма-кодове'!H12,Списък!$A$1:$C$210,3,FALSE)</f>
        <v>бълг. език</v>
      </c>
      <c r="E68" s="21" t="str">
        <f>VLOOKUP('Програма-кодове'!H19,Списък!$A$1:$C$210,3,FALSE)</f>
        <v>английски език</v>
      </c>
      <c r="F68" s="21" t="str">
        <f>VLOOKUP('Програма-кодове'!H26,Списък!$A$1:$C$209,3,FALSE)</f>
        <v>английски език</v>
      </c>
      <c r="G68" s="21" t="str">
        <f>VLOOKUP('Програма-кодове'!H33,Списък!$A$1:$C$209,3,FALSE)</f>
        <v>английски език</v>
      </c>
    </row>
    <row r="69" spans="1:7" ht="12.75" customHeight="1">
      <c r="A69" s="397"/>
      <c r="B69" s="43">
        <v>5</v>
      </c>
      <c r="C69" s="21" t="str">
        <f>VLOOKUP('Програма-кодове'!H6,Списък!$A$1:$C$210,3,FALSE)</f>
        <v>информатика</v>
      </c>
      <c r="D69" s="21" t="str">
        <f>VLOOKUP('Програма-кодове'!H13,Списък!$A$1:$C$210,3,FALSE)</f>
        <v>английски език</v>
      </c>
      <c r="E69" s="21" t="str">
        <f>VLOOKUP('Програма-кодове'!H20,Списък!$A$1:$C$210,3,FALSE)</f>
        <v>английски език</v>
      </c>
      <c r="F69" s="21" t="str">
        <f>VLOOKUP('Програма-кодове'!H27,Списък!$A$1:$C$209,3,FALSE)</f>
        <v>математика</v>
      </c>
      <c r="G69" s="21" t="str">
        <f>VLOOKUP('Програма-кодове'!H34,Списък!$A$1:$C$209,3,FALSE)</f>
        <v>физкултура</v>
      </c>
    </row>
    <row r="70" spans="1:7" ht="12.75" customHeight="1">
      <c r="A70" s="397"/>
      <c r="B70" s="43">
        <v>6</v>
      </c>
      <c r="C70" s="21" t="str">
        <f>VLOOKUP('Програма-кодове'!H7,Списък!$A$1:$C$210,3,FALSE)</f>
        <v>математика</v>
      </c>
      <c r="D70" s="21" t="str">
        <f>VLOOKUP('Програма-кодове'!H14,Списък!$A$1:$C$210,3,FALSE)</f>
        <v>английски език</v>
      </c>
      <c r="E70" s="21" t="str">
        <f>VLOOKUP('Програма-кодове'!H21,Списък!$A$1:$C$210,3,FALSE)</f>
        <v>английски език</v>
      </c>
      <c r="F70" s="21" t="str">
        <f>VLOOKUP('Програма-кодове'!H28,Списък!$A$1:$C$209,3,FALSE)</f>
        <v>музика</v>
      </c>
      <c r="G70" s="21" t="str">
        <f>VLOOKUP('Програма-кодове'!H35,Списък!$A$1:$C$209,3,FALSE)</f>
        <v>бълг. език</v>
      </c>
    </row>
    <row r="71" spans="1:7" ht="12.75" customHeight="1">
      <c r="A71" s="397"/>
      <c r="B71" s="43">
        <v>7</v>
      </c>
      <c r="C71" s="21" t="str">
        <f>VLOOKUP('Програма-кодове'!H8,Списък!$A$1:$C$210,3,FALSE)</f>
        <v>философия</v>
      </c>
      <c r="D71" s="21" t="str">
        <f>VLOOKUP('Програма-кодове'!H15,Списък!$A$1:$C$210,3,FALSE)</f>
        <v>физкултура</v>
      </c>
      <c r="E71" s="21" t="s">
        <v>59</v>
      </c>
    </row>
    <row r="72" spans="1:7" ht="12.75" customHeight="1" thickBot="1">
      <c r="A72" s="124"/>
    </row>
    <row r="73" spans="1:7" ht="12.75" customHeight="1" thickTop="1">
      <c r="A73" s="114"/>
      <c r="B73" s="115"/>
      <c r="C73" s="116" t="s">
        <v>24</v>
      </c>
      <c r="D73" s="116" t="s">
        <v>25</v>
      </c>
      <c r="E73" s="116" t="s">
        <v>26</v>
      </c>
      <c r="F73" s="116" t="s">
        <v>130</v>
      </c>
      <c r="G73" s="116" t="s">
        <v>28</v>
      </c>
    </row>
    <row r="74" spans="1:7" ht="12.75" customHeight="1">
      <c r="A74" s="397" t="s">
        <v>135</v>
      </c>
      <c r="B74" s="43">
        <v>1</v>
      </c>
      <c r="C74" s="21" t="str">
        <f>VLOOKUP('Програма-кодове'!I2,Списък!$A$1:$C$210,3,FALSE)</f>
        <v>информатика</v>
      </c>
      <c r="D74" s="21" t="str">
        <f>VLOOKUP('Програма-кодове'!I9,Списък!$A$1:$C$210,3,FALSE)</f>
        <v>английски език</v>
      </c>
      <c r="E74" s="21" t="str">
        <f>VLOOKUP('Програма-кодове'!I16,Списък!$A$1:$C$210,3,FALSE)</f>
        <v>английски език</v>
      </c>
      <c r="F74" s="21" t="str">
        <f>VLOOKUP('Програма-кодове'!I23,Списък!$A$1:$C$209,3,FALSE)</f>
        <v>английски език</v>
      </c>
      <c r="G74" s="21" t="str">
        <f>VLOOKUP('Програма-кодове'!I30,Списък!$A$1:$C$209,3,FALSE)</f>
        <v>английски език</v>
      </c>
    </row>
    <row r="75" spans="1:7" ht="12.75" customHeight="1">
      <c r="A75" s="397"/>
      <c r="B75" s="43">
        <v>2</v>
      </c>
      <c r="C75" s="21" t="str">
        <f>VLOOKUP('Програма-кодове'!I3,Списък!$A$1:$C$210,3,FALSE)</f>
        <v>английски език</v>
      </c>
      <c r="D75" s="21" t="str">
        <f>VLOOKUP('Програма-кодове'!I10,Списък!$A$1:$C$210,3,FALSE)</f>
        <v>математика</v>
      </c>
      <c r="E75" s="21" t="str">
        <f>VLOOKUP('Програма-кодове'!I17,Списък!$A$1:$C$210,3,FALSE)</f>
        <v>английски език</v>
      </c>
      <c r="F75" s="21" t="str">
        <f>VLOOKUP('Програма-кодове'!I24,Списък!$A$1:$C$209,3,FALSE)</f>
        <v>английски език</v>
      </c>
      <c r="G75" s="21" t="str">
        <f>VLOOKUP('Програма-кодове'!I31,Списък!$A$1:$C$209,3,FALSE)</f>
        <v>английски език</v>
      </c>
    </row>
    <row r="76" spans="1:7" ht="12.75" customHeight="1">
      <c r="A76" s="397"/>
      <c r="B76" s="43">
        <v>3</v>
      </c>
      <c r="C76" s="21" t="str">
        <f>VLOOKUP('Програма-кодове'!I4,Списък!$A$1:$C$210,3,FALSE)</f>
        <v>английски език</v>
      </c>
      <c r="D76" s="21" t="str">
        <f>VLOOKUP('Програма-кодове'!I11,Списък!$A$1:$C$210,3,FALSE)</f>
        <v>английски език</v>
      </c>
      <c r="E76" s="21" t="str">
        <f>VLOOKUP('Програма-кодове'!I18,Списък!$A$1:$C$210,3,FALSE)</f>
        <v>английски език</v>
      </c>
      <c r="F76" s="21" t="str">
        <f>VLOOKUP('Програма-кодове'!I25,Списък!$A$1:$C$209,3,FALSE)</f>
        <v>английски език</v>
      </c>
      <c r="G76" s="21" t="str">
        <f>VLOOKUP('Програма-кодове'!I32,Списък!$A$1:$C$209,3,FALSE)</f>
        <v>английски език</v>
      </c>
    </row>
    <row r="77" spans="1:7" ht="12.75" customHeight="1">
      <c r="A77" s="397"/>
      <c r="B77" s="43">
        <v>4</v>
      </c>
      <c r="C77" s="21" t="str">
        <f>VLOOKUP('Програма-кодове'!I5,Списък!$A$1:$C$210,3,FALSE)</f>
        <v>английски език</v>
      </c>
      <c r="D77" s="21" t="str">
        <f>VLOOKUP('Програма-кодове'!I12,Списък!$A$1:$C$210,3,FALSE)</f>
        <v>английски език</v>
      </c>
      <c r="E77" s="21" t="str">
        <f>VLOOKUP('Програма-кодове'!I19,Списък!$A$1:$C$210,3,FALSE)</f>
        <v>английски език</v>
      </c>
      <c r="F77" s="21" t="str">
        <f>VLOOKUP('Програма-кодове'!I26,Списък!$A$1:$C$209,3,FALSE)</f>
        <v>информатика</v>
      </c>
      <c r="G77" s="21" t="str">
        <f>VLOOKUP('Програма-кодове'!I33,Списък!$A$1:$C$209,3,FALSE)</f>
        <v>музика</v>
      </c>
    </row>
    <row r="78" spans="1:7" ht="12.75" customHeight="1">
      <c r="A78" s="397"/>
      <c r="B78" s="43">
        <v>5</v>
      </c>
      <c r="C78" s="21" t="str">
        <f>VLOOKUP('Програма-кодове'!I6,Списък!$A$1:$C$210,3,FALSE)</f>
        <v>английски език</v>
      </c>
      <c r="D78" s="21" t="str">
        <f>VLOOKUP('Програма-кодове'!I13,Списък!$A$1:$C$210,3,FALSE)</f>
        <v>физкултура</v>
      </c>
      <c r="E78" s="21" t="str">
        <f>VLOOKUP('Програма-кодове'!I20,Списък!$A$1:$C$210,3,FALSE)</f>
        <v>математика</v>
      </c>
      <c r="F78" s="21" t="str">
        <f>VLOOKUP('Програма-кодове'!I27,Списък!$A$1:$C$209,3,FALSE)</f>
        <v>физкултура</v>
      </c>
      <c r="G78" s="21" t="str">
        <f>VLOOKUP('Програма-кодове'!I34,Списък!$A$1:$C$209,3,FALSE)</f>
        <v>бълг. език</v>
      </c>
    </row>
    <row r="79" spans="1:7" ht="12.75" customHeight="1">
      <c r="A79" s="397"/>
      <c r="B79" s="43">
        <v>6</v>
      </c>
      <c r="C79" s="21" t="str">
        <f>VLOOKUP('Програма-кодове'!I7,Списък!$A$1:$C$210,3,FALSE)</f>
        <v>философия</v>
      </c>
      <c r="D79" s="21" t="str">
        <f>VLOOKUP('Програма-кодове'!I14,Списък!$A$1:$C$210,3,FALSE)</f>
        <v>информатика</v>
      </c>
      <c r="E79" s="21" t="str">
        <f>VLOOKUP('Програма-кодове'!I21,Списък!$A$1:$C$210,3,FALSE)</f>
        <v>бълг. език</v>
      </c>
      <c r="F79" s="21" t="str">
        <f>VLOOKUP('Програма-кодове'!I28,Списък!$A$1:$C$209,3,FALSE)</f>
        <v>английски език</v>
      </c>
      <c r="G79" s="21" t="str">
        <f>VLOOKUP('Програма-кодове'!I35,Списък!$A$1:$C$209,3,FALSE)</f>
        <v>бълг. език</v>
      </c>
    </row>
    <row r="80" spans="1:7" ht="12.75" customHeight="1">
      <c r="A80" s="397"/>
      <c r="B80" s="43">
        <v>7</v>
      </c>
      <c r="C80" s="21" t="str">
        <f>VLOOKUP('Програма-кодове'!I8,Списък!$A$1:$C$210,3,FALSE)</f>
        <v>математика</v>
      </c>
      <c r="D80" s="21" t="str">
        <f>VLOOKUP('Програма-кодове'!I15,Списък!$A$1:$C$210,3,FALSE)</f>
        <v>бълг. език</v>
      </c>
      <c r="E80" s="21" t="s">
        <v>59</v>
      </c>
    </row>
    <row r="81" spans="1:7" ht="12.75" customHeight="1" thickBot="1">
      <c r="A81" s="124"/>
    </row>
    <row r="82" spans="1:7" ht="12.75" customHeight="1" thickTop="1">
      <c r="A82" s="114"/>
      <c r="B82" s="115"/>
      <c r="C82" s="116" t="s">
        <v>24</v>
      </c>
      <c r="D82" s="116" t="s">
        <v>25</v>
      </c>
      <c r="E82" s="116" t="s">
        <v>26</v>
      </c>
      <c r="F82" s="116" t="s">
        <v>130</v>
      </c>
      <c r="G82" s="116" t="s">
        <v>28</v>
      </c>
    </row>
    <row r="83" spans="1:7" ht="12.75" customHeight="1">
      <c r="A83" s="397" t="s">
        <v>136</v>
      </c>
      <c r="B83" s="43">
        <v>1</v>
      </c>
      <c r="C83" s="21" t="str">
        <f>VLOOKUP('Програма-кодове'!J2,Списък!$A$1:$C$210,3,FALSE)</f>
        <v>математика</v>
      </c>
      <c r="D83" s="21" t="str">
        <f>VLOOKUP('Програма-кодове'!J9,Списък!$A$1:$C$210,3,FALSE)</f>
        <v>физкултура</v>
      </c>
      <c r="E83" s="21" t="str">
        <f>VLOOKUP('Програма-кодове'!J16,Списък!$A$1:$C$210,3,FALSE)</f>
        <v>английски език</v>
      </c>
      <c r="F83" s="21" t="str">
        <f>VLOOKUP('Програма-кодове'!J23,Списък!$A$1:$C$209,3,FALSE)</f>
        <v>бълг. език</v>
      </c>
      <c r="G83" s="21" t="str">
        <f>VLOOKUP('Програма-кодове'!J30,Списък!$A$1:$C$209,3,FALSE)</f>
        <v>бълг. език</v>
      </c>
    </row>
    <row r="84" spans="1:7" ht="12.75" customHeight="1">
      <c r="A84" s="397"/>
      <c r="B84" s="43">
        <v>2</v>
      </c>
      <c r="C84" s="21" t="str">
        <f>VLOOKUP('Програма-кодове'!J3,Списък!$A$1:$C$210,3,FALSE)</f>
        <v>информатика</v>
      </c>
      <c r="D84" s="21" t="str">
        <f>VLOOKUP('Програма-кодове'!J10,Списък!$A$1:$C$210,3,FALSE)</f>
        <v>английски език</v>
      </c>
      <c r="E84" s="21" t="str">
        <f>VLOOKUP('Програма-кодове'!J17,Списък!$A$1:$C$210,3,FALSE)</f>
        <v>английски език</v>
      </c>
      <c r="F84" s="21" t="str">
        <f>VLOOKUP('Програма-кодове'!J24,Списък!$A$1:$C$209,3,FALSE)</f>
        <v>информатика</v>
      </c>
      <c r="G84" s="21" t="str">
        <f>VLOOKUP('Програма-кодове'!J31,Списък!$A$1:$C$209,3,FALSE)</f>
        <v>физкултура</v>
      </c>
    </row>
    <row r="85" spans="1:7" ht="12.75" customHeight="1">
      <c r="A85" s="397"/>
      <c r="B85" s="43">
        <v>3</v>
      </c>
      <c r="C85" s="21" t="str">
        <f>VLOOKUP('Програма-кодове'!J4,Списък!$A$1:$C$210,3,FALSE)</f>
        <v>английски език</v>
      </c>
      <c r="D85" s="21" t="str">
        <f>VLOOKUP('Програма-кодове'!J11,Списък!$A$1:$C$210,3,FALSE)</f>
        <v>английски език</v>
      </c>
      <c r="E85" s="21" t="str">
        <f>VLOOKUP('Програма-кодове'!J18,Списък!$A$1:$C$210,3,FALSE)</f>
        <v>музика</v>
      </c>
      <c r="F85" s="21" t="str">
        <f>VLOOKUP('Програма-кодове'!J25,Списък!$A$1:$C$209,3,FALSE)</f>
        <v>математика</v>
      </c>
      <c r="G85" s="21" t="str">
        <f>VLOOKUP('Програма-кодове'!J32,Списък!$A$1:$C$209,3,FALSE)</f>
        <v>английски език</v>
      </c>
    </row>
    <row r="86" spans="1:7" ht="12.75" customHeight="1">
      <c r="A86" s="397"/>
      <c r="B86" s="43">
        <v>4</v>
      </c>
      <c r="C86" s="21" t="str">
        <f>VLOOKUP('Програма-кодове'!J5,Списък!$A$1:$C$210,3,FALSE)</f>
        <v>английски език</v>
      </c>
      <c r="D86" s="21" t="str">
        <f>VLOOKUP('Програма-кодове'!J12,Списък!$A$1:$C$210,3,FALSE)</f>
        <v>английски език</v>
      </c>
      <c r="E86" s="21" t="str">
        <f>VLOOKUP('Програма-кодове'!J19,Списък!$A$1:$C$210,3,FALSE)</f>
        <v>математика</v>
      </c>
      <c r="F86" s="21" t="str">
        <f>VLOOKUP('Програма-кодове'!J26,Списък!$A$1:$C$209,3,FALSE)</f>
        <v>английски език</v>
      </c>
      <c r="G86" s="21" t="str">
        <f>VLOOKUP('Програма-кодове'!J33,Списък!$A$1:$C$209,3,FALSE)</f>
        <v>английски език</v>
      </c>
    </row>
    <row r="87" spans="1:7" ht="12.75" customHeight="1">
      <c r="A87" s="397"/>
      <c r="B87" s="43">
        <v>5</v>
      </c>
      <c r="C87" s="21" t="str">
        <f>VLOOKUP('Програма-кодове'!J6,Списък!$A$1:$C$210,3,FALSE)</f>
        <v>философия</v>
      </c>
      <c r="D87" s="21" t="str">
        <f>VLOOKUP('Програма-кодове'!J13,Списък!$A$1:$C$210,3,FALSE)</f>
        <v>информатика</v>
      </c>
      <c r="E87" s="21" t="str">
        <f>VLOOKUP('Програма-кодове'!J20,Списък!$A$1:$C$210,3,FALSE)</f>
        <v>английски език</v>
      </c>
      <c r="F87" s="21" t="str">
        <f>VLOOKUP('Програма-кодове'!J27,Списък!$A$1:$C$209,3,FALSE)</f>
        <v>английски език</v>
      </c>
      <c r="G87" s="21" t="str">
        <f>VLOOKUP('Програма-кодове'!J34,Списък!$A$1:$C$209,3,FALSE)</f>
        <v>английски език</v>
      </c>
    </row>
    <row r="88" spans="1:7" ht="12.75" customHeight="1">
      <c r="A88" s="397"/>
      <c r="B88" s="43">
        <v>6</v>
      </c>
      <c r="C88" s="21" t="str">
        <f>VLOOKUP('Програма-кодове'!J7,Списък!$A$1:$C$210,3,FALSE)</f>
        <v>английски език</v>
      </c>
      <c r="D88" s="21" t="str">
        <f>VLOOKUP('Програма-кодове'!J14,Списък!$A$1:$C$210,3,FALSE)</f>
        <v>бълг. език</v>
      </c>
      <c r="E88" s="21" t="str">
        <f>VLOOKUP('Програма-кодове'!J21,Списък!$A$1:$C$210,3,FALSE)</f>
        <v>английски език</v>
      </c>
      <c r="F88" s="21" t="str">
        <f>VLOOKUP('Програма-кодове'!J28,Списък!$A$1:$C$209,3,FALSE)</f>
        <v>английски език</v>
      </c>
      <c r="G88" s="21" t="str">
        <f>VLOOKUP('Програма-кодове'!J35,Списък!$A$1:$C$209,3,FALSE)</f>
        <v>английски език</v>
      </c>
    </row>
    <row r="89" spans="1:7" ht="12.75" customHeight="1">
      <c r="A89" s="397"/>
      <c r="B89" s="43">
        <v>7</v>
      </c>
      <c r="C89" s="21" t="str">
        <f>VLOOKUP('Програма-кодове'!J8,Списък!$A$1:$C$210,3,FALSE)</f>
        <v>английски език</v>
      </c>
      <c r="D89" s="21" t="str">
        <f>VLOOKUP('Програма-кодове'!J15,Списък!$A$1:$C$210,3,FALSE)</f>
        <v>бълг. език</v>
      </c>
      <c r="E89" s="21" t="s">
        <v>59</v>
      </c>
    </row>
    <row r="90" spans="1:7" ht="12.75" customHeight="1" thickBot="1">
      <c r="A90" s="397"/>
      <c r="B90" s="21"/>
    </row>
    <row r="91" spans="1:7" ht="12.75" customHeight="1" thickTop="1">
      <c r="A91" s="114"/>
      <c r="B91" s="115"/>
      <c r="C91" s="116" t="s">
        <v>24</v>
      </c>
      <c r="D91" s="116" t="s">
        <v>25</v>
      </c>
      <c r="E91" s="116" t="s">
        <v>26</v>
      </c>
      <c r="F91" s="116" t="s">
        <v>130</v>
      </c>
      <c r="G91" s="116" t="s">
        <v>28</v>
      </c>
    </row>
    <row r="92" spans="1:7" ht="12.75" customHeight="1">
      <c r="A92" s="397" t="s">
        <v>137</v>
      </c>
      <c r="B92" s="43">
        <v>1</v>
      </c>
      <c r="C92" s="21" t="str">
        <f>VLOOKUP('Програма-кодове'!K2,Списък!$A$1:$C$210,3,FALSE)</f>
        <v>история</v>
      </c>
      <c r="D92" s="21" t="str">
        <f>VLOOKUP('Програма-кодове'!K9,Списък!$A$1:$C$210,3,FALSE)</f>
        <v>математика</v>
      </c>
      <c r="E92" s="21" t="str">
        <f>VLOOKUP('Програма-кодове'!K16,Списък!$A$1:$C$209,3,FALSE)</f>
        <v>физика</v>
      </c>
      <c r="F92" s="21" t="str">
        <f>VLOOKUP('Програма-кодове'!K23,Списък!$A$1:$C$209,3,FALSE)</f>
        <v>английски език</v>
      </c>
      <c r="G92" s="21" t="str">
        <f>VLOOKUP('Програма-кодове'!K30,Списък!$A$1:$C$209,3,FALSE)</f>
        <v>история</v>
      </c>
    </row>
    <row r="93" spans="1:7" ht="12.75" customHeight="1">
      <c r="A93" s="397"/>
      <c r="B93" s="43">
        <v>2</v>
      </c>
      <c r="C93" s="21" t="str">
        <f>VLOOKUP('Програма-кодове'!K3,Списък!$A$1:$C$210,3,FALSE)</f>
        <v>английски език</v>
      </c>
      <c r="D93" s="21" t="str">
        <f>VLOOKUP('Програма-кодове'!K10,Списък!$A$1:$C$210,3,FALSE)</f>
        <v>физика</v>
      </c>
      <c r="E93" s="21" t="str">
        <f>VLOOKUP('Програма-кодове'!K17,Списък!$A$1:$C$209,3,FALSE)</f>
        <v>информатика</v>
      </c>
      <c r="F93" s="21" t="str">
        <f>VLOOKUP('Програма-кодове'!K24,Списък!$A$1:$C$209,3,FALSE)</f>
        <v>английски език</v>
      </c>
      <c r="G93" s="21" t="str">
        <f>VLOOKUP('Програма-кодове'!K31,Списък!$A$1:$C$209,3,FALSE)</f>
        <v>физика</v>
      </c>
    </row>
    <row r="94" spans="1:7" ht="12.75" customHeight="1">
      <c r="A94" s="397"/>
      <c r="B94" s="43">
        <v>3</v>
      </c>
      <c r="C94" s="21" t="str">
        <f>VLOOKUP('Програма-кодове'!K4,Списък!$A$1:$C$210,3,FALSE)</f>
        <v>география</v>
      </c>
      <c r="D94" s="21" t="str">
        <f>VLOOKUP('Програма-кодове'!K11,Списък!$A$1:$C$210,3,FALSE)</f>
        <v>история</v>
      </c>
      <c r="E94" s="21" t="str">
        <f>VLOOKUP('Програма-кодове'!K18,Списък!$A$1:$C$209,3,FALSE)</f>
        <v>история</v>
      </c>
      <c r="F94" s="21" t="str">
        <f>VLOOKUP('Програма-кодове'!K25,Списък!$A$1:$C$209,3,FALSE)</f>
        <v>ІІ - ри чужд език</v>
      </c>
      <c r="G94" s="21" t="str">
        <f>VLOOKUP('Програма-кодове'!K32,Списък!$A$1:$C$209,3,FALSE)</f>
        <v>биология</v>
      </c>
    </row>
    <row r="95" spans="1:7" ht="12.75" customHeight="1">
      <c r="A95" s="397"/>
      <c r="B95" s="43">
        <v>4</v>
      </c>
      <c r="C95" s="21" t="str">
        <f>VLOOKUP('Програма-кодове'!K5,Списък!$A$1:$C$210,3,FALSE)</f>
        <v>бълг. език</v>
      </c>
      <c r="D95" s="21" t="str">
        <f>VLOOKUP('Програма-кодове'!K12,Списък!$A$1:$C$210,3,FALSE)</f>
        <v>английски език</v>
      </c>
      <c r="E95" s="21" t="str">
        <f>VLOOKUP('Програма-кодове'!K19,Списък!$A$1:$C$209,3,FALSE)</f>
        <v>физкултура</v>
      </c>
      <c r="F95" s="21" t="str">
        <f>VLOOKUP('Програма-кодове'!K26,Списък!$A$1:$C$209,3,FALSE)</f>
        <v>ІІ - ри чужд език</v>
      </c>
      <c r="G95" s="21" t="str">
        <f>VLOOKUP('Програма-кодове'!K33,Списък!$A$1:$C$209,3,FALSE)</f>
        <v>физкултура</v>
      </c>
    </row>
    <row r="96" spans="1:7" ht="12.75" customHeight="1">
      <c r="A96" s="397"/>
      <c r="B96" s="43">
        <v>5</v>
      </c>
      <c r="C96" s="21" t="str">
        <f>VLOOKUP('Програма-кодове'!K6,Списък!$A$1:$C$210,3,FALSE)</f>
        <v>бълг. език</v>
      </c>
      <c r="D96" s="21" t="str">
        <f>VLOOKUP('Програма-кодове'!K13,Списък!$A$1:$C$210,3,FALSE)</f>
        <v>биология</v>
      </c>
      <c r="E96" s="21" t="str">
        <f>VLOOKUP('Програма-кодове'!K20,Списък!$A$1:$C$209,3,FALSE)</f>
        <v>биология</v>
      </c>
      <c r="F96" s="21" t="str">
        <f>VLOOKUP('Програма-кодове'!K27,Списък!$A$1:$C$209,3,FALSE)</f>
        <v>география</v>
      </c>
      <c r="G96" s="21" t="str">
        <f>VLOOKUP('Програма-кодове'!K34,Списък!$A$1:$C$209,3,FALSE)</f>
        <v>математика</v>
      </c>
    </row>
    <row r="97" spans="1:18" ht="12.75" customHeight="1">
      <c r="A97" s="397"/>
      <c r="B97" s="43">
        <v>6</v>
      </c>
      <c r="C97" s="21" t="str">
        <f>VLOOKUP('Програма-кодове'!K7,Списък!$A$1:$C$210,3,FALSE)</f>
        <v>химия</v>
      </c>
      <c r="D97" s="21" t="str">
        <f>VLOOKUP('Програма-кодове'!K14,Списък!$A$1:$C$210,3,FALSE)</f>
        <v>философия</v>
      </c>
      <c r="E97" s="21" t="str">
        <f>VLOOKUP('Програма-кодове'!K21,Списък!$A$1:$C$209,3,FALSE)</f>
        <v>математика</v>
      </c>
      <c r="F97" s="21" t="str">
        <f>VLOOKUP('Програма-кодове'!K28,Списък!$A$1:$C$209,3,FALSE)</f>
        <v>химия</v>
      </c>
      <c r="G97" s="21" t="str">
        <f>VLOOKUP('Програма-кодове'!K35,Списък!$A$1:$C$209,3,FALSE)</f>
        <v>бълг. език</v>
      </c>
    </row>
    <row r="98" spans="1:18" ht="12.75" customHeight="1">
      <c r="A98" s="397"/>
      <c r="B98" s="43">
        <v>7</v>
      </c>
      <c r="C98" s="21" t="str">
        <f>VLOOKUP('Програма-кодове'!K8,Списък!$A$1:$C$210,3,FALSE)</f>
        <v>рисуване</v>
      </c>
      <c r="D98" s="21" t="str">
        <f>VLOOKUP('Програма-кодове'!K15,Списък!$A$1:$C$210,3,FALSE)</f>
        <v>информатика</v>
      </c>
      <c r="E98" s="21" t="s">
        <v>59</v>
      </c>
      <c r="F98" s="21">
        <f>VLOOKUP('Програма-кодове'!K29,Списък!$A$1:$C$209,3,FALSE)</f>
        <v>0</v>
      </c>
      <c r="G98" s="21">
        <f>VLOOKUP('Програма-кодове'!K36,Списък!$A$1:$C$209,3,FALSE)</f>
        <v>0</v>
      </c>
    </row>
    <row r="99" spans="1:18" ht="12.75" customHeight="1" thickBot="1">
      <c r="A99" s="124"/>
    </row>
    <row r="100" spans="1:18" ht="12.75" customHeight="1" thickTop="1">
      <c r="A100" s="114"/>
      <c r="B100" s="115"/>
      <c r="C100" s="116" t="s">
        <v>24</v>
      </c>
      <c r="D100" s="116" t="s">
        <v>25</v>
      </c>
      <c r="E100" s="116" t="s">
        <v>26</v>
      </c>
      <c r="F100" s="116" t="s">
        <v>130</v>
      </c>
      <c r="G100" s="116" t="s">
        <v>28</v>
      </c>
    </row>
    <row r="101" spans="1:18" ht="12.75" customHeight="1">
      <c r="A101" s="397" t="s">
        <v>138</v>
      </c>
      <c r="B101" s="43">
        <v>1</v>
      </c>
      <c r="C101" s="21" t="str">
        <f>VLOOKUP('Програма-кодове'!L2,Списък!$A$1:$C$210,3,FALSE)</f>
        <v>бълг. език</v>
      </c>
      <c r="D101" s="21" t="str">
        <f>VLOOKUP('Програма-кодове'!L9,Списък!$A$1:$C$210,3,FALSE)</f>
        <v>история</v>
      </c>
      <c r="E101" s="21" t="str">
        <f>VLOOKUP('Програма-кодове'!L16,Списък!$A$1:$C$209,3,FALSE)</f>
        <v>информатика</v>
      </c>
      <c r="F101" s="21" t="str">
        <f>VLOOKUP('Програма-кодове'!L23,Списък!$A$1:$C$209,3,FALSE)</f>
        <v>физкултура</v>
      </c>
      <c r="G101" s="21" t="str">
        <f>VLOOKUP('Програма-кодове'!L30,Списък!$A$1:$C$209,3,FALSE)</f>
        <v>рисуване</v>
      </c>
    </row>
    <row r="102" spans="1:18" ht="12.75" customHeight="1">
      <c r="A102" s="397"/>
      <c r="B102" s="43">
        <v>2</v>
      </c>
      <c r="C102" s="21" t="str">
        <f>VLOOKUP('Програма-кодове'!L3,Списък!$A$1:$C$210,3,FALSE)</f>
        <v>бълг. език</v>
      </c>
      <c r="D102" s="21" t="str">
        <f>VLOOKUP('Програма-кодове'!L10,Списък!$A$1:$C$210,3,FALSE)</f>
        <v>математика</v>
      </c>
      <c r="E102" s="21" t="str">
        <f>VLOOKUP('Програма-кодове'!L17,Списък!$A$1:$C$209,3,FALSE)</f>
        <v>история</v>
      </c>
      <c r="F102" s="21" t="str">
        <f>VLOOKUP('Програма-кодове'!L24,Списък!$A$1:$C$209,3,FALSE)</f>
        <v>физика</v>
      </c>
      <c r="G102" s="21" t="str">
        <f>VLOOKUP('Програма-кодове'!L31,Списък!$A$1:$C$209,3,FALSE)</f>
        <v>философия</v>
      </c>
    </row>
    <row r="103" spans="1:18" ht="12.75" customHeight="1">
      <c r="A103" s="397"/>
      <c r="B103" s="43">
        <v>3</v>
      </c>
      <c r="C103" s="21" t="str">
        <f>VLOOKUP('Програма-кодове'!L4,Списък!$A$1:$C$210,3,FALSE)</f>
        <v>химия</v>
      </c>
      <c r="D103" s="21" t="str">
        <f>VLOOKUP('Програма-кодове'!L11,Списък!$A$1:$C$210,3,FALSE)</f>
        <v>математика</v>
      </c>
      <c r="E103" s="21" t="str">
        <f>VLOOKUP('Програма-кодове'!L18,Списък!$A$1:$C$209,3,FALSE)</f>
        <v>математика</v>
      </c>
      <c r="F103" s="21" t="str">
        <f>VLOOKUP('Програма-кодове'!L25,Списък!$A$1:$C$209,3,FALSE)</f>
        <v>химия</v>
      </c>
      <c r="G103" s="21" t="str">
        <f>VLOOKUP('Програма-кодове'!L32,Списък!$A$1:$C$209,3,FALSE)</f>
        <v>бълг. език</v>
      </c>
    </row>
    <row r="104" spans="1:18" ht="12.75" customHeight="1">
      <c r="A104" s="397"/>
      <c r="B104" s="43">
        <v>4</v>
      </c>
      <c r="C104" s="21" t="str">
        <f>VLOOKUP('Програма-кодове'!L5,Списък!$A$1:$C$210,3,FALSE)</f>
        <v>география</v>
      </c>
      <c r="D104" s="21" t="str">
        <f>VLOOKUP('Програма-кодове'!L12,Списък!$A$1:$C$210,3,FALSE)</f>
        <v>биология</v>
      </c>
      <c r="E104" s="21" t="str">
        <f>VLOOKUP('Програма-кодове'!L19,Списък!$A$1:$C$209,3,FALSE)</f>
        <v>английски език</v>
      </c>
      <c r="F104" s="21" t="str">
        <f>VLOOKUP('Програма-кодове'!L26,Списък!$A$1:$C$209,3,FALSE)</f>
        <v>география</v>
      </c>
      <c r="G104" s="21" t="str">
        <f>VLOOKUP('Програма-кодове'!L33,Списък!$A$1:$C$209,3,FALSE)</f>
        <v>английски език</v>
      </c>
    </row>
    <row r="105" spans="1:18" ht="12.75" customHeight="1">
      <c r="A105" s="397"/>
      <c r="B105" s="43">
        <v>5</v>
      </c>
      <c r="C105" s="21" t="str">
        <f>VLOOKUP('Програма-кодове'!L6,Списък!$A$1:$C$210,3,FALSE)</f>
        <v>история</v>
      </c>
      <c r="D105" s="21" t="str">
        <f>VLOOKUP('Програма-кодове'!L13,Списък!$A$1:$C$210,3,FALSE)</f>
        <v>английски език</v>
      </c>
      <c r="E105" s="21" t="str">
        <f>VLOOKUP('Програма-кодове'!L20,Списък!$A$1:$C$209,3,FALSE)</f>
        <v>английски език</v>
      </c>
      <c r="F105" s="21" t="str">
        <f>VLOOKUP('Програма-кодове'!L27,Списък!$A$1:$C$209,3,FALSE)</f>
        <v>биология</v>
      </c>
      <c r="G105" s="21" t="str">
        <f>VLOOKUP('Програма-кодове'!L34,Списък!$A$1:$C$209,3,FALSE)</f>
        <v>биология</v>
      </c>
    </row>
    <row r="106" spans="1:18" ht="12.75" customHeight="1">
      <c r="A106" s="397"/>
      <c r="B106" s="43">
        <v>6</v>
      </c>
      <c r="C106" s="21" t="str">
        <f>VLOOKUP('Програма-кодове'!L7,Списък!$A$1:$C$210,3,FALSE)</f>
        <v>ІІ - ри чужд език</v>
      </c>
      <c r="D106" s="21" t="str">
        <f>VLOOKUP('Програма-кодове'!L14,Списък!$A$1:$C$210,3,FALSE)</f>
        <v>физика</v>
      </c>
      <c r="E106" s="21" t="str">
        <f>VLOOKUP('Програма-кодове'!L21,Списък!$A$1:$C$209,3,FALSE)</f>
        <v>физика</v>
      </c>
      <c r="F106" s="21" t="str">
        <f>VLOOKUP('Програма-кодове'!L28,Списък!$A$1:$C$209,3,FALSE)</f>
        <v>математика</v>
      </c>
      <c r="G106" s="21" t="str">
        <f>VLOOKUP('Програма-кодове'!L35,Списък!$A$1:$C$209,3,FALSE)</f>
        <v>история</v>
      </c>
    </row>
    <row r="107" spans="1:18" s="43" customFormat="1" ht="12.75" customHeight="1">
      <c r="A107" s="397"/>
      <c r="B107" s="43">
        <v>7</v>
      </c>
      <c r="C107" s="21" t="str">
        <f>VLOOKUP('Програма-кодове'!L8,Списък!$A$1:$C$210,3,FALSE)</f>
        <v>ІІ - ри чужд език</v>
      </c>
      <c r="D107" s="21" t="str">
        <f>VLOOKUP('Програма-кодове'!L15,Списък!$A$1:$C$210,3,FALSE)</f>
        <v>физкултура</v>
      </c>
      <c r="E107" s="21" t="s">
        <v>59</v>
      </c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</row>
    <row r="108" spans="1:18" s="43" customFormat="1" ht="12.75" customHeight="1" thickBot="1">
      <c r="A108" s="124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</row>
    <row r="109" spans="1:18" ht="12.75" customHeight="1" thickTop="1">
      <c r="A109" s="114"/>
      <c r="B109" s="115"/>
      <c r="C109" s="116" t="s">
        <v>24</v>
      </c>
      <c r="D109" s="116" t="s">
        <v>25</v>
      </c>
      <c r="E109" s="116" t="s">
        <v>26</v>
      </c>
      <c r="F109" s="116" t="s">
        <v>130</v>
      </c>
      <c r="G109" s="116" t="s">
        <v>28</v>
      </c>
    </row>
    <row r="110" spans="1:18" ht="12.75" customHeight="1">
      <c r="A110" s="397" t="s">
        <v>139</v>
      </c>
      <c r="B110" s="43">
        <v>1</v>
      </c>
      <c r="C110" s="21" t="str">
        <f>VLOOKUP('Програма-кодове'!M2,Списък!$A$1:$C$210,3,FALSE)</f>
        <v>география</v>
      </c>
      <c r="D110" s="21" t="str">
        <f>VLOOKUP('Програма-кодове'!M9,Списък!$A$1:$C$210,3,FALSE)</f>
        <v>биология</v>
      </c>
      <c r="E110" s="21" t="str">
        <f>VLOOKUP('Програма-кодове'!M16,Списък!$A$1:$C$209,3,FALSE)</f>
        <v>философия</v>
      </c>
      <c r="F110" s="21" t="str">
        <f>VLOOKUP('Програма-кодове'!M23,Списък!$A$1:$C$209,3,FALSE)</f>
        <v>физика</v>
      </c>
      <c r="G110" s="21" t="str">
        <f>VLOOKUP('Програма-кодове'!M30,Списък!$A$1:$C$209,3,FALSE)</f>
        <v>география</v>
      </c>
    </row>
    <row r="111" spans="1:18" ht="12.75" customHeight="1">
      <c r="A111" s="397"/>
      <c r="B111" s="43">
        <v>2</v>
      </c>
      <c r="C111" s="21" t="str">
        <f>VLOOKUP('Програма-кодове'!M3,Списък!$A$1:$C$210,3,FALSE)</f>
        <v>математика</v>
      </c>
      <c r="D111" s="21" t="str">
        <f>VLOOKUP('Програма-кодове'!M10,Списък!$A$1:$C$210,3,FALSE)</f>
        <v>история</v>
      </c>
      <c r="E111" s="21" t="str">
        <f>VLOOKUP('Програма-кодове'!M17,Списък!$A$1:$C$209,3,FALSE)</f>
        <v>физика</v>
      </c>
      <c r="F111" s="21" t="str">
        <f>VLOOKUP('Програма-кодове'!M24,Списък!$A$1:$C$209,3,FALSE)</f>
        <v>химия</v>
      </c>
      <c r="G111" s="21" t="str">
        <f>VLOOKUP('Програма-кодове'!M31,Списък!$A$1:$C$209,3,FALSE)</f>
        <v>бълг. език</v>
      </c>
    </row>
    <row r="112" spans="1:18" ht="12.75" customHeight="1">
      <c r="A112" s="397"/>
      <c r="B112" s="43">
        <v>3</v>
      </c>
      <c r="C112" s="21" t="str">
        <f>VLOOKUP('Програма-кодове'!M4,Списък!$A$1:$C$210,3,FALSE)</f>
        <v>английски език</v>
      </c>
      <c r="D112" s="21" t="str">
        <f>VLOOKUP('Програма-кодове'!M11,Списък!$A$1:$C$210,3,FALSE)</f>
        <v>физкултура</v>
      </c>
      <c r="E112" s="21" t="str">
        <f>VLOOKUP('Програма-кодове'!M18,Списък!$A$1:$C$209,3,FALSE)</f>
        <v>английски език</v>
      </c>
      <c r="F112" s="21" t="str">
        <f>VLOOKUP('Програма-кодове'!M25,Списък!$A$1:$C$209,3,FALSE)</f>
        <v>рисуване</v>
      </c>
      <c r="G112" s="21" t="str">
        <f>VLOOKUP('Програма-кодове'!M32,Списък!$A$1:$C$209,3,FALSE)</f>
        <v>история</v>
      </c>
    </row>
    <row r="113" spans="1:17" ht="12.75" customHeight="1">
      <c r="A113" s="397"/>
      <c r="B113" s="43">
        <v>4</v>
      </c>
      <c r="C113" s="21" t="str">
        <f>VLOOKUP('Програма-кодове'!M5,Списък!$A$1:$C$210,3,FALSE)</f>
        <v>история</v>
      </c>
      <c r="D113" s="21" t="str">
        <f>VLOOKUP('Програма-кодове'!M12,Списък!$A$1:$C$210,3,FALSE)</f>
        <v>физика</v>
      </c>
      <c r="E113" s="21" t="str">
        <f>VLOOKUP('Програма-кодове'!M19,Списък!$A$1:$C$209,3,FALSE)</f>
        <v>история</v>
      </c>
      <c r="F113" s="21" t="str">
        <f>VLOOKUP('Програма-кодове'!M26,Списък!$A$1:$C$209,3,FALSE)</f>
        <v>английски език</v>
      </c>
      <c r="G113" s="21" t="str">
        <f>VLOOKUP('Програма-кодове'!M33,Списък!$A$1:$C$209,3,FALSE)</f>
        <v>физкултура</v>
      </c>
    </row>
    <row r="114" spans="1:17" ht="12.75" customHeight="1">
      <c r="A114" s="397"/>
      <c r="B114" s="43">
        <v>5</v>
      </c>
      <c r="C114" s="21" t="str">
        <f>VLOOKUP('Програма-кодове'!M6,Списък!$A$1:$C$210,3,FALSE)</f>
        <v>химия</v>
      </c>
      <c r="D114" s="21" t="str">
        <f>VLOOKUP('Програма-кодове'!M13,Списък!$A$1:$C$210,3,FALSE)</f>
        <v>информатика</v>
      </c>
      <c r="E114" s="21" t="str">
        <f>VLOOKUP('Програма-кодове'!M20,Списък!$A$1:$C$209,3,FALSE)</f>
        <v>математика</v>
      </c>
      <c r="F114" s="21" t="str">
        <f>VLOOKUP('Програма-кодове'!M27,Списък!$A$1:$C$209,3,FALSE)</f>
        <v>английски език</v>
      </c>
      <c r="G114" s="21" t="str">
        <f>VLOOKUP('Програма-кодове'!M34,Списък!$A$1:$C$209,3,FALSE)</f>
        <v>информатика</v>
      </c>
    </row>
    <row r="115" spans="1:17" ht="12.75" customHeight="1">
      <c r="A115" s="397"/>
      <c r="B115" s="43">
        <v>6</v>
      </c>
      <c r="C115" s="306" t="str">
        <f>VLOOKUP('Програма-кодове'!L7,Списък!$A$1:$C$210,3,FALSE)</f>
        <v>ІІ - ри чужд език</v>
      </c>
      <c r="D115" s="21" t="str">
        <f>VLOOKUP('Програма-кодове'!M14,Списък!$A$1:$C$210,3,FALSE)</f>
        <v>бълг. език</v>
      </c>
      <c r="E115" s="21" t="str">
        <f>VLOOKUP('Програма-кодове'!M21,Списък!$A$1:$C$209,3,FALSE)</f>
        <v>математика</v>
      </c>
      <c r="F115" s="21" t="str">
        <f>VLOOKUP('Програма-кодове'!M28,Списък!$A$1:$C$209,3,FALSE)</f>
        <v>биология</v>
      </c>
      <c r="G115" s="21" t="str">
        <f>VLOOKUP('Програма-кодове'!M35,Списък!$A$1:$C$209,3,FALSE)</f>
        <v>биология</v>
      </c>
    </row>
    <row r="116" spans="1:17" ht="12.75" customHeight="1">
      <c r="A116" s="397"/>
      <c r="B116" s="43">
        <v>7</v>
      </c>
      <c r="C116" s="306" t="str">
        <f>VLOOKUP('Програма-кодове'!L8,Списък!$A$1:$C$210,3,FALSE)</f>
        <v>ІІ - ри чужд език</v>
      </c>
      <c r="D116" s="21" t="str">
        <f>VLOOKUP('Програма-кодове'!M15,Списък!$A$1:$C$210,3,FALSE)</f>
        <v>бълг. език</v>
      </c>
      <c r="E116" s="21" t="s">
        <v>59</v>
      </c>
    </row>
    <row r="117" spans="1:17" ht="12.75" customHeight="1" thickBot="1">
      <c r="A117" s="124"/>
    </row>
    <row r="118" spans="1:17" ht="12.75" customHeight="1" thickTop="1">
      <c r="A118" s="114"/>
      <c r="B118" s="115"/>
      <c r="C118" s="116" t="s">
        <v>24</v>
      </c>
      <c r="D118" s="116" t="s">
        <v>25</v>
      </c>
      <c r="E118" s="116" t="s">
        <v>26</v>
      </c>
      <c r="F118" s="116" t="s">
        <v>130</v>
      </c>
      <c r="G118" s="116" t="s">
        <v>28</v>
      </c>
    </row>
    <row r="119" spans="1:17" ht="12.75" customHeight="1">
      <c r="A119" s="397" t="s">
        <v>140</v>
      </c>
      <c r="B119" s="43">
        <v>1</v>
      </c>
      <c r="C119" s="21" t="str">
        <f>VLOOKUP('Програма-кодове'!N2,Списък!$A$1:$C$210,3,FALSE)</f>
        <v>английски език</v>
      </c>
      <c r="D119" s="21" t="str">
        <f>VLOOKUP('Програма-кодове'!N9,Списък!$A$1:$C$210,3,FALSE)</f>
        <v>физкултура</v>
      </c>
      <c r="E119" s="21" t="str">
        <f>VLOOKUP('Програма-кодове'!N16,Списък!$A$1:$C$209,3,FALSE)</f>
        <v>математика</v>
      </c>
      <c r="F119" s="21" t="str">
        <f>VLOOKUP('Програма-кодове'!N23,Списък!$A$1:$C$209,3,FALSE)</f>
        <v>бълг. език</v>
      </c>
      <c r="G119" s="21" t="str">
        <f>VLOOKUP('Програма-кодове'!N30,Списък!$A$1:$C$209,3,FALSE)</f>
        <v>английски език</v>
      </c>
    </row>
    <row r="120" spans="1:17" ht="12.75" customHeight="1">
      <c r="A120" s="397"/>
      <c r="B120" s="43">
        <v>2</v>
      </c>
      <c r="C120" s="21" t="str">
        <f>VLOOKUP('Програма-кодове'!N3,Списък!$A$1:$C$210,3,FALSE)</f>
        <v>биология</v>
      </c>
      <c r="D120" s="21" t="str">
        <f>VLOOKUP('Програма-кодове'!N10,Списък!$A$1:$C$210,3,FALSE)</f>
        <v>биология</v>
      </c>
      <c r="E120" s="21" t="str">
        <f>VLOOKUP('Програма-кодове'!N17,Списък!$A$1:$C$209,3,FALSE)</f>
        <v>английски език</v>
      </c>
      <c r="F120" s="21" t="str">
        <f>VLOOKUP('Програма-кодове'!N24,Списък!$A$1:$C$209,3,FALSE)</f>
        <v>физкултура</v>
      </c>
      <c r="G120" s="21" t="str">
        <f>VLOOKUP('Програма-кодове'!N31,Списък!$A$1:$C$209,3,FALSE)</f>
        <v>английски език</v>
      </c>
    </row>
    <row r="121" spans="1:17" ht="12.75" customHeight="1">
      <c r="A121" s="397"/>
      <c r="B121" s="43">
        <v>3</v>
      </c>
      <c r="C121" s="21" t="str">
        <f>VLOOKUP('Програма-кодове'!N4,Списък!$A$1:$C$210,3,FALSE)</f>
        <v>физика</v>
      </c>
      <c r="D121" s="21" t="str">
        <f>VLOOKUP('Програма-кодове'!N11,Списък!$A$1:$C$210,3,FALSE)</f>
        <v>бълг. език</v>
      </c>
      <c r="E121" s="21" t="str">
        <f>VLOOKUP('Програма-кодове'!N18,Списък!$A$1:$C$209,3,FALSE)</f>
        <v>философия</v>
      </c>
      <c r="F121" s="21" t="str">
        <f>VLOOKUP('Програма-кодове'!N25,Списък!$A$1:$C$209,3,FALSE)</f>
        <v>история</v>
      </c>
      <c r="G121" s="21" t="str">
        <f>VLOOKUP('Програма-кодове'!N32,Списък!$A$1:$C$209,3,FALSE)</f>
        <v>история</v>
      </c>
    </row>
    <row r="122" spans="1:17" ht="12.75" customHeight="1">
      <c r="A122" s="397"/>
      <c r="B122" s="43">
        <v>4</v>
      </c>
      <c r="C122" s="21" t="str">
        <f>VLOOKUP('Програма-кодове'!N5,Списък!$A$1:$C$210,3,FALSE)</f>
        <v>математика</v>
      </c>
      <c r="D122" s="21" t="str">
        <f>VLOOKUP('Програма-кодове'!N12,Списък!$A$1:$C$210,3,FALSE)</f>
        <v>бълг. език</v>
      </c>
      <c r="E122" s="21" t="str">
        <f>VLOOKUP('Програма-кодове'!N19,Списък!$A$1:$C$209,3,FALSE)</f>
        <v>история</v>
      </c>
      <c r="F122" s="21" t="str">
        <f>VLOOKUP('Програма-кодове'!N26,Списък!$A$1:$C$209,3,FALSE)</f>
        <v>биология</v>
      </c>
      <c r="G122" s="21" t="str">
        <f>VLOOKUP('Програма-кодове'!N33,Списък!$A$1:$C$209,3,FALSE)</f>
        <v>география</v>
      </c>
    </row>
    <row r="123" spans="1:17" ht="12.75" customHeight="1">
      <c r="A123" s="397"/>
      <c r="B123" s="43">
        <v>5</v>
      </c>
      <c r="C123" s="21" t="str">
        <f>VLOOKUP('Програма-кодове'!N6,Списък!$A$1:$C$210,3,FALSE)</f>
        <v>география</v>
      </c>
      <c r="D123" s="21" t="str">
        <f>VLOOKUP('Програма-кодове'!N13,Списък!$A$1:$C$210,3,FALSE)</f>
        <v>физика</v>
      </c>
      <c r="E123" s="21" t="str">
        <f>VLOOKUP('Програма-кодове'!N20,Списък!$A$1:$C$209,3,FALSE)</f>
        <v>химия</v>
      </c>
      <c r="F123" s="21" t="str">
        <f>VLOOKUP('Програма-кодове'!N27,Списък!$A$1:$C$209,3,FALSE)</f>
        <v>химия</v>
      </c>
      <c r="G123" s="21" t="str">
        <f>VLOOKUP('Програма-кодове'!N34,Списък!$A$1:$C$209,3,FALSE)</f>
        <v>физика</v>
      </c>
    </row>
    <row r="124" spans="1:17" ht="12.75" customHeight="1">
      <c r="A124" s="397"/>
      <c r="B124" s="43">
        <v>6</v>
      </c>
      <c r="C124" s="306" t="str">
        <f>VLOOKUP('Програма-кодове'!L7,Списък!$A$1:$C$210,3,FALSE)</f>
        <v>ІІ - ри чужд език</v>
      </c>
      <c r="D124" s="21" t="str">
        <f>VLOOKUP('Програма-кодове'!N14,Списък!$A$1:$C$210,3,FALSE)</f>
        <v>информатика</v>
      </c>
      <c r="E124" s="21" t="str">
        <f>VLOOKUP('Програма-кодове'!N21,Списък!$A$1:$C$209,3,FALSE)</f>
        <v>рисуване</v>
      </c>
      <c r="F124" s="21" t="str">
        <f>VLOOKUP('Програма-кодове'!N28,Списък!$A$1:$C$209,3,FALSE)</f>
        <v>математика</v>
      </c>
      <c r="G124" s="21" t="str">
        <f>VLOOKUP('Програма-кодове'!N35,Списък!$A$1:$C$209,3,FALSE)</f>
        <v>информатика</v>
      </c>
    </row>
    <row r="125" spans="1:17" ht="12.75" customHeight="1">
      <c r="A125" s="397"/>
      <c r="B125" s="43">
        <v>7</v>
      </c>
      <c r="C125" s="306" t="str">
        <f>VLOOKUP('Програма-кодове'!L8,Списък!$A$1:$C$210,3,FALSE)</f>
        <v>ІІ - ри чужд език</v>
      </c>
      <c r="D125" s="21" t="str">
        <f>VLOOKUP('Програма-кодове'!N15,Списък!$A$1:$C$210,3,FALSE)</f>
        <v>история</v>
      </c>
      <c r="E125" s="21" t="s">
        <v>59</v>
      </c>
      <c r="F125" s="21">
        <f>VLOOKUP('Програма-кодове'!N29,Списък!$A$1:$C$209,3,FALSE)</f>
        <v>0</v>
      </c>
      <c r="G125" s="21">
        <f>VLOOKUP('Програма-кодове'!N36,Списък!$A$1:$C$209,3,FALSE)</f>
        <v>0</v>
      </c>
    </row>
    <row r="126" spans="1:17" ht="12.75" customHeight="1" thickBot="1">
      <c r="A126" s="124"/>
    </row>
    <row r="127" spans="1:17" ht="12.75" customHeight="1" thickTop="1">
      <c r="A127" s="114"/>
      <c r="B127" s="115"/>
      <c r="C127" s="116" t="s">
        <v>24</v>
      </c>
      <c r="D127" s="116" t="s">
        <v>25</v>
      </c>
      <c r="E127" s="116" t="s">
        <v>26</v>
      </c>
      <c r="F127" s="116" t="s">
        <v>130</v>
      </c>
      <c r="G127" s="116" t="s">
        <v>28</v>
      </c>
    </row>
    <row r="128" spans="1:17" s="43" customFormat="1" ht="12.75" customHeight="1">
      <c r="A128" s="397" t="s">
        <v>141</v>
      </c>
      <c r="B128" s="43">
        <v>1</v>
      </c>
      <c r="C128" s="21" t="str">
        <f>VLOOKUP('Програма-кодове'!O2,Списък!$A$1:$C$210,3,FALSE)</f>
        <v>физкултура</v>
      </c>
      <c r="D128" s="21" t="str">
        <f>VLOOKUP('Програма-кодове'!O9,Списък!$A$1:$C$210,3,FALSE)</f>
        <v>физика</v>
      </c>
      <c r="E128" s="21" t="str">
        <f>VLOOKUP('Програма-кодове'!O16,Списък!$A$1:$C$209,3,FALSE)</f>
        <v>английски език</v>
      </c>
      <c r="F128" s="21" t="str">
        <f>VLOOKUP('Програма-кодове'!O23,Списък!$A$1:$C$209,3,FALSE)</f>
        <v>биология</v>
      </c>
      <c r="G128" s="21" t="str">
        <f>VLOOKUP('Програма-кодове'!O30,Списък!$A$1:$C$209,3,FALSE)</f>
        <v>бълг. език</v>
      </c>
      <c r="H128" s="21"/>
      <c r="I128" s="21"/>
      <c r="J128" s="21"/>
      <c r="K128" s="21"/>
      <c r="L128" s="21"/>
      <c r="M128" s="21"/>
      <c r="N128" s="21"/>
      <c r="O128" s="21"/>
      <c r="P128" s="21"/>
      <c r="Q128" s="21"/>
    </row>
    <row r="129" spans="1:17" ht="12.75" customHeight="1">
      <c r="A129" s="397"/>
      <c r="B129" s="43">
        <v>2</v>
      </c>
      <c r="C129" s="21" t="str">
        <f>VLOOKUP('Програма-кодове'!O3,Списък!$A$1:$C$210,3,FALSE)</f>
        <v>история</v>
      </c>
      <c r="D129" s="21" t="str">
        <f>VLOOKUP('Програма-кодове'!O10,Списък!$A$1:$C$210,3,FALSE)</f>
        <v>физкултура</v>
      </c>
      <c r="E129" s="21" t="str">
        <f>VLOOKUP('Програма-кодове'!O17,Списък!$A$1:$C$209,3,FALSE)</f>
        <v>философия</v>
      </c>
      <c r="F129" s="21" t="str">
        <f>VLOOKUP('Програма-кодове'!O24,Списък!$A$1:$C$209,3,FALSE)</f>
        <v>математика</v>
      </c>
      <c r="G129" s="21" t="str">
        <f>VLOOKUP('Програма-кодове'!O31,Списък!$A$1:$C$209,3,FALSE)</f>
        <v>история</v>
      </c>
    </row>
    <row r="130" spans="1:17" ht="12.75" customHeight="1">
      <c r="A130" s="397"/>
      <c r="B130" s="43">
        <v>3</v>
      </c>
      <c r="C130" s="21" t="str">
        <f>VLOOKUP('Програма-кодове'!O4,Списък!$A$1:$C$210,3,FALSE)</f>
        <v>химия</v>
      </c>
      <c r="D130" s="21" t="str">
        <f>VLOOKUP('Програма-кодове'!O11,Списък!$A$1:$C$210,3,FALSE)</f>
        <v>биология</v>
      </c>
      <c r="E130" s="21" t="str">
        <f>VLOOKUP('Програма-кодове'!O18,Списък!$A$1:$C$209,3,FALSE)</f>
        <v>физика</v>
      </c>
      <c r="F130" s="21" t="str">
        <f>VLOOKUP('Програма-кодове'!O25,Списък!$A$1:$C$209,3,FALSE)</f>
        <v>ІІ - ри чужд език</v>
      </c>
      <c r="G130" s="21" t="str">
        <f>VLOOKUP('Програма-кодове'!O32,Списък!$A$1:$C$209,3,FALSE)</f>
        <v>физика</v>
      </c>
    </row>
    <row r="131" spans="1:17" ht="12.75" customHeight="1">
      <c r="A131" s="397"/>
      <c r="B131" s="43">
        <v>4</v>
      </c>
      <c r="C131" s="21" t="str">
        <f>VLOOKUP('Програма-кодове'!O5,Списък!$A$1:$C$210,3,FALSE)</f>
        <v>биология</v>
      </c>
      <c r="D131" s="21" t="str">
        <f>VLOOKUP('Програма-кодове'!O12,Списък!$A$1:$C$210,3,FALSE)</f>
        <v>география</v>
      </c>
      <c r="E131" s="21" t="str">
        <f>VLOOKUP('Програма-кодове'!O19,Списък!$A$1:$C$209,3,FALSE)</f>
        <v>математика</v>
      </c>
      <c r="F131" s="21" t="str">
        <f>VLOOKUP('Програма-кодове'!O26,Списък!$A$1:$C$209,3,FALSE)</f>
        <v>ІІ - ри чужд език</v>
      </c>
      <c r="G131" s="21" t="str">
        <f>VLOOKUP('Програма-кодове'!O33,Списък!$A$1:$C$209,3,FALSE)</f>
        <v>информатика</v>
      </c>
    </row>
    <row r="132" spans="1:17" ht="12.75" customHeight="1">
      <c r="A132" s="397"/>
      <c r="B132" s="43">
        <v>5</v>
      </c>
      <c r="C132" s="21" t="str">
        <f>VLOOKUP('Програма-кодове'!O6,Списък!$A$1:$C$210,3,FALSE)</f>
        <v>математика</v>
      </c>
      <c r="D132" s="21" t="str">
        <f>VLOOKUP('Програма-кодове'!O13,Списък!$A$1:$C$210,3,FALSE)</f>
        <v>история</v>
      </c>
      <c r="E132" s="21" t="str">
        <f>VLOOKUP('Програма-кодове'!O20,Списък!$A$1:$C$209,3,FALSE)</f>
        <v>рисуване</v>
      </c>
      <c r="F132" s="21" t="str">
        <f>VLOOKUP('Програма-кодове'!O27,Списък!$A$1:$C$209,3,FALSE)</f>
        <v>химия</v>
      </c>
      <c r="G132" s="21" t="str">
        <f>VLOOKUP('Програма-кодове'!O34,Списък!$A$1:$C$209,3,FALSE)</f>
        <v>английски език</v>
      </c>
    </row>
    <row r="133" spans="1:17" ht="12.75" customHeight="1">
      <c r="A133" s="397"/>
      <c r="B133" s="43">
        <v>6</v>
      </c>
      <c r="C133" s="21" t="str">
        <f>VLOOKUP('Програма-кодове'!O7,Списък!$A$1:$C$210,3,FALSE)</f>
        <v>бълг. език</v>
      </c>
      <c r="D133" s="21" t="str">
        <f>VLOOKUP('Програма-кодове'!O14,Списък!$A$1:$C$210,3,FALSE)</f>
        <v>английски език</v>
      </c>
      <c r="E133" s="21" t="str">
        <f>VLOOKUP('Програма-кодове'!O21,Списък!$A$1:$C$209,3,FALSE)</f>
        <v>история</v>
      </c>
      <c r="F133" s="21" t="str">
        <f>VLOOKUP('Програма-кодове'!O28,Списък!$A$1:$C$209,3,FALSE)</f>
        <v>география</v>
      </c>
      <c r="G133" s="21" t="str">
        <f>VLOOKUP('Програма-кодове'!O35,Списък!$A$1:$C$209,3,FALSE)</f>
        <v>английски език</v>
      </c>
    </row>
    <row r="134" spans="1:17" ht="12.75" customHeight="1">
      <c r="A134" s="397"/>
      <c r="B134" s="43">
        <v>7</v>
      </c>
      <c r="C134" s="21" t="str">
        <f>VLOOKUP('Програма-кодове'!O8,Списък!$A$1:$C$210,3,FALSE)</f>
        <v>бълг. език</v>
      </c>
      <c r="D134" s="21" t="str">
        <f>VLOOKUP('Програма-кодове'!O15,Списък!$A$1:$C$210,3,FALSE)</f>
        <v>математика</v>
      </c>
      <c r="E134" s="21" t="s">
        <v>59</v>
      </c>
      <c r="F134" s="21">
        <f>VLOOKUP('Програма-кодове'!O29,Списък!$A$1:$C$209,3,FALSE)</f>
        <v>0</v>
      </c>
      <c r="G134" s="21">
        <f>VLOOKUP('Програма-кодове'!O36,Списък!$A$1:$C$209,3,FALSE)</f>
        <v>0</v>
      </c>
    </row>
    <row r="135" spans="1:17" ht="12.75" customHeight="1" thickBot="1">
      <c r="A135" s="124"/>
    </row>
    <row r="136" spans="1:17" ht="12.75" customHeight="1" thickTop="1">
      <c r="A136" s="114"/>
      <c r="B136" s="115"/>
      <c r="C136" s="116" t="s">
        <v>24</v>
      </c>
      <c r="D136" s="116" t="s">
        <v>25</v>
      </c>
      <c r="E136" s="116" t="s">
        <v>26</v>
      </c>
      <c r="F136" s="116" t="s">
        <v>130</v>
      </c>
      <c r="G136" s="116" t="s">
        <v>28</v>
      </c>
    </row>
    <row r="137" spans="1:17" ht="12.75" customHeight="1">
      <c r="A137" s="397" t="s">
        <v>142</v>
      </c>
      <c r="B137" s="43">
        <v>1</v>
      </c>
      <c r="C137" s="21" t="str">
        <f>VLOOKUP('Програма-кодове'!P2,Списък!$A$1:$C$210,3,FALSE)</f>
        <v>информатика</v>
      </c>
      <c r="D137" s="21" t="str">
        <f>VLOOKUP('Програма-кодове'!P9,Списък!$A$1:$C$209,3,FALSE)</f>
        <v>математика</v>
      </c>
      <c r="E137" s="21" t="str">
        <f>VLOOKUP('Програма-кодове'!P16,Списък!$A$1:$C$209,3,FALSE)</f>
        <v>химия</v>
      </c>
      <c r="F137" s="21" t="str">
        <f>VLOOKUP('Програма-кодове'!P23,Списък!$A$1:$C$209,3,FALSE)</f>
        <v>математика</v>
      </c>
      <c r="G137" s="21" t="str">
        <f>VLOOKUP('Програма-кодове'!P30,Списък!$A$1:$C$209,3,FALSE)</f>
        <v>английски език</v>
      </c>
    </row>
    <row r="138" spans="1:17" s="43" customFormat="1" ht="12.75" customHeight="1">
      <c r="A138" s="397"/>
      <c r="B138" s="43">
        <v>2</v>
      </c>
      <c r="C138" s="21" t="str">
        <f>VLOOKUP('Програма-кодове'!P3,Списък!$A$1:$C$210,3,FALSE)</f>
        <v>математика</v>
      </c>
      <c r="D138" s="21" t="str">
        <f>VLOOKUP('Програма-кодове'!P10,Списък!$A$1:$C$209,3,FALSE)</f>
        <v>информатика</v>
      </c>
      <c r="E138" s="21" t="str">
        <f>VLOOKUP('Програма-кодове'!P17,Списък!$A$1:$C$209,3,FALSE)</f>
        <v>история</v>
      </c>
      <c r="F138" s="21" t="str">
        <f>VLOOKUP('Програма-кодове'!P24,Списък!$A$1:$C$209,3,FALSE)</f>
        <v>информатика</v>
      </c>
      <c r="G138" s="21" t="str">
        <f>VLOOKUP('Програма-кодове'!P31,Списък!$A$1:$C$209,3,FALSE)</f>
        <v>физика</v>
      </c>
      <c r="H138" s="21"/>
      <c r="I138" s="21"/>
      <c r="J138" s="21"/>
      <c r="K138" s="21"/>
      <c r="L138" s="21"/>
      <c r="M138" s="21"/>
      <c r="N138" s="21"/>
      <c r="O138" s="21"/>
      <c r="P138" s="21"/>
      <c r="Q138" s="21"/>
    </row>
    <row r="139" spans="1:17" ht="12.75" customHeight="1">
      <c r="A139" s="397"/>
      <c r="B139" s="43">
        <v>3</v>
      </c>
      <c r="C139" s="21" t="str">
        <f>VLOOKUP('Програма-кодове'!P4,Списък!$A$1:$C$210,3,FALSE)</f>
        <v>математика</v>
      </c>
      <c r="D139" s="21" t="str">
        <f>VLOOKUP('Програма-кодове'!P11,Списък!$A$1:$C$209,3,FALSE)</f>
        <v>физика</v>
      </c>
      <c r="E139" s="21" t="str">
        <f>VLOOKUP('Програма-кодове'!P18,Списък!$A$1:$C$209,3,FALSE)</f>
        <v>математика</v>
      </c>
      <c r="F139" s="21" t="str">
        <f>VLOOKUP('Програма-кодове'!P25,Списък!$A$1:$C$209,3,FALSE)</f>
        <v>история</v>
      </c>
      <c r="G139" s="21" t="str">
        <f>VLOOKUP('Програма-кодове'!P32,Списък!$A$1:$C$209,3,FALSE)</f>
        <v>физкултура</v>
      </c>
    </row>
    <row r="140" spans="1:17" ht="12.75" customHeight="1">
      <c r="A140" s="397"/>
      <c r="B140" s="43">
        <v>4</v>
      </c>
      <c r="C140" s="21" t="str">
        <f>VLOOKUP('Програма-кодове'!P5,Списък!$A$1:$C$210,3,FALSE)</f>
        <v>английски език</v>
      </c>
      <c r="D140" s="21" t="str">
        <f>VLOOKUP('Програма-кодове'!P12,Списък!$A$1:$C$209,3,FALSE)</f>
        <v>бълг. език</v>
      </c>
      <c r="E140" s="21" t="str">
        <f>VLOOKUP('Програма-кодове'!P19,Списък!$A$1:$C$209,3,FALSE)</f>
        <v>информатика</v>
      </c>
      <c r="F140" s="21" t="str">
        <f>VLOOKUP('Програма-кодове'!P26,Списък!$A$1:$C$209,3,FALSE)</f>
        <v>химия</v>
      </c>
      <c r="G140" s="21" t="str">
        <f>VLOOKUP('Програма-кодове'!P33,Списък!$A$1:$C$209,3,FALSE)</f>
        <v>математика</v>
      </c>
    </row>
    <row r="141" spans="1:17" ht="12.75" customHeight="1">
      <c r="A141" s="397"/>
      <c r="B141" s="43">
        <v>5</v>
      </c>
      <c r="C141" s="21" t="str">
        <f>VLOOKUP('Програма-кодове'!P6,Списък!$A$1:$C$210,3,FALSE)</f>
        <v>английски език</v>
      </c>
      <c r="D141" s="21" t="str">
        <f>VLOOKUP('Програма-кодове'!P13,Списък!$A$1:$C$209,3,FALSE)</f>
        <v>бълг. език</v>
      </c>
      <c r="E141" s="21" t="str">
        <f>VLOOKUP('Програма-кодове'!P20,Списък!$A$1:$C$209,3,FALSE)</f>
        <v>философия</v>
      </c>
      <c r="F141" s="21" t="str">
        <f>VLOOKUP('Програма-кодове'!P27,Списък!$A$1:$C$209,3,FALSE)</f>
        <v>ІІ - ри чужд език</v>
      </c>
      <c r="G141" s="21" t="str">
        <f>VLOOKUP('Програма-кодове'!P34,Списък!$A$1:$C$209,3,FALSE)</f>
        <v>бълг. език</v>
      </c>
    </row>
    <row r="142" spans="1:17" ht="12.75" customHeight="1">
      <c r="A142" s="397"/>
      <c r="B142" s="43">
        <v>6</v>
      </c>
      <c r="C142" s="21" t="str">
        <f>VLOOKUP('Програма-кодове'!P7,Списък!$A$1:$C$210,3,FALSE)</f>
        <v>география</v>
      </c>
      <c r="D142" s="21" t="str">
        <f>VLOOKUP('Програма-кодове'!P14,Списък!$A$1:$C$209,3,FALSE)</f>
        <v>физкултура</v>
      </c>
      <c r="E142" s="21" t="str">
        <f>VLOOKUP('Програма-кодове'!P21,Списък!$A$1:$C$209,3,FALSE)</f>
        <v>английски език</v>
      </c>
      <c r="F142" s="21" t="str">
        <f>VLOOKUP('Програма-кодове'!P28,Списък!$A$1:$C$209,3,FALSE)</f>
        <v>ІІ - ри чужд език</v>
      </c>
      <c r="G142" s="21" t="str">
        <f>VLOOKUP('Програма-кодове'!P35,Списък!$A$1:$C$209,3,FALSE)</f>
        <v>биология</v>
      </c>
    </row>
    <row r="143" spans="1:17" ht="12.75" customHeight="1">
      <c r="A143" s="397"/>
      <c r="B143" s="43">
        <v>7</v>
      </c>
      <c r="C143" s="21" t="str">
        <f>VLOOKUP('Програма-кодове'!P8,Списък!$A$1:$C$210,3,FALSE)</f>
        <v>биология</v>
      </c>
      <c r="D143" s="21" t="str">
        <f>VLOOKUP('Програма-кодове'!P15,Списък!$A$1:$C$209,3,FALSE)</f>
        <v>философия</v>
      </c>
      <c r="E143" s="21" t="s">
        <v>59</v>
      </c>
      <c r="F143" s="21">
        <f>VLOOKUP('Програма-кодове'!P29,Списък!$A$1:$C$209,3,FALSE)</f>
        <v>0</v>
      </c>
      <c r="G143" s="21">
        <f>VLOOKUP('Програма-кодове'!P36,Списък!$A$1:$C$209,3,FALSE)</f>
        <v>0</v>
      </c>
    </row>
    <row r="144" spans="1:17" ht="12.75" customHeight="1" thickBot="1">
      <c r="A144" s="124"/>
    </row>
    <row r="145" spans="1:18" ht="12.75" customHeight="1" thickTop="1">
      <c r="A145" s="114"/>
      <c r="B145" s="115"/>
      <c r="C145" s="116" t="s">
        <v>24</v>
      </c>
      <c r="D145" s="116" t="s">
        <v>25</v>
      </c>
      <c r="E145" s="116" t="s">
        <v>26</v>
      </c>
      <c r="F145" s="116" t="s">
        <v>130</v>
      </c>
      <c r="G145" s="116" t="s">
        <v>28</v>
      </c>
    </row>
    <row r="146" spans="1:18" ht="12.75" customHeight="1">
      <c r="A146" s="397" t="s">
        <v>143</v>
      </c>
      <c r="B146" s="43">
        <v>1</v>
      </c>
      <c r="C146" s="21" t="str">
        <f>VLOOKUP('Програма-кодове'!Q2,Списък!$A$1:$C$210,3,FALSE)</f>
        <v>история</v>
      </c>
      <c r="D146" s="21" t="str">
        <f>VLOOKUP('Програма-кодове'!Q9,Списък!$A$1:$C$209,3,FALSE)</f>
        <v>английски език</v>
      </c>
      <c r="E146" s="21" t="str">
        <f>VLOOKUP('Програма-кодове'!Q16,Списък!$A$1:$C$209,3,FALSE)</f>
        <v>английски език</v>
      </c>
      <c r="F146" s="21" t="str">
        <f>VLOOKUP('Програма-кодове'!Q23,Списък!$A$1:$C$209,3,FALSE)</f>
        <v>ІІ - ри чужд език</v>
      </c>
      <c r="G146" s="21" t="str">
        <f>VLOOKUP('Програма-кодове'!Q30,Списък!$A$1:$C$209,3,FALSE)</f>
        <v>информатика</v>
      </c>
    </row>
    <row r="147" spans="1:18" ht="12.75" customHeight="1">
      <c r="A147" s="397"/>
      <c r="B147" s="43">
        <v>2</v>
      </c>
      <c r="C147" s="21" t="str">
        <f>VLOOKUP('Програма-кодове'!Q3,Списък!$A$1:$C$210,3,FALSE)</f>
        <v>бълг. език</v>
      </c>
      <c r="D147" s="21" t="str">
        <f>VLOOKUP('Програма-кодове'!Q10,Списък!$A$1:$C$209,3,FALSE)</f>
        <v>английски език</v>
      </c>
      <c r="E147" s="21" t="str">
        <f>VLOOKUP('Програма-кодове'!Q17,Списък!$A$1:$C$209,3,FALSE)</f>
        <v>история</v>
      </c>
      <c r="F147" s="21" t="str">
        <f>VLOOKUP('Програма-кодове'!Q24,Списък!$A$1:$C$209,3,FALSE)</f>
        <v>ІІ - ри чужд език</v>
      </c>
      <c r="G147" s="21" t="str">
        <f>VLOOKUP('Програма-кодове'!Q31,Списък!$A$1:$C$209,3,FALSE)</f>
        <v>математика</v>
      </c>
    </row>
    <row r="148" spans="1:18" s="43" customFormat="1" ht="12.75" customHeight="1">
      <c r="A148" s="397"/>
      <c r="B148" s="43">
        <v>3</v>
      </c>
      <c r="C148" s="21" t="str">
        <f>VLOOKUP('Програма-кодове'!Q4,Списък!$A$1:$C$210,3,FALSE)</f>
        <v>бълг. език</v>
      </c>
      <c r="D148" s="21" t="str">
        <f>VLOOKUP('Програма-кодове'!Q11,Списък!$A$1:$C$209,3,FALSE)</f>
        <v>информатика</v>
      </c>
      <c r="E148" s="21" t="str">
        <f>VLOOKUP('Програма-кодове'!Q18,Списък!$A$1:$C$209,3,FALSE)</f>
        <v>информатика</v>
      </c>
      <c r="F148" s="21" t="str">
        <f>VLOOKUP('Програма-кодове'!Q25,Списък!$A$1:$C$209,3,FALSE)</f>
        <v>информатика</v>
      </c>
      <c r="G148" s="21" t="str">
        <f>VLOOKUP('Програма-кодове'!Q32,Списък!$A$1:$C$209,3,FALSE)</f>
        <v>английски език</v>
      </c>
      <c r="H148" s="21"/>
      <c r="I148" s="21"/>
      <c r="J148" s="21"/>
      <c r="K148" s="21"/>
      <c r="L148" s="21"/>
      <c r="M148" s="21"/>
      <c r="N148" s="21"/>
      <c r="O148" s="21"/>
      <c r="P148" s="21"/>
      <c r="Q148" s="21"/>
    </row>
    <row r="149" spans="1:18" ht="12.75" customHeight="1">
      <c r="A149" s="397"/>
      <c r="B149" s="43">
        <v>4</v>
      </c>
      <c r="C149" s="21" t="str">
        <f>VLOOKUP('Програма-кодове'!Q5,Списък!$A$1:$C$210,3,FALSE)</f>
        <v>химия</v>
      </c>
      <c r="D149" s="21" t="str">
        <f>VLOOKUP('Програма-кодове'!Q12,Списък!$A$1:$C$209,3,FALSE)</f>
        <v>физкултура</v>
      </c>
      <c r="E149" s="21" t="str">
        <f>VLOOKUP('Програма-кодове'!Q19,Списък!$A$1:$C$209,3,FALSE)</f>
        <v>физика</v>
      </c>
      <c r="F149" s="21" t="str">
        <f>VLOOKUP('Програма-кодове'!Q26,Списък!$A$1:$C$209,3,FALSE)</f>
        <v>философия</v>
      </c>
      <c r="G149" s="21" t="str">
        <f>VLOOKUP('Програма-кодове'!Q33,Списък!$A$1:$C$209,3,FALSE)</f>
        <v>физика</v>
      </c>
    </row>
    <row r="150" spans="1:18" ht="12.75" customHeight="1">
      <c r="A150" s="397"/>
      <c r="B150" s="43">
        <v>5</v>
      </c>
      <c r="C150" s="21" t="str">
        <f>VLOOKUP('Програма-кодове'!Q6,Списък!$A$1:$C$210,3,FALSE)</f>
        <v>информатика</v>
      </c>
      <c r="D150" s="21" t="str">
        <f>VLOOKUP('Програма-кодове'!Q13,Списък!$A$1:$C$209,3,FALSE)</f>
        <v>математика</v>
      </c>
      <c r="E150" s="21" t="str">
        <f>VLOOKUP('Програма-кодове'!Q20,Списък!$A$1:$C$209,3,FALSE)</f>
        <v>математика</v>
      </c>
      <c r="F150" s="21" t="str">
        <f>VLOOKUP('Програма-кодове'!Q27,Списък!$A$1:$C$209,3,FALSE)</f>
        <v>бълг. език</v>
      </c>
      <c r="G150" s="21" t="str">
        <f>VLOOKUP('Програма-кодове'!Q34,Списък!$A$1:$C$209,3,FALSE)</f>
        <v>философия</v>
      </c>
    </row>
    <row r="151" spans="1:18" ht="12.75" customHeight="1">
      <c r="A151" s="397"/>
      <c r="B151" s="43">
        <v>6</v>
      </c>
      <c r="C151" s="21" t="str">
        <f>VLOOKUP('Програма-кодове'!Q7,Списък!$A$1:$C$210,3,FALSE)</f>
        <v>физкултура</v>
      </c>
      <c r="D151" s="21" t="str">
        <f>VLOOKUP('Програма-кодове'!Q14,Списък!$A$1:$C$209,3,FALSE)</f>
        <v>химия</v>
      </c>
      <c r="E151" s="21" t="str">
        <f>VLOOKUP('Програма-кодове'!Q21,Списък!$A$1:$C$209,3,FALSE)</f>
        <v>математика</v>
      </c>
      <c r="F151" s="21" t="str">
        <f>VLOOKUP('Програма-кодове'!Q28,Списък!$A$1:$C$209,3,FALSE)</f>
        <v>биология</v>
      </c>
      <c r="G151" s="21" t="str">
        <f>VLOOKUP('Програма-кодове'!Q35,Списък!$A$1:$C$209,3,FALSE)</f>
        <v>география</v>
      </c>
    </row>
    <row r="152" spans="1:18" ht="12.75" customHeight="1">
      <c r="A152" s="397"/>
      <c r="B152" s="43">
        <v>7</v>
      </c>
      <c r="C152" s="21" t="str">
        <f>VLOOKUP('Програма-кодове'!Q8,Списък!$A$1:$C$210,3,FALSE)</f>
        <v>математика</v>
      </c>
      <c r="D152" s="21" t="str">
        <f>VLOOKUP('Програма-кодове'!Q15,Списък!$A$1:$C$209,3,FALSE)</f>
        <v>биология</v>
      </c>
      <c r="E152" s="21" t="s">
        <v>59</v>
      </c>
      <c r="F152" s="21">
        <f>VLOOKUP('Програма-кодове'!Q29,Списък!$A$1:$C$209,3,FALSE)</f>
        <v>0</v>
      </c>
      <c r="G152" s="21">
        <f>VLOOKUP('Програма-кодове'!Q36,Списък!$A$1:$C$209,3,FALSE)</f>
        <v>0</v>
      </c>
    </row>
    <row r="153" spans="1:18" ht="12.75" customHeight="1" thickBot="1">
      <c r="A153" s="124"/>
    </row>
    <row r="154" spans="1:18" ht="12.75" customHeight="1" thickTop="1">
      <c r="A154" s="114"/>
      <c r="B154" s="115"/>
      <c r="C154" s="116" t="s">
        <v>24</v>
      </c>
      <c r="D154" s="116" t="s">
        <v>25</v>
      </c>
      <c r="E154" s="116" t="s">
        <v>26</v>
      </c>
      <c r="F154" s="116" t="s">
        <v>130</v>
      </c>
      <c r="G154" s="116" t="s">
        <v>28</v>
      </c>
    </row>
    <row r="155" spans="1:18" ht="12.75" customHeight="1">
      <c r="A155" s="397" t="s">
        <v>144</v>
      </c>
      <c r="B155" s="43">
        <v>1</v>
      </c>
      <c r="C155" s="21" t="str">
        <f>VLOOKUP('Програма-кодове'!R2,Списък!$A$1:$C$210,3,FALSE)</f>
        <v>физкултура</v>
      </c>
      <c r="D155" s="21" t="str">
        <f>VLOOKUP('Програма-кодове'!R9,Списък!$A$1:$C$209,3,FALSE)</f>
        <v>математика</v>
      </c>
      <c r="E155" s="21" t="str">
        <f>VLOOKUP('Програма-кодове'!R16,Списък!$A$1:$C$209,3,FALSE)</f>
        <v>информатика</v>
      </c>
      <c r="F155" s="21" t="str">
        <f>VLOOKUP('Програма-кодове'!R23,Списък!$A$1:$C$209,3,FALSE)</f>
        <v>ІІ - ри чужд език</v>
      </c>
      <c r="G155" s="21" t="str">
        <f>VLOOKUP('Програма-кодове'!R30,Списък!$A$1:$C$209,3,FALSE)</f>
        <v>физика</v>
      </c>
    </row>
    <row r="156" spans="1:18" ht="12.75" customHeight="1">
      <c r="A156" s="397"/>
      <c r="B156" s="43">
        <v>2</v>
      </c>
      <c r="C156" s="21" t="str">
        <f>VLOOKUP('Програма-кодове'!R3,Списък!$A$1:$C$210,3,FALSE)</f>
        <v>информатика</v>
      </c>
      <c r="D156" s="21" t="str">
        <f>VLOOKUP('Програма-кодове'!R10,Списък!$A$1:$C$209,3,FALSE)</f>
        <v>математика</v>
      </c>
      <c r="E156" s="21" t="str">
        <f>VLOOKUP('Програма-кодове'!R17,Списък!$A$1:$C$209,3,FALSE)</f>
        <v>математика</v>
      </c>
      <c r="F156" s="21" t="str">
        <f>VLOOKUP('Програма-кодове'!R24,Списък!$A$1:$C$209,3,FALSE)</f>
        <v>ІІ - ри чужд език</v>
      </c>
      <c r="G156" s="21" t="str">
        <f>VLOOKUP('Програма-кодове'!R31,Списък!$A$1:$C$209,3,FALSE)</f>
        <v>информатика</v>
      </c>
    </row>
    <row r="157" spans="1:18" s="43" customFormat="1" ht="12.75" customHeight="1">
      <c r="A157" s="397"/>
      <c r="B157" s="43">
        <v>3</v>
      </c>
      <c r="C157" s="21" t="str">
        <f>VLOOKUP('Програма-кодове'!R4,Списък!$A$1:$C$210,3,FALSE)</f>
        <v>английски език</v>
      </c>
      <c r="D157" s="21" t="str">
        <f>VLOOKUP('Програма-кодове'!R11,Списък!$A$1:$C$209,3,FALSE)</f>
        <v>физика</v>
      </c>
      <c r="E157" s="21" t="str">
        <f>VLOOKUP('Програма-кодове'!R18,Списък!$A$1:$C$209,3,FALSE)</f>
        <v>история</v>
      </c>
      <c r="F157" s="21" t="str">
        <f>VLOOKUP('Програма-кодове'!R25,Списък!$A$1:$C$209,3,FALSE)</f>
        <v>английски език</v>
      </c>
      <c r="G157" s="21" t="str">
        <f>VLOOKUP('Програма-кодове'!R32,Списък!$A$1:$C$209,3,FALSE)</f>
        <v>математика</v>
      </c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</row>
    <row r="158" spans="1:18" ht="12.75" customHeight="1">
      <c r="A158" s="397"/>
      <c r="B158" s="43">
        <v>4</v>
      </c>
      <c r="C158" s="21" t="str">
        <f>VLOOKUP('Програма-кодове'!R5,Списък!$A$1:$C$210,3,FALSE)</f>
        <v>биология</v>
      </c>
      <c r="D158" s="21" t="str">
        <f>VLOOKUP('Програма-кодове'!R12,Списък!$A$1:$C$209,3,FALSE)</f>
        <v>информатика</v>
      </c>
      <c r="E158" s="21" t="str">
        <f>VLOOKUP('Програма-кодове'!R19,Списък!$A$1:$C$209,3,FALSE)</f>
        <v>физкултура</v>
      </c>
      <c r="F158" s="21" t="str">
        <f>VLOOKUP('Програма-кодове'!R26,Списък!$A$1:$C$209,3,FALSE)</f>
        <v>информатика</v>
      </c>
      <c r="G158" s="21" t="str">
        <f>VLOOKUP('Програма-кодове'!R33,Списък!$A$1:$C$209,3,FALSE)</f>
        <v>биология</v>
      </c>
    </row>
    <row r="159" spans="1:18" ht="12.75" customHeight="1">
      <c r="A159" s="397"/>
      <c r="B159" s="43">
        <v>5</v>
      </c>
      <c r="C159" s="21" t="str">
        <f>VLOOKUP('Програма-кодове'!R6,Списък!$A$1:$C$210,3,FALSE)</f>
        <v>химия</v>
      </c>
      <c r="D159" s="21" t="str">
        <f>VLOOKUP('Програма-кодове'!R13,Списък!$A$1:$C$209,3,FALSE)</f>
        <v>философия</v>
      </c>
      <c r="E159" s="21" t="str">
        <f>VLOOKUP('Програма-кодове'!R20,Списък!$A$1:$C$209,3,FALSE)</f>
        <v>бълг. език</v>
      </c>
      <c r="F159" s="21" t="str">
        <f>VLOOKUP('Програма-кодове'!R27,Списък!$A$1:$C$209,3,FALSE)</f>
        <v>философия</v>
      </c>
      <c r="G159" s="21" t="str">
        <f>VLOOKUP('Програма-кодове'!R34,Списък!$A$1:$C$209,3,FALSE)</f>
        <v>химия</v>
      </c>
    </row>
    <row r="160" spans="1:18" ht="12.75" customHeight="1">
      <c r="A160" s="397"/>
      <c r="B160" s="43">
        <v>6</v>
      </c>
      <c r="C160" s="21" t="str">
        <f>VLOOKUP('Програма-кодове'!R7,Списък!$A$1:$C$210,3,FALSE)</f>
        <v>математика</v>
      </c>
      <c r="D160" s="21" t="str">
        <f>VLOOKUP('Програма-кодове'!R14,Списък!$A$1:$C$209,3,FALSE)</f>
        <v>английски език</v>
      </c>
      <c r="E160" s="21" t="str">
        <f>VLOOKUP('Програма-кодове'!R21,Списък!$A$1:$C$209,3,FALSE)</f>
        <v>бълг. език</v>
      </c>
      <c r="F160" s="21" t="str">
        <f>VLOOKUP('Програма-кодове'!R28,Списък!$A$1:$C$209,3,FALSE)</f>
        <v>география</v>
      </c>
      <c r="G160" s="21" t="str">
        <f>VLOOKUP('Програма-кодове'!R35,Списък!$A$1:$C$209,3,FALSE)</f>
        <v>бълг. език</v>
      </c>
    </row>
    <row r="161" spans="1:7" ht="12.75" customHeight="1">
      <c r="A161" s="397"/>
      <c r="B161" s="43">
        <v>7</v>
      </c>
      <c r="C161" s="21" t="str">
        <f>VLOOKUP('Програма-кодове'!R8,Списък!$A$1:$C$210,3,FALSE)</f>
        <v>история</v>
      </c>
      <c r="D161" s="21" t="str">
        <f>VLOOKUP('Програма-кодове'!R15,Списък!$A$1:$C$209,3,FALSE)</f>
        <v>английски език</v>
      </c>
      <c r="E161" s="21" t="s">
        <v>59</v>
      </c>
      <c r="F161" s="21">
        <f>VLOOKUP('Програма-кодове'!R29,Списък!$A$1:$C$209,3,FALSE)</f>
        <v>0</v>
      </c>
      <c r="G161" s="21">
        <f>VLOOKUP('Програма-кодове'!R36,Списък!$A$1:$C$209,3,FALSE)</f>
        <v>0</v>
      </c>
    </row>
    <row r="162" spans="1:7" ht="12.75" customHeight="1" thickBot="1">
      <c r="A162" s="124"/>
    </row>
    <row r="163" spans="1:7" ht="12.75" customHeight="1" thickTop="1">
      <c r="A163" s="114"/>
      <c r="B163" s="115"/>
      <c r="C163" s="116" t="s">
        <v>24</v>
      </c>
      <c r="D163" s="116" t="s">
        <v>25</v>
      </c>
      <c r="E163" s="116" t="s">
        <v>26</v>
      </c>
      <c r="F163" s="116" t="s">
        <v>130</v>
      </c>
      <c r="G163" s="116" t="s">
        <v>28</v>
      </c>
    </row>
    <row r="164" spans="1:7" ht="12.75" customHeight="1">
      <c r="A164" s="397" t="s">
        <v>145</v>
      </c>
      <c r="B164" s="43">
        <v>1</v>
      </c>
      <c r="C164" s="21" t="str">
        <f>VLOOKUP('Програма-кодове'!S2,Списък!$A$1:$C$210,3,FALSE)</f>
        <v>английски език</v>
      </c>
      <c r="D164" s="21" t="str">
        <f>VLOOKUP('Програма-кодове'!S9,Списък!$A$1:$C$209,3,FALSE)</f>
        <v>информатика</v>
      </c>
      <c r="E164" s="21" t="str">
        <f>VLOOKUP('Програма-кодове'!S16,Списък!$A$1:$C$209,3,FALSE)</f>
        <v>биология</v>
      </c>
      <c r="F164" s="21" t="str">
        <f>VLOOKUP('Програма-кодове'!S23,Списък!$A$1:$C$209,3,FALSE)</f>
        <v>английски език</v>
      </c>
      <c r="G164" s="21" t="str">
        <f>VLOOKUP('Програма-кодове'!S30,Списък!$A$1:$C$209,3,FALSE)</f>
        <v>физкултура</v>
      </c>
    </row>
    <row r="165" spans="1:7" ht="12.75" customHeight="1">
      <c r="A165" s="397"/>
      <c r="B165" s="43">
        <v>2</v>
      </c>
      <c r="C165" s="21" t="str">
        <f>VLOOKUP('Програма-кодове'!S3,Списък!$A$1:$C$210,3,FALSE)</f>
        <v>английски език</v>
      </c>
      <c r="D165" s="21" t="str">
        <f>VLOOKUP('Програма-кодове'!S10,Списък!$A$1:$C$209,3,FALSE)</f>
        <v>география</v>
      </c>
      <c r="E165" s="21" t="str">
        <f>VLOOKUP('Програма-кодове'!S17,Списък!$A$1:$C$209,3,FALSE)</f>
        <v>информатика</v>
      </c>
      <c r="F165" s="21" t="str">
        <f>VLOOKUP('Програма-кодове'!S24,Списък!$A$1:$C$209,3,FALSE)</f>
        <v>философия</v>
      </c>
      <c r="G165" s="21" t="str">
        <f>VLOOKUP('Програма-кодове'!S31,Списък!$A$1:$C$209,3,FALSE)</f>
        <v>английски език</v>
      </c>
    </row>
    <row r="166" spans="1:7" ht="12.75" customHeight="1">
      <c r="A166" s="397"/>
      <c r="B166" s="43">
        <v>3</v>
      </c>
      <c r="C166" s="21" t="str">
        <f>VLOOKUP('Програма-кодове'!S4,Списък!$A$1:$C$210,3,FALSE)</f>
        <v>история</v>
      </c>
      <c r="D166" s="21" t="str">
        <f>VLOOKUP('Програма-кодове'!S11,Списък!$A$1:$C$209,3,FALSE)</f>
        <v>физкултура</v>
      </c>
      <c r="E166" s="21" t="str">
        <f>VLOOKUP('Програма-кодове'!S18,Списък!$A$1:$C$209,3,FALSE)</f>
        <v>математика</v>
      </c>
      <c r="F166" s="21" t="str">
        <f>VLOOKUP('Програма-кодове'!S25,Списък!$A$1:$C$209,3,FALSE)</f>
        <v>математика</v>
      </c>
      <c r="G166" s="21" t="str">
        <f>VLOOKUP('Програма-кодове'!S32,Списък!$A$1:$C$209,3,FALSE)</f>
        <v>немски език</v>
      </c>
    </row>
    <row r="167" spans="1:7" ht="12.75" customHeight="1">
      <c r="A167" s="397"/>
      <c r="B167" s="43">
        <v>4</v>
      </c>
      <c r="C167" s="21" t="str">
        <f>VLOOKUP('Програма-кодове'!S5,Списък!$A$1:$C$210,3,FALSE)</f>
        <v>информатика</v>
      </c>
      <c r="D167" s="21" t="str">
        <f>VLOOKUP('Програма-кодове'!S12,Списък!$A$1:$C$209,3,FALSE)</f>
        <v>немски език</v>
      </c>
      <c r="E167" s="21" t="str">
        <f>VLOOKUP('Програма-кодове'!S19,Списък!$A$1:$C$209,3,FALSE)</f>
        <v>физика</v>
      </c>
      <c r="F167" s="21" t="str">
        <f>VLOOKUP('Програма-кодове'!S26,Списък!$A$1:$C$209,3,FALSE)</f>
        <v>математика</v>
      </c>
      <c r="G167" s="21" t="str">
        <f>VLOOKUP('Програма-кодове'!S33,Списък!$A$1:$C$209,3,FALSE)</f>
        <v>немски език</v>
      </c>
    </row>
    <row r="168" spans="1:7" ht="12.75" customHeight="1">
      <c r="A168" s="397"/>
      <c r="B168" s="43">
        <v>5</v>
      </c>
      <c r="C168" s="21" t="str">
        <f>VLOOKUP('Програма-кодове'!S6,Списък!$A$1:$C$210,3,FALSE)</f>
        <v>биология</v>
      </c>
      <c r="D168" s="21" t="str">
        <f>VLOOKUP('Програма-кодове'!S13,Списък!$A$1:$C$209,3,FALSE)</f>
        <v>немски език</v>
      </c>
      <c r="E168" s="21" t="str">
        <f>VLOOKUP('Програма-кодове'!S20,Списък!$A$1:$C$209,3,FALSE)</f>
        <v>история</v>
      </c>
      <c r="F168" s="21" t="str">
        <f>VLOOKUP('Програма-кодове'!S27,Списък!$A$1:$C$209,3,FALSE)</f>
        <v>информатика</v>
      </c>
      <c r="G168" s="21" t="str">
        <f>VLOOKUP('Програма-кодове'!S34,Списък!$A$1:$C$209,3,FALSE)</f>
        <v>физика</v>
      </c>
    </row>
    <row r="169" spans="1:7" ht="12.75" customHeight="1">
      <c r="A169" s="397"/>
      <c r="B169" s="43">
        <v>6</v>
      </c>
      <c r="C169" s="21" t="str">
        <f>VLOOKUP('Програма-кодове'!S7,Списък!$A$1:$C$210,3,FALSE)</f>
        <v>бълг. език</v>
      </c>
      <c r="D169" s="21" t="str">
        <f>VLOOKUP('Програма-кодове'!S14,Списък!$A$1:$C$209,3,FALSE)</f>
        <v>математика</v>
      </c>
      <c r="E169" s="21" t="str">
        <f>VLOOKUP('Програма-кодове'!S21,Списък!$A$1:$C$209,3,FALSE)</f>
        <v>философия</v>
      </c>
      <c r="F169" s="21" t="str">
        <f>VLOOKUP('Програма-кодове'!S28,Списък!$A$1:$C$209,3,FALSE)</f>
        <v>бълг. език</v>
      </c>
      <c r="G169" s="21" t="str">
        <f>VLOOKUP('Програма-кодове'!S35,Списък!$A$1:$C$209,3,FALSE)</f>
        <v>химия</v>
      </c>
    </row>
    <row r="170" spans="1:7" ht="12.75" customHeight="1">
      <c r="A170" s="397"/>
      <c r="B170" s="43">
        <v>7</v>
      </c>
      <c r="C170" s="21" t="str">
        <f>VLOOKUP('Програма-кодове'!S8,Списък!$A$1:$C$210,3,FALSE)</f>
        <v>бълг. език</v>
      </c>
      <c r="D170" s="21" t="str">
        <f>VLOOKUP('Програма-кодове'!S15,Списък!$A$1:$C$209,3,FALSE)</f>
        <v>химия</v>
      </c>
      <c r="E170" s="21" t="s">
        <v>59</v>
      </c>
      <c r="F170" s="21">
        <f>VLOOKUP('Програма-кодове'!S29,Списък!$A$1:$C$209,3,FALSE)</f>
        <v>0</v>
      </c>
      <c r="G170" s="21">
        <f>VLOOKUP('Програма-кодове'!S36,Списък!$A$1:$C$209,3,FALSE)</f>
        <v>0</v>
      </c>
    </row>
    <row r="171" spans="1:7" ht="12.75" customHeight="1" thickBot="1">
      <c r="A171" s="124"/>
    </row>
    <row r="172" spans="1:7" ht="12.75" customHeight="1" thickTop="1">
      <c r="A172" s="114"/>
      <c r="B172" s="115"/>
      <c r="C172" s="116" t="s">
        <v>24</v>
      </c>
      <c r="D172" s="116" t="s">
        <v>25</v>
      </c>
      <c r="E172" s="116" t="s">
        <v>26</v>
      </c>
      <c r="F172" s="116" t="s">
        <v>130</v>
      </c>
      <c r="G172" s="116" t="s">
        <v>28</v>
      </c>
    </row>
    <row r="173" spans="1:7" ht="12.75" customHeight="1">
      <c r="A173" s="397" t="s">
        <v>146</v>
      </c>
      <c r="B173" s="43">
        <v>1</v>
      </c>
      <c r="C173" s="21" t="str">
        <f>VLOOKUP('Програма-кодове'!T2,Списък!$A$1:$C$210,3,FALSE)</f>
        <v>биология</v>
      </c>
      <c r="D173" s="21" t="str">
        <f>VLOOKUP('Програма-кодове'!T9,Списък!$A$1:$C$209,3,FALSE)</f>
        <v>философия</v>
      </c>
      <c r="E173" s="21" t="str">
        <f>VLOOKUP('Програма-кодове'!T16,Списък!$A$1:$C$209,3,FALSE)</f>
        <v>история</v>
      </c>
      <c r="F173" s="21" t="str">
        <f>VLOOKUP('Програма-кодове'!T23,Списък!$A$1:$C$209,3,FALSE)</f>
        <v>химия</v>
      </c>
      <c r="G173" s="21" t="str">
        <f>VLOOKUP('Програма-кодове'!T30,Списък!$A$1:$C$209,3,FALSE)</f>
        <v>физика</v>
      </c>
    </row>
    <row r="174" spans="1:7" ht="12.75" customHeight="1">
      <c r="A174" s="397"/>
      <c r="B174" s="43">
        <v>2</v>
      </c>
      <c r="C174" s="21" t="str">
        <f>VLOOKUP('Програма-кодове'!T3,Списък!$A$1:$C$210,3,FALSE)</f>
        <v>биология</v>
      </c>
      <c r="D174" s="21" t="str">
        <f>VLOOKUP('Програма-кодове'!T10,Списък!$A$1:$C$209,3,FALSE)</f>
        <v>бълг. език</v>
      </c>
      <c r="E174" s="21" t="str">
        <f>VLOOKUP('Програма-кодове'!T17,Списък!$A$1:$C$209,3,FALSE)</f>
        <v>биология</v>
      </c>
      <c r="F174" s="21" t="str">
        <f>VLOOKUP('Програма-кодове'!T24,Списък!$A$1:$C$209,3,FALSE)</f>
        <v>английски език</v>
      </c>
      <c r="G174" s="21" t="str">
        <f>VLOOKUP('Програма-кодове'!T31,Списък!$A$1:$C$209,3,FALSE)</f>
        <v>химия</v>
      </c>
    </row>
    <row r="175" spans="1:7" ht="12.75" customHeight="1">
      <c r="A175" s="397"/>
      <c r="B175" s="43">
        <v>3</v>
      </c>
      <c r="C175" s="21" t="str">
        <f>VLOOKUP('Програма-кодове'!T4,Списък!$A$1:$C$210,3,FALSE)</f>
        <v>информатика</v>
      </c>
      <c r="D175" s="21" t="str">
        <f>VLOOKUP('Програма-кодове'!T11,Списък!$A$1:$C$209,3,FALSE)</f>
        <v>бълг. език</v>
      </c>
      <c r="E175" s="21" t="str">
        <f>VLOOKUP('Програма-кодове'!T18,Списък!$A$1:$C$209,3,FALSE)</f>
        <v>английски език</v>
      </c>
      <c r="F175" s="21" t="str">
        <f>VLOOKUP('Програма-кодове'!T25,Списък!$A$1:$C$209,3,FALSE)</f>
        <v>математика</v>
      </c>
      <c r="G175" s="21" t="str">
        <f>VLOOKUP('Програма-кодове'!T32,Списък!$A$1:$C$209,3,FALSE)</f>
        <v>химия</v>
      </c>
    </row>
    <row r="176" spans="1:7" ht="12.75" customHeight="1">
      <c r="A176" s="397"/>
      <c r="B176" s="43">
        <v>4</v>
      </c>
      <c r="C176" s="21" t="str">
        <f>VLOOKUP('Програма-кодове'!T5,Списък!$A$1:$C$210,3,FALSE)</f>
        <v>физкултура</v>
      </c>
      <c r="D176" s="21" t="str">
        <f>VLOOKUP('Програма-кодове'!T12,Списък!$A$1:$C$209,3,FALSE)</f>
        <v>биология</v>
      </c>
      <c r="E176" s="21" t="str">
        <f>VLOOKUP('Програма-кодове'!T19,Списък!$A$1:$C$209,3,FALSE)</f>
        <v>английски език</v>
      </c>
      <c r="F176" s="21" t="str">
        <f>VLOOKUP('Програма-кодове'!T26,Списък!$A$1:$C$209,3,FALSE)</f>
        <v>физкултура</v>
      </c>
      <c r="G176" s="21" t="str">
        <f>VLOOKUP('Програма-кодове'!T33,Списък!$A$1:$C$209,3,FALSE)</f>
        <v>бълг. език</v>
      </c>
    </row>
    <row r="177" spans="1:18" s="43" customFormat="1" ht="12.75" customHeight="1">
      <c r="A177" s="397"/>
      <c r="B177" s="43">
        <v>5</v>
      </c>
      <c r="C177" s="21" t="str">
        <f>VLOOKUP('Програма-кодове'!T6,Списък!$A$1:$C$210,3,FALSE)</f>
        <v>математика</v>
      </c>
      <c r="D177" s="21" t="str">
        <f>VLOOKUP('Програма-кодове'!T13,Списък!$A$1:$C$209,3,FALSE)</f>
        <v>химия</v>
      </c>
      <c r="E177" s="21" t="str">
        <f>VLOOKUP('Програма-кодове'!T20,Списък!$A$1:$C$209,3,FALSE)</f>
        <v>информатика</v>
      </c>
      <c r="F177" s="21" t="str">
        <f>VLOOKUP('Програма-кодове'!T27,Списък!$A$1:$C$209,3,FALSE)</f>
        <v>биология</v>
      </c>
      <c r="G177" s="21" t="str">
        <f>VLOOKUP('Програма-кодове'!T34,Списък!$A$1:$C$209,3,FALSE)</f>
        <v>география</v>
      </c>
      <c r="H177" s="21"/>
      <c r="I177" s="21"/>
      <c r="J177" s="21"/>
      <c r="K177" s="21"/>
      <c r="L177" s="21"/>
      <c r="M177" s="21"/>
      <c r="N177" s="21"/>
      <c r="O177" s="21"/>
      <c r="P177" s="21"/>
      <c r="Q177" s="21"/>
    </row>
    <row r="178" spans="1:18" ht="12.75" customHeight="1">
      <c r="A178" s="397"/>
      <c r="B178" s="43">
        <v>6</v>
      </c>
      <c r="C178" s="21" t="str">
        <f>VLOOKUP('Програма-кодове'!T7,Списък!$A$1:$C$210,3,FALSE)</f>
        <v>английски език</v>
      </c>
      <c r="D178" s="21" t="str">
        <f>VLOOKUP('Програма-кодове'!T14,Списък!$A$1:$C$209,3,FALSE)</f>
        <v>ІІ - ри чужд език</v>
      </c>
      <c r="E178" s="21" t="str">
        <f>VLOOKUP('Програма-кодове'!T21,Списък!$A$1:$C$209,3,FALSE)</f>
        <v>физика</v>
      </c>
      <c r="F178" s="21" t="str">
        <f>VLOOKUP('Програма-кодове'!T28,Списък!$A$1:$C$209,3,FALSE)</f>
        <v>философия</v>
      </c>
      <c r="G178" s="21" t="str">
        <f>VLOOKUP('Програма-кодове'!T35,Списък!$A$1:$C$209,3,FALSE)</f>
        <v>математика</v>
      </c>
    </row>
    <row r="179" spans="1:18" ht="12.75" customHeight="1">
      <c r="A179" s="397"/>
      <c r="B179" s="43">
        <v>7</v>
      </c>
      <c r="C179" s="21" t="str">
        <f>VLOOKUP('Програма-кодове'!T8,Списък!$A$1:$C$210,3,FALSE)</f>
        <v>история</v>
      </c>
      <c r="D179" s="21" t="str">
        <f>VLOOKUP('Програма-кодове'!T15,Списък!$A$1:$C$209,3,FALSE)</f>
        <v>ІІ - ри чужд език</v>
      </c>
      <c r="E179" s="21" t="s">
        <v>59</v>
      </c>
      <c r="F179" s="21">
        <f>VLOOKUP('Програма-кодове'!T29,Списък!$A$1:$C$209,3,FALSE)</f>
        <v>0</v>
      </c>
      <c r="G179" s="21">
        <f>VLOOKUP('Програма-кодове'!T36,Списък!$A$1:$C$209,3,FALSE)</f>
        <v>0</v>
      </c>
    </row>
    <row r="180" spans="1:18" ht="12.75" customHeight="1" thickBot="1">
      <c r="A180" s="124"/>
    </row>
    <row r="181" spans="1:18" ht="12.75" customHeight="1" thickTop="1">
      <c r="A181" s="114"/>
      <c r="B181" s="115"/>
      <c r="C181" s="116" t="s">
        <v>24</v>
      </c>
      <c r="D181" s="116" t="s">
        <v>25</v>
      </c>
      <c r="E181" s="116" t="s">
        <v>26</v>
      </c>
      <c r="F181" s="116" t="s">
        <v>130</v>
      </c>
      <c r="G181" s="116" t="s">
        <v>28</v>
      </c>
    </row>
    <row r="182" spans="1:18" ht="12.75" customHeight="1">
      <c r="A182" s="397" t="s">
        <v>147</v>
      </c>
      <c r="B182" s="43">
        <v>1</v>
      </c>
      <c r="C182" s="21" t="str">
        <f>VLOOKUP('Програма-кодове'!U2,Списък!$A$1:$C$210,3,FALSE)</f>
        <v>ІІ - ри чужд език</v>
      </c>
      <c r="D182" s="21" t="str">
        <f>VLOOKUP('Програма-кодове'!U9,Списък!$A$1:$C$209,3,FALSE)</f>
        <v>информатика</v>
      </c>
      <c r="E182" s="21" t="str">
        <f>VLOOKUP('Програма-кодове'!U16,Списък!$A$1:$C$209,3,FALSE)</f>
        <v>английски език</v>
      </c>
      <c r="F182" s="21" t="str">
        <f>VLOOKUP('Програма-кодове'!U23,Списък!$A$1:$C$209,3,FALSE)</f>
        <v>физкултура</v>
      </c>
      <c r="G182" s="21" t="str">
        <f>VLOOKUP('Програма-кодове'!U30,Списък!$A$1:$C$209,3,FALSE)</f>
        <v>бълг. език</v>
      </c>
    </row>
    <row r="183" spans="1:18" ht="12.75" customHeight="1">
      <c r="A183" s="397"/>
      <c r="B183" s="43">
        <v>2</v>
      </c>
      <c r="C183" s="21" t="str">
        <f>VLOOKUP('Програма-кодове'!U3,Списък!$A$1:$C$210,3,FALSE)</f>
        <v>ІІ - ри чужд език</v>
      </c>
      <c r="D183" s="21" t="str">
        <f>VLOOKUP('Програма-кодове'!U10,Списък!$A$1:$C$209,3,FALSE)</f>
        <v>физика</v>
      </c>
      <c r="E183" s="21" t="str">
        <f>VLOOKUP('Програма-кодове'!U17,Списък!$A$1:$C$209,3,FALSE)</f>
        <v>английски език</v>
      </c>
      <c r="F183" s="21" t="str">
        <f>VLOOKUP('Програма-кодове'!U24,Списък!$A$1:$C$209,3,FALSE)</f>
        <v>физика</v>
      </c>
      <c r="G183" s="21" t="str">
        <f>VLOOKUP('Програма-кодове'!U31,Списък!$A$1:$C$209,3,FALSE)</f>
        <v>бълг. език</v>
      </c>
    </row>
    <row r="184" spans="1:18" ht="12.75" customHeight="1">
      <c r="A184" s="397"/>
      <c r="B184" s="43">
        <v>3</v>
      </c>
      <c r="C184" s="21" t="str">
        <f>VLOOKUP('Програма-кодове'!U4,Списък!$A$1:$C$210,3,FALSE)</f>
        <v>биология</v>
      </c>
      <c r="D184" s="21" t="str">
        <f>VLOOKUP('Програма-кодове'!U11,Списък!$A$1:$C$209,3,FALSE)</f>
        <v>география</v>
      </c>
      <c r="E184" s="21" t="str">
        <f>VLOOKUP('Програма-кодове'!U18,Списък!$A$1:$C$209,3,FALSE)</f>
        <v>математика</v>
      </c>
      <c r="F184" s="21" t="str">
        <f>VLOOKUP('Програма-кодове'!U25,Списък!$A$1:$C$209,3,FALSE)</f>
        <v>история</v>
      </c>
      <c r="G184" s="21" t="str">
        <f>VLOOKUP('Програма-кодове'!U32,Списък!$A$1:$C$209,3,FALSE)</f>
        <v>английски език</v>
      </c>
    </row>
    <row r="185" spans="1:18" ht="12.75" customHeight="1">
      <c r="A185" s="397"/>
      <c r="B185" s="43">
        <v>4</v>
      </c>
      <c r="C185" s="21" t="str">
        <f>VLOOKUP('Програма-кодове'!U5,Списък!$A$1:$C$210,3,FALSE)</f>
        <v>история</v>
      </c>
      <c r="D185" s="21" t="str">
        <f>VLOOKUP('Програма-кодове'!U12,Списък!$A$1:$C$209,3,FALSE)</f>
        <v>химия</v>
      </c>
      <c r="E185" s="21" t="str">
        <f>VLOOKUP('Програма-кодове'!U19,Списък!$A$1:$C$209,3,FALSE)</f>
        <v>информатика</v>
      </c>
      <c r="F185" s="21" t="str">
        <f>VLOOKUP('Програма-кодове'!U26,Списък!$A$1:$C$209,3,FALSE)</f>
        <v>английски език</v>
      </c>
      <c r="G185" s="21" t="str">
        <f>VLOOKUP('Програма-кодове'!U33,Списък!$A$1:$C$209,3,FALSE)</f>
        <v>химия</v>
      </c>
    </row>
    <row r="186" spans="1:18" ht="12.75" customHeight="1">
      <c r="A186" s="397"/>
      <c r="B186" s="43">
        <v>5</v>
      </c>
      <c r="C186" s="21" t="str">
        <f>VLOOKUP('Програма-кодове'!U6,Списък!$A$1:$C$210,3,FALSE)</f>
        <v>математика</v>
      </c>
      <c r="D186" s="21" t="str">
        <f>VLOOKUP('Програма-кодове'!U13,Списък!$A$1:$C$209,3,FALSE)</f>
        <v>бълг. език</v>
      </c>
      <c r="E186" s="21" t="str">
        <f>VLOOKUP('Програма-кодове'!U20,Списък!$A$1:$C$209,3,FALSE)</f>
        <v>биология</v>
      </c>
      <c r="F186" s="21" t="str">
        <f>VLOOKUP('Програма-кодове'!U27,Списък!$A$1:$C$209,3,FALSE)</f>
        <v>информатика</v>
      </c>
      <c r="G186" s="21" t="str">
        <f>VLOOKUP('Програма-кодове'!U34,Списък!$A$1:$C$209,3,FALSE)</f>
        <v>физкултура</v>
      </c>
    </row>
    <row r="187" spans="1:18" ht="12.75" customHeight="1">
      <c r="A187" s="397"/>
      <c r="B187" s="43">
        <v>6</v>
      </c>
      <c r="C187" s="21" t="str">
        <f>VLOOKUP('Програма-кодове'!U7,Списък!$A$1:$C$210,3,FALSE)</f>
        <v>математика</v>
      </c>
      <c r="D187" s="21" t="str">
        <f>VLOOKUP('Програма-кодове'!U14,Списък!$A$1:$C$209,3,FALSE)</f>
        <v>математика</v>
      </c>
      <c r="E187" s="21" t="str">
        <f>VLOOKUP('Програма-кодове'!U21,Списък!$A$1:$C$209,3,FALSE)</f>
        <v>география</v>
      </c>
      <c r="F187" s="21" t="str">
        <f>VLOOKUP('Програма-кодове'!U28,Списък!$A$1:$C$209,3,FALSE)</f>
        <v>математика</v>
      </c>
      <c r="G187" s="21" t="str">
        <f>VLOOKUP('Програма-кодове'!U35,Списък!$A$1:$C$209,3,FALSE)</f>
        <v>философия</v>
      </c>
    </row>
    <row r="188" spans="1:18" s="43" customFormat="1" ht="12.75" customHeight="1">
      <c r="A188" s="397"/>
      <c r="B188" s="43">
        <v>7</v>
      </c>
      <c r="C188" s="21" t="str">
        <f>VLOOKUP('Програма-кодове'!U8,Списък!$A$1:$C$210,3,FALSE)</f>
        <v>английски език</v>
      </c>
      <c r="D188" s="21" t="str">
        <f>VLOOKUP('Програма-кодове'!U15,Списък!$A$1:$C$209,3,FALSE)</f>
        <v>математика</v>
      </c>
      <c r="E188" s="21" t="s">
        <v>59</v>
      </c>
      <c r="F188" s="21">
        <f>VLOOKUP('Програма-кодове'!U29,Списък!$A$1:$C$209,3,FALSE)</f>
        <v>0</v>
      </c>
      <c r="G188" s="21">
        <f>VLOOKUP('Програма-кодове'!U36,Списък!$A$1:$C$209,3,FALSE)</f>
        <v>0</v>
      </c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</row>
    <row r="189" spans="1:18" s="43" customFormat="1" ht="12.75" customHeight="1" thickBot="1">
      <c r="A189" s="124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</row>
    <row r="190" spans="1:18" ht="12.75" customHeight="1" thickTop="1">
      <c r="A190" s="114"/>
      <c r="B190" s="115"/>
      <c r="C190" s="116" t="s">
        <v>24</v>
      </c>
      <c r="D190" s="116" t="s">
        <v>25</v>
      </c>
      <c r="E190" s="116" t="s">
        <v>26</v>
      </c>
      <c r="F190" s="116" t="s">
        <v>130</v>
      </c>
      <c r="G190" s="116" t="s">
        <v>28</v>
      </c>
    </row>
    <row r="191" spans="1:18" ht="12.75" customHeight="1">
      <c r="A191" s="397" t="s">
        <v>148</v>
      </c>
      <c r="B191" s="43">
        <v>1</v>
      </c>
      <c r="C191" s="21" t="str">
        <f>VLOOKUP('Програма-кодове'!V2,Списък!$A$1:$C$210,3,FALSE)</f>
        <v>английски език</v>
      </c>
      <c r="D191" s="21" t="str">
        <f>VLOOKUP('Програма-кодове'!V9,Списък!$A$1:$C$209,3,FALSE)</f>
        <v>физика</v>
      </c>
      <c r="E191" s="21" t="str">
        <f>VLOOKUP('Програма-кодове'!V16,Списък!$A$1:$C$209,3,FALSE)</f>
        <v>география</v>
      </c>
      <c r="F191" s="21" t="str">
        <f>VLOOKUP('Програма-кодове'!V23,Списък!$A$1:$C$209,3,FALSE)</f>
        <v>математика</v>
      </c>
      <c r="G191" s="21" t="str">
        <f>VLOOKUP('Програма-кодове'!V30,Списък!$A$1:$C$209,3,FALSE)</f>
        <v>физкултура</v>
      </c>
    </row>
    <row r="192" spans="1:18" ht="12.75" customHeight="1">
      <c r="A192" s="397"/>
      <c r="B192" s="43">
        <v>2</v>
      </c>
      <c r="C192" s="21" t="str">
        <f>VLOOKUP('Програма-кодове'!V3,Списък!$A$1:$C$210,3,FALSE)</f>
        <v>математика</v>
      </c>
      <c r="D192" s="21" t="str">
        <f>VLOOKUP('Програма-кодове'!V10,Списък!$A$1:$C$209,3,FALSE)</f>
        <v>химия</v>
      </c>
      <c r="E192" s="21" t="str">
        <f>VLOOKUP('Програма-кодове'!V17,Списък!$A$1:$C$209,3,FALSE)</f>
        <v>физкултура</v>
      </c>
      <c r="F192" s="21" t="str">
        <f>VLOOKUP('Програма-кодове'!V24,Списък!$A$1:$C$209,3,FALSE)</f>
        <v>английски език</v>
      </c>
      <c r="G192" s="21" t="str">
        <f>VLOOKUP('Програма-кодове'!V31,Списък!$A$1:$C$209,3,FALSE)</f>
        <v>английски език</v>
      </c>
    </row>
    <row r="193" spans="1:17" ht="12.75" customHeight="1">
      <c r="A193" s="397"/>
      <c r="B193" s="43">
        <v>3</v>
      </c>
      <c r="C193" s="21" t="str">
        <f>VLOOKUP('Програма-кодове'!V4,Списък!$A$1:$C$210,3,FALSE)</f>
        <v>история</v>
      </c>
      <c r="D193" s="21" t="str">
        <f>VLOOKUP('Програма-кодове'!V11,Списък!$A$1:$C$209,3,FALSE)</f>
        <v>информатика</v>
      </c>
      <c r="E193" s="21" t="str">
        <f>VLOOKUP('Програма-кодове'!V18,Списък!$A$1:$C$209,3,FALSE)</f>
        <v>информатика</v>
      </c>
      <c r="F193" s="21" t="str">
        <f>VLOOKUP('Програма-кодове'!V25,Списък!$A$1:$C$209,3,FALSE)</f>
        <v>физика</v>
      </c>
      <c r="G193" s="21" t="str">
        <f>VLOOKUP('Програма-кодове'!V32,Списък!$A$1:$C$209,3,FALSE)</f>
        <v>философия</v>
      </c>
    </row>
    <row r="194" spans="1:17" ht="12.75" customHeight="1">
      <c r="A194" s="397"/>
      <c r="B194" s="43">
        <v>4</v>
      </c>
      <c r="C194" s="21" t="str">
        <f>VLOOKUP('Програма-кодове'!V5,Списък!$A$1:$C$210,3,FALSE)</f>
        <v>ІІ - ри чужд език</v>
      </c>
      <c r="D194" s="21" t="str">
        <f>VLOOKUP('Програма-кодове'!V12,Списък!$A$1:$C$209,3,FALSE)</f>
        <v>английски език</v>
      </c>
      <c r="E194" s="21" t="str">
        <f>VLOOKUP('Програма-кодове'!V19,Списък!$A$1:$C$209,3,FALSE)</f>
        <v>математика</v>
      </c>
      <c r="F194" s="21" t="str">
        <f>VLOOKUP('Програма-кодове'!V26,Списък!$A$1:$C$209,3,FALSE)</f>
        <v>биология</v>
      </c>
      <c r="G194" s="21" t="str">
        <f>VLOOKUP('Програма-кодове'!V33,Списък!$A$1:$C$209,3,FALSE)</f>
        <v>бълг. език</v>
      </c>
    </row>
    <row r="195" spans="1:17" ht="12.75" customHeight="1">
      <c r="A195" s="397"/>
      <c r="B195" s="43">
        <v>5</v>
      </c>
      <c r="C195" s="21" t="str">
        <f>VLOOKUP('Програма-кодове'!V6,Списък!$A$1:$C$210,3,FALSE)</f>
        <v>ІІ - ри чужд език</v>
      </c>
      <c r="D195" s="21" t="str">
        <f>VLOOKUP('Програма-кодове'!V13,Списък!$A$1:$C$209,3,FALSE)</f>
        <v>английски език</v>
      </c>
      <c r="E195" s="21" t="str">
        <f>VLOOKUP('Програма-кодове'!V20,Списък!$A$1:$C$209,3,FALSE)</f>
        <v>математика</v>
      </c>
      <c r="F195" s="21" t="str">
        <f>VLOOKUP('Програма-кодове'!V27,Списък!$A$1:$C$209,3,FALSE)</f>
        <v>химия</v>
      </c>
      <c r="G195" s="21" t="str">
        <f>VLOOKUP('Програма-кодове'!V34,Списък!$A$1:$C$209,3,FALSE)</f>
        <v>бълг. език</v>
      </c>
    </row>
    <row r="196" spans="1:17" ht="12.75" customHeight="1">
      <c r="A196" s="397"/>
      <c r="B196" s="43">
        <v>6</v>
      </c>
      <c r="C196" s="21" t="str">
        <f>VLOOKUP('Програма-кодове'!V7,Списък!$A$1:$C$210,3,FALSE)</f>
        <v>информатика</v>
      </c>
      <c r="D196" s="21" t="str">
        <f>VLOOKUP('Програма-кодове'!V14,Списък!$A$1:$C$209,3,FALSE)</f>
        <v>бълг. език</v>
      </c>
      <c r="E196" s="21" t="str">
        <f>VLOOKUP('Програма-кодове'!V21,Списък!$A$1:$C$209,3,FALSE)</f>
        <v>биология</v>
      </c>
      <c r="F196" s="21" t="str">
        <f>VLOOKUP('Програма-кодове'!V28,Списък!$A$1:$C$209,3,FALSE)</f>
        <v>информатика</v>
      </c>
      <c r="G196" s="21" t="str">
        <f>VLOOKUP('Програма-кодове'!V35,Списък!$A$1:$C$209,3,FALSE)</f>
        <v>история</v>
      </c>
    </row>
    <row r="197" spans="1:17" ht="12.75" customHeight="1">
      <c r="A197" s="397"/>
      <c r="B197" s="43">
        <v>7</v>
      </c>
      <c r="C197" s="21" t="str">
        <f>VLOOKUP('Програма-кодове'!V8,Списък!$A$1:$C$210,3,FALSE)</f>
        <v>география</v>
      </c>
      <c r="D197" s="21" t="str">
        <f>VLOOKUP('Програма-кодове'!V15,Списък!$A$1:$C$209,3,FALSE)</f>
        <v>математика</v>
      </c>
      <c r="E197" s="21" t="s">
        <v>59</v>
      </c>
      <c r="F197" s="21">
        <f>VLOOKUP('Програма-кодове'!V29,Списък!$A$1:$C$209,3,FALSE)</f>
        <v>0</v>
      </c>
      <c r="G197" s="21">
        <f>VLOOKUP('Програма-кодове'!V36,Списък!$A$1:$C$209,3,FALSE)</f>
        <v>0</v>
      </c>
    </row>
    <row r="198" spans="1:17" ht="12.75" customHeight="1" thickBot="1">
      <c r="A198" s="124"/>
    </row>
    <row r="199" spans="1:17" s="43" customFormat="1" ht="12.75" customHeight="1" thickTop="1">
      <c r="A199" s="114"/>
      <c r="B199" s="115"/>
      <c r="C199" s="116" t="s">
        <v>24</v>
      </c>
      <c r="D199" s="116" t="s">
        <v>25</v>
      </c>
      <c r="E199" s="116" t="s">
        <v>26</v>
      </c>
      <c r="F199" s="116" t="s">
        <v>130</v>
      </c>
      <c r="G199" s="116" t="s">
        <v>28</v>
      </c>
      <c r="H199" s="21"/>
      <c r="I199" s="21"/>
      <c r="J199" s="21"/>
      <c r="K199" s="21"/>
      <c r="L199" s="21"/>
      <c r="M199" s="21"/>
      <c r="N199" s="21"/>
      <c r="O199" s="21"/>
      <c r="P199" s="21"/>
      <c r="Q199" s="21"/>
    </row>
    <row r="200" spans="1:17" ht="12.75" customHeight="1">
      <c r="A200" s="397" t="s">
        <v>149</v>
      </c>
      <c r="B200" s="43">
        <v>1</v>
      </c>
      <c r="C200" s="21" t="str">
        <f>VLOOKUP('Програма-кодове'!W2,Списък!$A$1:$C$210,3,FALSE)</f>
        <v>ІІ - ри чужд език</v>
      </c>
      <c r="D200" s="21" t="str">
        <f>VLOOKUP('Програма-кодове'!W9,Списък!$A$1:$C$209,3,FALSE)</f>
        <v>английски език</v>
      </c>
      <c r="E200" s="21" t="str">
        <f>VLOOKUP('Програма-кодове'!W16,Списък!$A$1:$C$209,3,FALSE)</f>
        <v>физкултура</v>
      </c>
      <c r="F200" s="21" t="str">
        <f>VLOOKUP('Програма-кодове'!W23,Списък!$A$1:$C$209,3,FALSE)</f>
        <v>английски език</v>
      </c>
      <c r="G200" s="21" t="str">
        <f>VLOOKUP('Програма-кодове'!W30,Списък!$A$1:$C$209,3,FALSE)</f>
        <v>информатика</v>
      </c>
    </row>
    <row r="201" spans="1:17" ht="12.75" customHeight="1">
      <c r="A201" s="397"/>
      <c r="B201" s="43">
        <v>2</v>
      </c>
      <c r="C201" s="21" t="str">
        <f>VLOOKUP('Програма-кодове'!W3,Списък!$A$1:$C$210,3,FALSE)</f>
        <v>ІІ - ри чужд език</v>
      </c>
      <c r="D201" s="21" t="str">
        <f>VLOOKUP('Програма-кодове'!W10,Списък!$A$1:$C$209,3,FALSE)</f>
        <v>английски език</v>
      </c>
      <c r="E201" s="21" t="str">
        <f>VLOOKUP('Програма-кодове'!W17,Списък!$A$1:$C$209,3,FALSE)</f>
        <v>математика</v>
      </c>
      <c r="F201" s="21" t="str">
        <f>VLOOKUP('Програма-кодове'!W24,Списък!$A$1:$C$209,3,FALSE)</f>
        <v>история</v>
      </c>
      <c r="G201" s="21" t="str">
        <f>VLOOKUP('Програма-кодове'!W31,Списък!$A$1:$C$209,3,FALSE)</f>
        <v>физкултура</v>
      </c>
    </row>
    <row r="202" spans="1:17" ht="12.75" customHeight="1">
      <c r="A202" s="397"/>
      <c r="B202" s="43">
        <v>3</v>
      </c>
      <c r="C202" s="21" t="str">
        <f>VLOOKUP('Програма-кодове'!W4,Списък!$A$1:$C$210,3,FALSE)</f>
        <v>математика</v>
      </c>
      <c r="D202" s="21" t="str">
        <f>VLOOKUP('Програма-кодове'!W11,Списък!$A$1:$C$209,3,FALSE)</f>
        <v>химия</v>
      </c>
      <c r="E202" s="21" t="str">
        <f>VLOOKUP('Програма-кодове'!W18,Списък!$A$1:$C$209,3,FALSE)</f>
        <v>математика</v>
      </c>
      <c r="F202" s="21" t="str">
        <f>VLOOKUP('Програма-кодове'!W25,Списък!$A$1:$C$209,3,FALSE)</f>
        <v>бълг. език</v>
      </c>
      <c r="G202" s="21" t="str">
        <f>VLOOKUP('Програма-кодове'!W32,Списък!$A$1:$C$209,3,FALSE)</f>
        <v>английски език</v>
      </c>
    </row>
    <row r="203" spans="1:17" ht="12.75" customHeight="1">
      <c r="A203" s="397"/>
      <c r="B203" s="43">
        <v>4</v>
      </c>
      <c r="C203" s="21" t="str">
        <f>VLOOKUP('Програма-кодове'!W5,Списък!$A$1:$C$210,3,FALSE)</f>
        <v>английски език</v>
      </c>
      <c r="D203" s="21" t="str">
        <f>VLOOKUP('Програма-кодове'!W12,Списък!$A$1:$C$209,3,FALSE)</f>
        <v>информатика</v>
      </c>
      <c r="E203" s="21" t="str">
        <f>VLOOKUP('Програма-кодове'!W19,Списък!$A$1:$C$209,3,FALSE)</f>
        <v>история</v>
      </c>
      <c r="F203" s="21" t="str">
        <f>VLOOKUP('Програма-кодове'!W26,Списък!$A$1:$C$209,3,FALSE)</f>
        <v>бълг. език</v>
      </c>
      <c r="G203" s="21" t="str">
        <f>VLOOKUP('Програма-кодове'!W33,Списък!$A$1:$C$209,3,FALSE)</f>
        <v>философия</v>
      </c>
    </row>
    <row r="204" spans="1:17" ht="12.75" customHeight="1">
      <c r="A204" s="397"/>
      <c r="B204" s="43">
        <v>5</v>
      </c>
      <c r="C204" s="21" t="str">
        <f>VLOOKUP('Програма-кодове'!W6,Списък!$A$1:$C$210,3,FALSE)</f>
        <v>география</v>
      </c>
      <c r="D204" s="21" t="str">
        <f>VLOOKUP('Програма-кодове'!W13,Списък!$A$1:$C$209,3,FALSE)</f>
        <v>биология</v>
      </c>
      <c r="E204" s="21" t="str">
        <f>VLOOKUP('Програма-кодове'!W20,Списък!$A$1:$C$209,3,FALSE)</f>
        <v>география</v>
      </c>
      <c r="F204" s="21" t="str">
        <f>VLOOKUP('Програма-кодове'!W27,Списък!$A$1:$C$209,3,FALSE)</f>
        <v>физика</v>
      </c>
      <c r="G204" s="21" t="str">
        <f>VLOOKUP('Програма-кодове'!W34,Списък!$A$1:$C$209,3,FALSE)</f>
        <v>биология</v>
      </c>
    </row>
    <row r="205" spans="1:17" ht="12.75" customHeight="1">
      <c r="A205" s="397"/>
      <c r="B205" s="43">
        <v>6</v>
      </c>
      <c r="C205" s="21" t="str">
        <f>VLOOKUP('Програма-кодове'!W7,Списък!$A$1:$C$210,3,FALSE)</f>
        <v>бълг. език</v>
      </c>
      <c r="D205" s="21" t="str">
        <f>VLOOKUP('Програма-кодове'!W14,Списък!$A$1:$C$209,3,FALSE)</f>
        <v>математика</v>
      </c>
      <c r="E205" s="21" t="str">
        <f>VLOOKUP('Програма-кодове'!W21,Списък!$A$1:$C$209,3,FALSE)</f>
        <v>информатика</v>
      </c>
      <c r="F205" s="21" t="str">
        <f>VLOOKUP('Програма-кодове'!W28,Списък!$A$1:$C$209,3,FALSE)</f>
        <v>химия</v>
      </c>
      <c r="G205" s="21" t="str">
        <f>VLOOKUP('Програма-кодове'!W35,Списък!$A$1:$C$209,3,FALSE)</f>
        <v>математика</v>
      </c>
    </row>
    <row r="206" spans="1:17" ht="12.75" customHeight="1">
      <c r="A206" s="397"/>
      <c r="B206" s="43">
        <v>7</v>
      </c>
      <c r="C206" s="21" t="str">
        <f>VLOOKUP('Програма-кодове'!W8,Списък!$A$1:$C$210,3,FALSE)</f>
        <v>информатика</v>
      </c>
      <c r="D206" s="21" t="str">
        <f>VLOOKUP('Програма-кодове'!W15,Списък!$A$1:$C$209,3,FALSE)</f>
        <v>физика</v>
      </c>
      <c r="E206" s="21" t="s">
        <v>59</v>
      </c>
      <c r="F206" s="21">
        <f>VLOOKUP('Програма-кодове'!W29,Списък!$A$1:$C$209,3,FALSE)</f>
        <v>0</v>
      </c>
      <c r="G206" s="21">
        <f>VLOOKUP('Програма-кодове'!W36,Списък!$A$1:$C$209,3,FALSE)</f>
        <v>0</v>
      </c>
    </row>
    <row r="207" spans="1:17" ht="12.75" customHeight="1" thickBot="1">
      <c r="A207" s="124"/>
    </row>
    <row r="208" spans="1:17" ht="12.75" customHeight="1" thickTop="1">
      <c r="A208" s="114"/>
      <c r="B208" s="115"/>
      <c r="C208" s="116" t="s">
        <v>24</v>
      </c>
      <c r="D208" s="116" t="s">
        <v>25</v>
      </c>
      <c r="E208" s="116" t="s">
        <v>26</v>
      </c>
      <c r="F208" s="116" t="s">
        <v>130</v>
      </c>
      <c r="G208" s="116" t="s">
        <v>28</v>
      </c>
    </row>
    <row r="209" spans="1:18" ht="12.75" customHeight="1">
      <c r="A209" s="397" t="s">
        <v>150</v>
      </c>
      <c r="B209" s="43">
        <v>1</v>
      </c>
      <c r="C209" s="21" t="str">
        <f>VLOOKUP('Програма-кодове'!X2,Списък!$A$1:$C$210,3,FALSE)</f>
        <v>математика</v>
      </c>
      <c r="D209" s="21" t="str">
        <f>VLOOKUP('Програма-кодове'!X9,Списък!$A$1:$C$209,3,FALSE)</f>
        <v>немски език</v>
      </c>
      <c r="E209" s="21" t="str">
        <f>VLOOKUP('Програма-кодове'!X16,Списък!$A$1:$C$209,3,FALSE)</f>
        <v>немски език</v>
      </c>
      <c r="F209" s="21" t="str">
        <f>VLOOKUP('Програма-кодове'!X23,Списък!$A$1:$C$209,3,FALSE)</f>
        <v>бълг. език</v>
      </c>
      <c r="G209" s="21" t="str">
        <f>VLOOKUP('Програма-кодове'!X30,Списък!$A$1:$C$209,3,FALSE)</f>
        <v>химия</v>
      </c>
    </row>
    <row r="210" spans="1:18" s="43" customFormat="1" ht="12.75" customHeight="1">
      <c r="A210" s="397"/>
      <c r="B210" s="43">
        <v>2</v>
      </c>
      <c r="C210" s="21" t="str">
        <f>VLOOKUP('Програма-кодове'!X3,Списък!$A$1:$C$210,3,FALSE)</f>
        <v>физкултура</v>
      </c>
      <c r="D210" s="21" t="str">
        <f>VLOOKUP('Програма-кодове'!X10,Списък!$A$1:$C$209,3,FALSE)</f>
        <v>информатика</v>
      </c>
      <c r="E210" s="21" t="str">
        <f>VLOOKUP('Програма-кодове'!X17,Списък!$A$1:$C$209,3,FALSE)</f>
        <v>немски език</v>
      </c>
      <c r="F210" s="21" t="str">
        <f>VLOOKUP('Програма-кодове'!X24,Списък!$A$1:$C$209,3,FALSE)</f>
        <v>бълг. език</v>
      </c>
      <c r="G210" s="21" t="str">
        <f>VLOOKUP('Програма-кодове'!X31,Списък!$A$1:$C$209,3,FALSE)</f>
        <v>информатика</v>
      </c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</row>
    <row r="211" spans="1:18" ht="12.75" customHeight="1">
      <c r="A211" s="397"/>
      <c r="B211" s="43">
        <v>3</v>
      </c>
      <c r="C211" s="21" t="str">
        <f>VLOOKUP('Програма-кодове'!X4,Списък!$A$1:$C$210,3,FALSE)</f>
        <v>английски език</v>
      </c>
      <c r="D211" s="21" t="str">
        <f>VLOOKUP('Програма-кодове'!X11,Списък!$A$1:$C$209,3,FALSE)</f>
        <v>философия</v>
      </c>
      <c r="E211" s="21" t="str">
        <f>VLOOKUP('Програма-кодове'!X18,Списък!$A$1:$C$209,3,FALSE)</f>
        <v>физкултура</v>
      </c>
      <c r="F211" s="21" t="str">
        <f>VLOOKUP('Програма-кодове'!X25,Списък!$A$1:$C$209,3,FALSE)</f>
        <v>английски език</v>
      </c>
      <c r="G211" s="21" t="str">
        <f>VLOOKUP('Програма-кодове'!X32,Списък!$A$1:$C$209,3,FALSE)</f>
        <v>немски език</v>
      </c>
    </row>
    <row r="212" spans="1:18" ht="12.75" customHeight="1">
      <c r="A212" s="397"/>
      <c r="B212" s="43">
        <v>4</v>
      </c>
      <c r="C212" s="21" t="str">
        <f>VLOOKUP('Програма-кодове'!X5,Списък!$A$1:$C$210,3,FALSE)</f>
        <v>география</v>
      </c>
      <c r="D212" s="21" t="str">
        <f>VLOOKUP('Програма-кодове'!X12,Списък!$A$1:$C$209,3,FALSE)</f>
        <v>математика</v>
      </c>
      <c r="E212" s="21" t="str">
        <f>VLOOKUP('Програма-кодове'!X19,Списък!$A$1:$C$209,3,FALSE)</f>
        <v>биология</v>
      </c>
      <c r="F212" s="21" t="str">
        <f>VLOOKUP('Програма-кодове'!X26,Списък!$A$1:$C$209,3,FALSE)</f>
        <v>история</v>
      </c>
      <c r="G212" s="21" t="str">
        <f>VLOOKUP('Програма-кодове'!X33,Списък!$A$1:$C$209,3,FALSE)</f>
        <v>математика</v>
      </c>
    </row>
    <row r="213" spans="1:18" ht="12.75" customHeight="1">
      <c r="A213" s="397"/>
      <c r="B213" s="43">
        <v>5</v>
      </c>
      <c r="C213" s="21" t="str">
        <f>VLOOKUP('Програма-кодове'!X6,Списък!$A$1:$C$210,3,FALSE)</f>
        <v>история</v>
      </c>
      <c r="D213" s="21" t="str">
        <f>VLOOKUP('Програма-кодове'!X13,Списък!$A$1:$C$209,3,FALSE)</f>
        <v>физика</v>
      </c>
      <c r="E213" s="21" t="str">
        <f>VLOOKUP('Програма-кодове'!X20,Списък!$A$1:$C$209,3,FALSE)</f>
        <v>информатика</v>
      </c>
      <c r="F213" s="21" t="str">
        <f>VLOOKUP('Програма-кодове'!X27,Списък!$A$1:$C$209,3,FALSE)</f>
        <v>география</v>
      </c>
      <c r="G213" s="21" t="str">
        <f>VLOOKUP('Програма-кодове'!X34,Списък!$A$1:$C$209,3,FALSE)</f>
        <v>математика</v>
      </c>
    </row>
    <row r="214" spans="1:18" ht="12.75" customHeight="1">
      <c r="A214" s="397"/>
      <c r="B214" s="43">
        <v>6</v>
      </c>
      <c r="C214" s="21" t="str">
        <f>VLOOKUP('Програма-кодове'!X7,Списък!$A$1:$C$210,3,FALSE)</f>
        <v>биология</v>
      </c>
      <c r="D214" s="21" t="str">
        <f>VLOOKUP('Програма-кодове'!X14,Списък!$A$1:$C$209,3,FALSE)</f>
        <v>английски език</v>
      </c>
      <c r="E214" s="21" t="str">
        <f>VLOOKUP('Програма-кодове'!X21,Списък!$A$1:$C$209,3,FALSE)</f>
        <v>химия</v>
      </c>
      <c r="F214" s="21" t="str">
        <f>VLOOKUP('Програма-кодове'!X28,Списък!$A$1:$C$209,3,FALSE)</f>
        <v>физика</v>
      </c>
      <c r="G214" s="21" t="str">
        <f>VLOOKUP('Програма-кодове'!X35,Списък!$A$1:$C$209,3,FALSE)</f>
        <v>английски език</v>
      </c>
    </row>
    <row r="215" spans="1:18" ht="12.75" customHeight="1">
      <c r="A215" s="397"/>
      <c r="B215" s="43">
        <v>7</v>
      </c>
      <c r="C215" s="21" t="str">
        <f>VLOOKUP('Програма-кодове'!X8,Списък!$A$1:$C$210,3,FALSE)</f>
        <v>бълг. език</v>
      </c>
      <c r="D215" s="21" t="str">
        <f>VLOOKUP('Програма-кодове'!X15,Списък!$A$1:$C$209,3,FALSE)</f>
        <v>английски език</v>
      </c>
      <c r="E215" s="21" t="s">
        <v>59</v>
      </c>
      <c r="F215" s="21">
        <f>VLOOKUP('Програма-кодове'!X29,Списък!$A$1:$C$209,3,FALSE)</f>
        <v>0</v>
      </c>
      <c r="G215" s="21">
        <f>VLOOKUP('Програма-кодове'!X36,Списък!$A$1:$C$209,3,FALSE)</f>
        <v>0</v>
      </c>
    </row>
    <row r="216" spans="1:18" ht="12.75" customHeight="1" thickBot="1">
      <c r="A216" s="124"/>
    </row>
    <row r="217" spans="1:18" ht="12.75" customHeight="1" thickTop="1">
      <c r="A217" s="114"/>
      <c r="B217" s="115"/>
      <c r="C217" s="116" t="s">
        <v>24</v>
      </c>
      <c r="D217" s="116" t="s">
        <v>25</v>
      </c>
      <c r="E217" s="116" t="s">
        <v>26</v>
      </c>
      <c r="F217" s="116" t="s">
        <v>130</v>
      </c>
      <c r="G217" s="116" t="s">
        <v>28</v>
      </c>
    </row>
    <row r="218" spans="1:18" ht="12.75" customHeight="1">
      <c r="A218" s="397" t="s">
        <v>151</v>
      </c>
      <c r="B218" s="43">
        <v>1</v>
      </c>
      <c r="C218" s="21" t="str">
        <f>VLOOKUP('Програма-кодове'!Y2,Списък!$A$1:$C$210,3,FALSE)</f>
        <v>география</v>
      </c>
      <c r="D218" s="21" t="str">
        <f>VLOOKUP('Програма-кодове'!Y9,Списък!$A$1:$C$209,3,FALSE)</f>
        <v>химия</v>
      </c>
      <c r="E218" s="21" t="str">
        <f>VLOOKUP('Програма-кодове'!Y16,Списък!$A$1:$C$209,3,FALSE)</f>
        <v>биология</v>
      </c>
      <c r="F218" s="21" t="str">
        <f>VLOOKUP('Програма-кодове'!Y23,Списък!$A$1:$C$209,3,FALSE)</f>
        <v>философия</v>
      </c>
      <c r="G218" s="21" t="str">
        <f>VLOOKUP('Програма-кодове'!Y30,Списък!$A$1:$C$209,3,FALSE)</f>
        <v>история</v>
      </c>
    </row>
    <row r="219" spans="1:18" ht="12.75" customHeight="1">
      <c r="A219" s="397"/>
      <c r="B219" s="43">
        <v>2</v>
      </c>
      <c r="C219" s="21" t="str">
        <f>VLOOKUP('Програма-кодове'!Y3,Списък!$A$1:$C$210,3,FALSE)</f>
        <v>английски език</v>
      </c>
      <c r="D219" s="21" t="str">
        <f>VLOOKUP('Програма-кодове'!Y10,Списък!$A$1:$C$209,3,FALSE)</f>
        <v>химия</v>
      </c>
      <c r="E219" s="21" t="str">
        <f>VLOOKUP('Програма-кодове'!Y17,Списък!$A$1:$C$209,3,FALSE)</f>
        <v>биология</v>
      </c>
      <c r="F219" s="21" t="str">
        <f>VLOOKUP('Програма-кодове'!Y24,Списък!$A$1:$C$209,3,FALSE)</f>
        <v>математика</v>
      </c>
      <c r="G219" s="21" t="str">
        <f>VLOOKUP('Програма-кодове'!Y31,Списък!$A$1:$C$209,3,FALSE)</f>
        <v>биология</v>
      </c>
    </row>
    <row r="220" spans="1:18" s="43" customFormat="1" ht="12.75" customHeight="1">
      <c r="A220" s="397"/>
      <c r="B220" s="43">
        <v>3</v>
      </c>
      <c r="C220" s="21" t="str">
        <f>VLOOKUP('Програма-кодове'!Y4,Списък!$A$1:$C$210,3,FALSE)</f>
        <v>биология</v>
      </c>
      <c r="D220" s="21" t="str">
        <f>VLOOKUP('Програма-кодове'!Y11,Списък!$A$1:$C$209,3,FALSE)</f>
        <v>биология</v>
      </c>
      <c r="E220" s="21" t="str">
        <f>VLOOKUP('Програма-кодове'!Y18,Списък!$A$1:$C$209,3,FALSE)</f>
        <v>география</v>
      </c>
      <c r="F220" s="21" t="str">
        <f>VLOOKUP('Програма-кодове'!Y25,Списък!$A$1:$C$209,3,FALSE)</f>
        <v>биология</v>
      </c>
      <c r="G220" s="21" t="str">
        <f>VLOOKUP('Програма-кодове'!Y32,Списък!$A$1:$C$209,3,FALSE)</f>
        <v>химия</v>
      </c>
      <c r="H220" s="21"/>
      <c r="I220" s="21"/>
      <c r="J220" s="21"/>
      <c r="K220" s="21"/>
      <c r="L220" s="21"/>
      <c r="M220" s="21"/>
      <c r="N220" s="21"/>
      <c r="O220" s="21"/>
      <c r="P220" s="21"/>
      <c r="Q220" s="21"/>
    </row>
    <row r="221" spans="1:18" ht="12.75" customHeight="1">
      <c r="A221" s="397"/>
      <c r="B221" s="43">
        <v>4</v>
      </c>
      <c r="C221" s="21" t="str">
        <f>VLOOKUP('Програма-кодове'!Y5,Списък!$A$1:$C$210,3,FALSE)</f>
        <v>ІІ - ри чужд език</v>
      </c>
      <c r="D221" s="21" t="str">
        <f>VLOOKUP('Програма-кодове'!Y12,Списък!$A$1:$C$209,3,FALSE)</f>
        <v>физкултура</v>
      </c>
      <c r="E221" s="21" t="str">
        <f>VLOOKUP('Програма-кодове'!Y19,Списък!$A$1:$C$209,3,FALSE)</f>
        <v>химия</v>
      </c>
      <c r="F221" s="21" t="str">
        <f>VLOOKUP('Програма-кодове'!Y26,Списък!$A$1:$C$209,3,FALSE)</f>
        <v>английски език</v>
      </c>
      <c r="G221" s="21" t="str">
        <f>VLOOKUP('Програма-кодове'!Y33,Списък!$A$1:$C$209,3,FALSE)</f>
        <v>физика</v>
      </c>
    </row>
    <row r="222" spans="1:18" ht="12.75" customHeight="1">
      <c r="A222" s="397"/>
      <c r="B222" s="43">
        <v>5</v>
      </c>
      <c r="C222" s="21" t="str">
        <f>VLOOKUP('Програма-кодове'!Y6,Списък!$A$1:$C$210,3,FALSE)</f>
        <v>ІІ - ри чужд език</v>
      </c>
      <c r="D222" s="21" t="str">
        <f>VLOOKUP('Програма-кодове'!Y13,Списък!$A$1:$C$209,3,FALSE)</f>
        <v>математика</v>
      </c>
      <c r="E222" s="21" t="str">
        <f>VLOOKUP('Програма-кодове'!Y20,Списък!$A$1:$C$209,3,FALSE)</f>
        <v>английски език</v>
      </c>
      <c r="F222" s="21" t="str">
        <f>VLOOKUP('Програма-кодове'!Y27,Списък!$A$1:$C$209,3,FALSE)</f>
        <v>бълг. език</v>
      </c>
      <c r="G222" s="21" t="str">
        <f>VLOOKUP('Програма-кодове'!Y34,Списък!$A$1:$C$209,3,FALSE)</f>
        <v>английски език</v>
      </c>
    </row>
    <row r="223" spans="1:18" ht="12.75" customHeight="1">
      <c r="A223" s="397"/>
      <c r="B223" s="43">
        <v>6</v>
      </c>
      <c r="C223" s="21" t="str">
        <f>VLOOKUP('Програма-кодове'!Y7,Списък!$A$1:$C$210,3,FALSE)</f>
        <v>история</v>
      </c>
      <c r="D223" s="21" t="str">
        <f>VLOOKUP('Програма-кодове'!Y14,Списък!$A$1:$C$209,3,FALSE)</f>
        <v>физика</v>
      </c>
      <c r="E223" s="21" t="str">
        <f>VLOOKUP('Програма-кодове'!Y21,Списък!$A$1:$C$209,3,FALSE)</f>
        <v>английски език</v>
      </c>
      <c r="F223" s="21" t="str">
        <f>VLOOKUP('Програма-кодове'!Y28,Списък!$A$1:$C$209,3,FALSE)</f>
        <v>бълг. език</v>
      </c>
      <c r="G223" s="21" t="str">
        <f>VLOOKUP('Програма-кодове'!Y35,Списък!$A$1:$C$209,3,FALSE)</f>
        <v>физкултура</v>
      </c>
    </row>
    <row r="224" spans="1:18" ht="12.75" customHeight="1">
      <c r="A224" s="397"/>
      <c r="B224" s="43">
        <v>7</v>
      </c>
      <c r="C224" s="21" t="str">
        <f>VLOOKUP('Програма-кодове'!Y8,Списък!$A$1:$C$210,3,FALSE)</f>
        <v>химия</v>
      </c>
      <c r="D224" s="21" t="str">
        <f>VLOOKUP('Програма-кодове'!Y15,Списък!$A$1:$C$209,3,FALSE)</f>
        <v>бълг. език</v>
      </c>
      <c r="E224" s="21" t="str">
        <f>VLOOKUP('Програма-кодове'!Y22,Списък!$A$1:$C$209,3,FALSE)</f>
        <v>биология</v>
      </c>
      <c r="F224" s="21">
        <f>VLOOKUP('Програма-кодове'!Y29,Списък!$A$1:$C$209,3,FALSE)</f>
        <v>0</v>
      </c>
      <c r="G224" s="21">
        <f>VLOOKUP('Програма-кодове'!Y36,Списък!$A$1:$C$209,3,FALSE)</f>
        <v>0</v>
      </c>
    </row>
    <row r="225" spans="1:7" ht="12.75" customHeight="1" thickBot="1">
      <c r="A225" s="124"/>
    </row>
    <row r="226" spans="1:7" ht="11.25" customHeight="1" thickTop="1">
      <c r="A226" s="114"/>
      <c r="B226" s="115"/>
      <c r="C226" s="116" t="s">
        <v>24</v>
      </c>
      <c r="D226" s="116" t="s">
        <v>25</v>
      </c>
      <c r="E226" s="116" t="s">
        <v>26</v>
      </c>
      <c r="F226" s="116" t="s">
        <v>130</v>
      </c>
      <c r="G226" s="116" t="s">
        <v>28</v>
      </c>
    </row>
    <row r="227" spans="1:7" ht="11.25" customHeight="1">
      <c r="A227" s="397" t="s">
        <v>152</v>
      </c>
      <c r="B227" s="43">
        <v>1</v>
      </c>
      <c r="C227" s="21" t="str">
        <f>VLOOKUP('Програма-кодове'!Z2,Списък!$A$1:$C$210,3,FALSE)</f>
        <v>физика</v>
      </c>
      <c r="D227" s="21" t="str">
        <f>VLOOKUP('Програма-кодове'!Z9,Списък!$A$1:$C$209,3,FALSE)</f>
        <v>информатика</v>
      </c>
      <c r="E227" s="21" t="str">
        <f>VLOOKUP('Програма-кодове'!Z16,Списък!$A$1:$C$209,3,FALSE)</f>
        <v>английски език</v>
      </c>
      <c r="F227" s="21" t="str">
        <f>VLOOKUP('Програма-кодове'!Z23,Списък!$A$1:$C$209,3,FALSE)</f>
        <v>информатика</v>
      </c>
      <c r="G227" s="21" t="str">
        <f>VLOOKUP('Програма-кодове'!Z30,Списък!$A$1:$C$209,3,FALSE)</f>
        <v>английски език</v>
      </c>
    </row>
    <row r="228" spans="1:7" ht="11.25" customHeight="1">
      <c r="A228" s="397"/>
      <c r="B228" s="43">
        <v>2</v>
      </c>
      <c r="C228" s="21" t="str">
        <f>VLOOKUP('Програма-кодове'!Z3,Списък!$A$1:$C$210,3,FALSE)</f>
        <v>информатика</v>
      </c>
      <c r="D228" s="21" t="str">
        <f>VLOOKUP('Програма-кодове'!Z10,Списък!$A$1:$C$209,3,FALSE)</f>
        <v>география</v>
      </c>
      <c r="E228" s="21" t="str">
        <f>VLOOKUP('Програма-кодове'!Z17,Списък!$A$1:$C$209,3,FALSE)</f>
        <v>бълг. език</v>
      </c>
      <c r="F228" s="21" t="str">
        <f>VLOOKUP('Програма-кодове'!Z24,Списък!$A$1:$C$209,3,FALSE)</f>
        <v>информатика</v>
      </c>
      <c r="G228" s="21" t="str">
        <f>VLOOKUP('Програма-кодове'!Z31,Списък!$A$1:$C$209,3,FALSE)</f>
        <v>история</v>
      </c>
    </row>
    <row r="229" spans="1:7">
      <c r="A229" s="397"/>
      <c r="B229" s="43">
        <v>3</v>
      </c>
      <c r="C229" s="21" t="str">
        <f>VLOOKUP('Програма-кодове'!Z4,Списък!$A$1:$C$210,3,FALSE)</f>
        <v>математика</v>
      </c>
      <c r="D229" s="21" t="str">
        <f>VLOOKUP('Програма-кодове'!Z11,Списък!$A$1:$C$209,3,FALSE)</f>
        <v>английски език</v>
      </c>
      <c r="E229" s="21" t="str">
        <f>VLOOKUP('Програма-кодове'!Z18,Списък!$A$1:$C$209,3,FALSE)</f>
        <v>физкултура</v>
      </c>
      <c r="F229" s="21" t="str">
        <f>VLOOKUP('Програма-кодове'!Z25,Списък!$A$1:$C$209,3,FALSE)</f>
        <v>математика</v>
      </c>
      <c r="G229" s="21" t="str">
        <f>VLOOKUP('Програма-кодове'!Z32,Списък!$A$1:$C$209,3,FALSE)</f>
        <v>математика</v>
      </c>
    </row>
    <row r="230" spans="1:7">
      <c r="A230" s="397"/>
      <c r="B230" s="43">
        <v>4</v>
      </c>
      <c r="C230" s="21" t="str">
        <f>VLOOKUP('Програма-кодове'!Z5,Списък!$A$1:$C$210,3,FALSE)</f>
        <v>английски език</v>
      </c>
      <c r="D230" s="21" t="str">
        <f>VLOOKUP('Програма-кодове'!Z12,Списък!$A$1:$C$209,3,FALSE)</f>
        <v>математика</v>
      </c>
      <c r="E230" s="21" t="str">
        <f>VLOOKUP('Програма-кодове'!Z19,Списък!$A$1:$C$209,3,FALSE)</f>
        <v>математика</v>
      </c>
      <c r="F230" s="21" t="str">
        <f>VLOOKUP('Програма-кодове'!Z26,Списък!$A$1:$C$209,3,FALSE)</f>
        <v>математика</v>
      </c>
      <c r="G230" s="21" t="str">
        <f>VLOOKUP('Програма-кодове'!Z33,Списък!$A$1:$C$209,3,FALSE)</f>
        <v>математика</v>
      </c>
    </row>
    <row r="231" spans="1:7">
      <c r="A231" s="397"/>
      <c r="B231" s="43">
        <v>5</v>
      </c>
      <c r="C231" s="21" t="str">
        <f>VLOOKUP('Програма-кодове'!Z6,Списък!$A$1:$C$210,3,FALSE)</f>
        <v>английски език</v>
      </c>
      <c r="D231" s="21" t="str">
        <f>VLOOKUP('Програма-кодове'!Z13,Списък!$A$1:$C$209,3,FALSE)</f>
        <v>математика</v>
      </c>
      <c r="E231" s="21" t="str">
        <f>VLOOKUP('Програма-кодове'!Z20,Списък!$A$1:$C$209,3,FALSE)</f>
        <v>информатика</v>
      </c>
      <c r="F231" s="21" t="str">
        <f>VLOOKUP('Програма-кодове'!Z27,Списък!$A$1:$C$209,3,FALSE)</f>
        <v>бълг. език</v>
      </c>
      <c r="G231" s="21" t="str">
        <f>VLOOKUP('Програма-кодове'!Z34,Списък!$A$1:$C$209,3,FALSE)</f>
        <v>ІІ - ри чужд език</v>
      </c>
    </row>
    <row r="232" spans="1:7">
      <c r="A232" s="397"/>
      <c r="B232" s="43">
        <v>6</v>
      </c>
      <c r="C232" s="21" t="str">
        <f>VLOOKUP('Програма-кодове'!Z7,Списък!$A$1:$C$210,3,FALSE)</f>
        <v>бълг. език</v>
      </c>
      <c r="D232" s="21" t="str">
        <f>VLOOKUP('Програма-кодове'!Z14,Списък!$A$1:$C$209,3,FALSE)</f>
        <v>физкултура</v>
      </c>
      <c r="E232" s="21" t="str">
        <f>VLOOKUP('Програма-кодове'!Z21,Списък!$A$1:$C$209,3,FALSE)</f>
        <v>история</v>
      </c>
      <c r="F232" s="21" t="str">
        <f>VLOOKUP('Програма-кодове'!Z28,Списък!$A$1:$C$209,3,FALSE)</f>
        <v>философия</v>
      </c>
      <c r="G232" s="21" t="str">
        <f>VLOOKUP('Програма-кодове'!Z35,Списък!$A$1:$C$209,3,FALSE)</f>
        <v>ІІ - ри чужд език</v>
      </c>
    </row>
    <row r="233" spans="1:7">
      <c r="A233" s="397"/>
      <c r="B233" s="43">
        <v>7</v>
      </c>
      <c r="C233" s="21" t="str">
        <f>VLOOKUP('Програма-кодове'!Z8,Списък!$A$1:$C$210,3,FALSE)</f>
        <v>бълг. език</v>
      </c>
      <c r="D233" s="21" t="str">
        <f>VLOOKUP('Програма-кодове'!Z15,Списък!$A$1:$C$209,3,FALSE)</f>
        <v>философия</v>
      </c>
      <c r="E233" s="21" t="s">
        <v>59</v>
      </c>
      <c r="F233" s="21">
        <f>VLOOKUP('Програма-кодове'!Z29,Списък!$A$1:$C$209,3,FALSE)</f>
        <v>0</v>
      </c>
      <c r="G233" s="21">
        <f>VLOOKUP('Програма-кодове'!Z36,Списък!$A$1:$C$209,3,FALSE)</f>
        <v>0</v>
      </c>
    </row>
    <row r="234" spans="1:7" ht="13.5" thickBot="1">
      <c r="A234" s="124"/>
    </row>
    <row r="235" spans="1:7" ht="13.5" thickTop="1">
      <c r="A235" s="114"/>
      <c r="B235" s="115"/>
      <c r="C235" s="116" t="s">
        <v>24</v>
      </c>
      <c r="D235" s="116" t="s">
        <v>25</v>
      </c>
      <c r="E235" s="116" t="s">
        <v>26</v>
      </c>
      <c r="F235" s="116" t="s">
        <v>130</v>
      </c>
      <c r="G235" s="116" t="s">
        <v>28</v>
      </c>
    </row>
    <row r="236" spans="1:7">
      <c r="A236" s="397" t="s">
        <v>153</v>
      </c>
      <c r="B236" s="43">
        <v>1</v>
      </c>
      <c r="C236" s="21" t="str">
        <f>VLOOKUP('Програма-кодове'!AA2,Списък!$A$1:$C$210,3,FALSE)</f>
        <v>английски език</v>
      </c>
      <c r="D236" s="21" t="str">
        <f>VLOOKUP('Програма-кодове'!AA9,Списък!$A$1:$C$209,3,FALSE)</f>
        <v>география</v>
      </c>
      <c r="E236" s="21" t="str">
        <f>VLOOKUP('Програма-кодове'!AA16,Списък!$A$1:$C$209,3,FALSE)</f>
        <v>математика</v>
      </c>
      <c r="F236" s="21" t="str">
        <f>VLOOKUP('Програма-кодове'!AA23,Списък!$A$1:$C$209,3,FALSE)</f>
        <v>история</v>
      </c>
      <c r="G236" s="21" t="str">
        <f>VLOOKUP('Програма-кодове'!AA30,Списък!$A$1:$C$209,3,FALSE)</f>
        <v>философия</v>
      </c>
    </row>
    <row r="237" spans="1:7">
      <c r="A237" s="397"/>
      <c r="B237" s="43">
        <v>2</v>
      </c>
      <c r="C237" s="21" t="str">
        <f>VLOOKUP('Програма-кодове'!AA3,Списък!$A$1:$C$210,3,FALSE)</f>
        <v>английски език</v>
      </c>
      <c r="D237" s="21" t="str">
        <f>VLOOKUP('Програма-кодове'!AA10,Списък!$A$1:$C$209,3,FALSE)</f>
        <v>информатика</v>
      </c>
      <c r="E237" s="21" t="str">
        <f>VLOOKUP('Програма-кодове'!AA17,Списък!$A$1:$C$209,3,FALSE)</f>
        <v>физкултура</v>
      </c>
      <c r="F237" s="21" t="str">
        <f>VLOOKUP('Програма-кодове'!AA24,Списък!$A$1:$C$209,3,FALSE)</f>
        <v>бълг. език</v>
      </c>
      <c r="G237" s="21" t="str">
        <f>VLOOKUP('Програма-кодове'!AA31,Списък!$A$1:$C$209,3,FALSE)</f>
        <v>английски език</v>
      </c>
    </row>
    <row r="238" spans="1:7">
      <c r="A238" s="397"/>
      <c r="B238" s="43">
        <v>3</v>
      </c>
      <c r="C238" s="21" t="str">
        <f>VLOOKUP('Програма-кодове'!AA4,Списък!$A$1:$C$210,3,FALSE)</f>
        <v>математика</v>
      </c>
      <c r="D238" s="21" t="str">
        <f>VLOOKUP('Програма-кодове'!AA11,Списък!$A$1:$C$209,3,FALSE)</f>
        <v>бълг. език</v>
      </c>
      <c r="E238" s="21" t="str">
        <f>VLOOKUP('Програма-кодове'!AA18,Списък!$A$1:$C$209,3,FALSE)</f>
        <v>информатика</v>
      </c>
      <c r="F238" s="21" t="str">
        <f>VLOOKUP('Програма-кодове'!AA25,Списък!$A$1:$C$209,3,FALSE)</f>
        <v>информатика</v>
      </c>
      <c r="G238" s="21" t="str">
        <f>VLOOKUP('Програма-кодове'!AA32,Списък!$A$1:$C$209,3,FALSE)</f>
        <v>история</v>
      </c>
    </row>
    <row r="239" spans="1:7">
      <c r="A239" s="397"/>
      <c r="B239" s="43">
        <v>4</v>
      </c>
      <c r="C239" s="21" t="str">
        <f>VLOOKUP('Програма-кодове'!AA5,Списък!$A$1:$C$210,3,FALSE)</f>
        <v>математика</v>
      </c>
      <c r="D239" s="21" t="str">
        <f>VLOOKUP('Програма-кодове'!AA12,Списък!$A$1:$C$209,3,FALSE)</f>
        <v>бълг. език</v>
      </c>
      <c r="E239" s="21" t="str">
        <f>VLOOKUP('Програма-кодове'!AA19,Списък!$A$1:$C$209,3,FALSE)</f>
        <v>английски език</v>
      </c>
      <c r="F239" s="21" t="str">
        <f>VLOOKUP('Програма-кодове'!AA26,Списък!$A$1:$C$209,3,FALSE)</f>
        <v>информатика</v>
      </c>
      <c r="G239" s="21" t="str">
        <f>VLOOKUP('Програма-кодове'!AA33,Списък!$A$1:$C$209,3,FALSE)</f>
        <v>бълг. език</v>
      </c>
    </row>
    <row r="240" spans="1:7">
      <c r="A240" s="397"/>
      <c r="B240" s="43">
        <v>5</v>
      </c>
      <c r="C240" s="21" t="str">
        <f>VLOOKUP('Програма-кодове'!AA6,Списък!$A$1:$C$210,3,FALSE)</f>
        <v>информатика</v>
      </c>
      <c r="D240" s="21" t="str">
        <f>VLOOKUP('Програма-кодове'!AA13,Списък!$A$1:$C$209,3,FALSE)</f>
        <v>философия</v>
      </c>
      <c r="E240" s="21" t="str">
        <f>VLOOKUP('Програма-кодове'!AA20,Списък!$A$1:$C$209,3,FALSE)</f>
        <v>ІІ - ри чужд език</v>
      </c>
      <c r="F240" s="21" t="str">
        <f>VLOOKUP('Програма-кодове'!AA27,Списък!$A$1:$C$209,3,FALSE)</f>
        <v>математика</v>
      </c>
      <c r="G240" s="21" t="str">
        <f>VLOOKUP('Програма-кодове'!AA34,Списък!$A$1:$C$209,3,FALSE)</f>
        <v>математика</v>
      </c>
    </row>
    <row r="241" spans="1:7">
      <c r="A241" s="397"/>
      <c r="B241" s="43">
        <v>6</v>
      </c>
      <c r="C241" s="21" t="str">
        <f>VLOOKUP('Програма-кодове'!AA7,Списък!$A$1:$C$210,3,FALSE)</f>
        <v>физика</v>
      </c>
      <c r="D241" s="21" t="str">
        <f>VLOOKUP('Програма-кодове'!AA14,Списък!$A$1:$C$209,3,FALSE)</f>
        <v>математика</v>
      </c>
      <c r="E241" s="21" t="str">
        <f>VLOOKUP('Програма-кодове'!AA21,Списък!$A$1:$C$209,3,FALSE)</f>
        <v>ІІ - ри чужд език</v>
      </c>
      <c r="F241" s="21" t="str">
        <f>VLOOKUP('Програма-кодове'!AA28,Списък!$A$1:$C$209,3,FALSE)</f>
        <v>английски език</v>
      </c>
      <c r="G241" s="21" t="str">
        <f>VLOOKUP('Програма-кодове'!AA35,Списък!$A$1:$C$209,3,FALSE)</f>
        <v>математика</v>
      </c>
    </row>
    <row r="242" spans="1:7">
      <c r="A242" s="397"/>
      <c r="B242" s="43">
        <v>7</v>
      </c>
      <c r="C242" s="21" t="str">
        <f>VLOOKUP('Програма-кодове'!AA8,Списък!$A$1:$C$210,3,FALSE)</f>
        <v>физкултура</v>
      </c>
      <c r="D242" s="21" t="str">
        <f>VLOOKUP('Програма-кодове'!AA15,Списък!$A$1:$C$209,3,FALSE)</f>
        <v>математика</v>
      </c>
      <c r="E242" s="21" t="s">
        <v>59</v>
      </c>
      <c r="F242" s="21">
        <f>VLOOKUP('Програма-кодове'!AA29,Списък!$A$1:$C$209,3,FALSE)</f>
        <v>0</v>
      </c>
      <c r="G242" s="21">
        <f>VLOOKUP('Програма-кодове'!AA36,Списък!$A$1:$C$209,3,FALSE)</f>
        <v>0</v>
      </c>
    </row>
    <row r="243" spans="1:7" ht="13.5" thickBot="1">
      <c r="A243" s="124"/>
    </row>
    <row r="244" spans="1:7" ht="13.5" thickTop="1">
      <c r="A244" s="114"/>
      <c r="B244" s="115"/>
      <c r="C244" s="116" t="s">
        <v>24</v>
      </c>
      <c r="D244" s="116" t="s">
        <v>25</v>
      </c>
      <c r="E244" s="116" t="s">
        <v>26</v>
      </c>
      <c r="F244" s="116" t="s">
        <v>130</v>
      </c>
      <c r="G244" s="116" t="s">
        <v>28</v>
      </c>
    </row>
    <row r="245" spans="1:7">
      <c r="A245" s="397" t="s">
        <v>154</v>
      </c>
      <c r="B245" s="43">
        <v>1</v>
      </c>
      <c r="C245" s="21" t="str">
        <f>VLOOKUP('Програма-кодове'!AB2,Списък!$A$1:$C$210,3,FALSE)</f>
        <v>бълг. език</v>
      </c>
      <c r="D245" s="21" t="str">
        <f>VLOOKUP('Програма-кодове'!AB9,Списък!$A$1:$C$209,3,FALSE)</f>
        <v>математика</v>
      </c>
      <c r="E245" s="21" t="str">
        <f>VLOOKUP('Програма-кодове'!AB16,Списък!$A$1:$C$209,3,FALSE)</f>
        <v>математика</v>
      </c>
      <c r="F245" s="21" t="str">
        <f>VLOOKUP('Програма-кодове'!AB23,Списък!$A$1:$C$209,3,FALSE)</f>
        <v>свят и личност</v>
      </c>
      <c r="G245" s="21" t="str">
        <f>VLOOKUP('Програма-кодове'!AB30,Списък!$A$1:$C$209,3,FALSE)</f>
        <v>математика</v>
      </c>
    </row>
    <row r="246" spans="1:7">
      <c r="A246" s="397"/>
      <c r="B246" s="43">
        <v>2</v>
      </c>
      <c r="C246" s="21" t="str">
        <f>VLOOKUP('Програма-кодове'!AB3,Списък!$A$1:$C$210,3,FALSE)</f>
        <v>бълг. език</v>
      </c>
      <c r="D246" s="21" t="str">
        <f>VLOOKUP('Програма-кодове'!AB10,Списък!$A$1:$C$209,3,FALSE)</f>
        <v>математика</v>
      </c>
      <c r="E246" s="21" t="str">
        <f>VLOOKUP('Програма-кодове'!AB17,Списък!$A$1:$C$209,3,FALSE)</f>
        <v>математика</v>
      </c>
      <c r="F246" s="21" t="str">
        <f>VLOOKUP('Програма-кодове'!AB24,Списък!$A$1:$C$209,3,FALSE)</f>
        <v>физкултура</v>
      </c>
      <c r="G246" s="21" t="str">
        <f>VLOOKUP('Програма-кодове'!AB31,Списък!$A$1:$C$209,3,FALSE)</f>
        <v>математика</v>
      </c>
    </row>
    <row r="247" spans="1:7">
      <c r="A247" s="397"/>
      <c r="B247" s="43">
        <v>3</v>
      </c>
      <c r="C247" s="21" t="str">
        <f>VLOOKUP('Програма-кодове'!AB4,Списък!$A$1:$C$210,3,FALSE)</f>
        <v>информатика</v>
      </c>
      <c r="D247" s="21" t="str">
        <f>VLOOKUP('Програма-кодове'!AB11,Списък!$A$1:$C$209,3,FALSE)</f>
        <v>информатика</v>
      </c>
      <c r="E247" s="21" t="str">
        <f>VLOOKUP('Програма-кодове'!AB18,Списък!$A$1:$C$209,3,FALSE)</f>
        <v>бълг. език</v>
      </c>
      <c r="F247" s="21" t="str">
        <f>VLOOKUP('Програма-кодове'!AB25,Списък!$A$1:$C$209,3,FALSE)</f>
        <v>английски език</v>
      </c>
      <c r="G247" s="21" t="str">
        <f>VLOOKUP('Програма-кодове'!AB32,Списък!$A$1:$C$209,3,FALSE)</f>
        <v>информатика</v>
      </c>
    </row>
    <row r="248" spans="1:7">
      <c r="A248" s="397"/>
      <c r="B248" s="43">
        <v>4</v>
      </c>
      <c r="C248" s="21" t="str">
        <f>VLOOKUP('Програма-кодове'!AB5,Списък!$A$1:$C$210,3,FALSE)</f>
        <v>физика</v>
      </c>
      <c r="D248" s="21" t="str">
        <f>VLOOKUP('Програма-кодове'!AB12,Списък!$A$1:$C$209,3,FALSE)</f>
        <v>английски език</v>
      </c>
      <c r="E248" s="21" t="str">
        <f>VLOOKUP('Програма-кодове'!AB19,Списък!$A$1:$C$209,3,FALSE)</f>
        <v>информатика</v>
      </c>
      <c r="F248" s="21" t="str">
        <f>VLOOKUP('Програма-кодове'!AB26,Списък!$A$1:$C$209,3,FALSE)</f>
        <v>английски език</v>
      </c>
      <c r="G248" s="21" t="str">
        <f>VLOOKUP('Програма-кодове'!AB33,Списък!$A$1:$C$209,3,FALSE)</f>
        <v>информатика</v>
      </c>
    </row>
    <row r="249" spans="1:7">
      <c r="A249" s="397"/>
      <c r="B249" s="43">
        <v>5</v>
      </c>
      <c r="C249" s="21" t="str">
        <f>VLOOKUP('Програма-кодове'!AB6,Списък!$A$1:$C$210,3,FALSE)</f>
        <v>физкултура</v>
      </c>
      <c r="D249" s="21" t="str">
        <f>VLOOKUP('Програма-кодове'!AB13,Списък!$A$1:$C$209,3,FALSE)</f>
        <v>английски език</v>
      </c>
      <c r="E249" s="21" t="str">
        <f>VLOOKUP('Програма-кодове'!AB20,Списък!$A$1:$C$209,3,FALSE)</f>
        <v>ІІ - ри чужд език</v>
      </c>
      <c r="F249" s="21" t="str">
        <f>VLOOKUP('Програма-кодове'!AB27,Списък!$A$1:$C$209,3,FALSE)</f>
        <v>математика</v>
      </c>
      <c r="G249" s="21" t="str">
        <f>VLOOKUP('Програма-кодове'!AB34,Списък!$A$1:$C$209,3,FALSE)</f>
        <v>история</v>
      </c>
    </row>
    <row r="250" spans="1:7">
      <c r="A250" s="397"/>
      <c r="B250" s="43">
        <v>6</v>
      </c>
      <c r="C250" s="21" t="str">
        <f>VLOOKUP('Програма-кодове'!AB7,Списък!$A$1:$C$210,3,FALSE)</f>
        <v>свят и личност</v>
      </c>
      <c r="D250" s="21" t="str">
        <f>VLOOKUP('Програма-кодове'!AB14,Списък!$A$1:$C$209,3,FALSE)</f>
        <v>география</v>
      </c>
      <c r="E250" s="21" t="str">
        <f>VLOOKUP('Програма-кодове'!AB21,Списък!$A$1:$C$209,3,FALSE)</f>
        <v>ІІ - ри чужд език</v>
      </c>
      <c r="F250" s="21" t="str">
        <f>VLOOKUP('Програма-кодове'!AB28,Списък!$A$1:$C$209,3,FALSE)</f>
        <v>бълг. език</v>
      </c>
      <c r="G250" s="21" t="str">
        <f>VLOOKUP('Програма-кодове'!AB35,Списък!$A$1:$C$209,3,FALSE)</f>
        <v>английски език</v>
      </c>
    </row>
    <row r="251" spans="1:7">
      <c r="A251" s="397"/>
      <c r="B251" s="43">
        <v>7</v>
      </c>
      <c r="C251" s="21" t="str">
        <f>VLOOKUP('Програма-кодове'!AB8,Списък!$A$1:$C$210,3,FALSE)</f>
        <v>математика</v>
      </c>
      <c r="D251" s="21" t="str">
        <f>VLOOKUP('Програма-кодове'!AB15,Списък!$A$1:$C$209,3,FALSE)</f>
        <v>история</v>
      </c>
      <c r="E251" s="21" t="s">
        <v>59</v>
      </c>
      <c r="F251" s="21">
        <f>VLOOKUP('Програма-кодове'!AB29,Списък!$A$1:$C$209,3,FALSE)</f>
        <v>0</v>
      </c>
      <c r="G251" s="21">
        <f>VLOOKUP('Програма-кодове'!AB36,Списък!$A$1:$C$209,3,FALSE)</f>
        <v>0</v>
      </c>
    </row>
    <row r="252" spans="1:7" ht="13.5" thickBot="1">
      <c r="A252" s="124"/>
    </row>
    <row r="253" spans="1:7" ht="13.5" thickTop="1">
      <c r="A253" s="114"/>
      <c r="B253" s="115"/>
      <c r="C253" s="116" t="s">
        <v>24</v>
      </c>
      <c r="D253" s="116" t="s">
        <v>25</v>
      </c>
      <c r="E253" s="116" t="s">
        <v>26</v>
      </c>
      <c r="F253" s="116" t="s">
        <v>130</v>
      </c>
      <c r="G253" s="116" t="s">
        <v>28</v>
      </c>
    </row>
    <row r="254" spans="1:7">
      <c r="A254" s="397" t="s">
        <v>155</v>
      </c>
      <c r="B254" s="43">
        <v>1</v>
      </c>
      <c r="C254" s="21" t="str">
        <f>VLOOKUP('Програма-кодове'!AC2,Списък!$A$1:$C$210,3,FALSE)</f>
        <v>информатика</v>
      </c>
      <c r="D254" s="21" t="str">
        <f>VLOOKUP('Програма-кодове'!AC9,Списък!$A$1:$C$209,3,FALSE)</f>
        <v>бълг. език</v>
      </c>
      <c r="E254" s="21" t="str">
        <f>VLOOKUP('Програма-кодове'!AC16,Списък!$A$1:$C$209,3,FALSE)</f>
        <v>бълг. език</v>
      </c>
      <c r="F254" s="21" t="str">
        <f>VLOOKUP('Програма-кодове'!AC23,Списък!$A$1:$C$209,3,FALSE)</f>
        <v>математика</v>
      </c>
      <c r="G254" s="21" t="str">
        <f>VLOOKUP('Програма-кодове'!AC30,Списък!$A$1:$C$209,3,FALSE)</f>
        <v>информатика</v>
      </c>
    </row>
    <row r="255" spans="1:7">
      <c r="A255" s="397"/>
      <c r="B255" s="43">
        <v>2</v>
      </c>
      <c r="C255" s="21" t="str">
        <f>VLOOKUP('Програма-кодове'!AC3,Списък!$A$1:$C$210,3,FALSE)</f>
        <v>математика</v>
      </c>
      <c r="D255" s="21" t="str">
        <f>VLOOKUP('Програма-кодове'!AC10,Списък!$A$1:$C$209,3,FALSE)</f>
        <v>бълг. език</v>
      </c>
      <c r="E255" s="21" t="str">
        <f>VLOOKUP('Програма-кодове'!AC17,Списък!$A$1:$C$209,3,FALSE)</f>
        <v>английски език</v>
      </c>
      <c r="F255" s="21" t="str">
        <f>VLOOKUP('Програма-кодове'!AC24,Списък!$A$1:$C$209,3,FALSE)</f>
        <v>математика</v>
      </c>
      <c r="G255" s="21" t="str">
        <f>VLOOKUP('Програма-кодове'!AC31,Списък!$A$1:$C$209,3,FALSE)</f>
        <v>информатика</v>
      </c>
    </row>
    <row r="256" spans="1:7">
      <c r="A256" s="397"/>
      <c r="B256" s="43">
        <v>3</v>
      </c>
      <c r="C256" s="21" t="str">
        <f>VLOOKUP('Програма-кодове'!AC4,Списък!$A$1:$C$210,3,FALSE)</f>
        <v>немски език</v>
      </c>
      <c r="D256" s="21" t="str">
        <f>VLOOKUP('Програма-кодове'!AC11,Списък!$A$1:$C$209,3,FALSE)</f>
        <v>математика</v>
      </c>
      <c r="E256" s="21" t="str">
        <f>VLOOKUP('Програма-кодове'!AC18,Списък!$A$1:$C$209,3,FALSE)</f>
        <v>немски език</v>
      </c>
      <c r="F256" s="21" t="str">
        <f>VLOOKUP('Програма-кодове'!AC25,Списък!$A$1:$C$209,3,FALSE)</f>
        <v>немски език</v>
      </c>
      <c r="G256" s="21" t="str">
        <f>VLOOKUP('Програма-кодове'!AC32,Списък!$A$1:$C$209,3,FALSE)</f>
        <v>бълг. език</v>
      </c>
    </row>
    <row r="257" spans="1:7">
      <c r="A257" s="397"/>
      <c r="B257" s="43">
        <v>4</v>
      </c>
      <c r="C257" s="21" t="str">
        <f>VLOOKUP('Програма-кодове'!AC5,Списък!$A$1:$C$210,3,FALSE)</f>
        <v>философия</v>
      </c>
      <c r="D257" s="21" t="str">
        <f>VLOOKUP('Програма-кодове'!AC12,Списък!$A$1:$C$209,3,FALSE)</f>
        <v>информатика</v>
      </c>
      <c r="E257" s="21" t="str">
        <f>VLOOKUP('Програма-кодове'!AC19,Списък!$A$1:$C$209,3,FALSE)</f>
        <v>немски език</v>
      </c>
      <c r="F257" s="21" t="str">
        <f>VLOOKUP('Програма-кодове'!AC26,Списък!$A$1:$C$209,3,FALSE)</f>
        <v>философия</v>
      </c>
      <c r="G257" s="21" t="str">
        <f>VLOOKUP('Програма-кодове'!AC33,Списък!$A$1:$C$209,3,FALSE)</f>
        <v>немски език</v>
      </c>
    </row>
    <row r="258" spans="1:7">
      <c r="A258" s="397"/>
      <c r="B258" s="43">
        <v>5</v>
      </c>
      <c r="C258" s="21" t="str">
        <f>VLOOKUP('Програма-кодове'!AC6,Списък!$A$1:$C$210,3,FALSE)</f>
        <v>физика</v>
      </c>
      <c r="D258" s="21" t="str">
        <f>VLOOKUP('Програма-кодове'!AC13,Списък!$A$1:$C$209,3,FALSE)</f>
        <v>история</v>
      </c>
      <c r="E258" s="21" t="str">
        <f>VLOOKUP('Програма-кодове'!AC20,Списък!$A$1:$C$209,3,FALSE)</f>
        <v>математика</v>
      </c>
      <c r="F258" s="21" t="str">
        <f>VLOOKUP('Програма-кодове'!AC27,Списък!$A$1:$C$209,3,FALSE)</f>
        <v>английски език</v>
      </c>
      <c r="G258" s="21" t="str">
        <f>VLOOKUP('Програма-кодове'!AC34,Списък!$A$1:$C$209,3,FALSE)</f>
        <v>английски език</v>
      </c>
    </row>
    <row r="259" spans="1:7">
      <c r="A259" s="397"/>
      <c r="B259" s="43">
        <v>6</v>
      </c>
      <c r="C259" s="21" t="str">
        <f>VLOOKUP('Програма-кодове'!AC7,Списък!$A$1:$C$210,3,FALSE)</f>
        <v>физкултура</v>
      </c>
      <c r="D259" s="21" t="str">
        <f>VLOOKUP('Програма-кодове'!AC14,Списък!$A$1:$C$209,3,FALSE)</f>
        <v>английски език</v>
      </c>
      <c r="E259" s="21" t="str">
        <f>VLOOKUP('Програма-кодове'!AC21,Списък!$A$1:$C$209,3,FALSE)</f>
        <v>математика</v>
      </c>
      <c r="F259" s="21" t="str">
        <f>VLOOKUP('Програма-кодове'!AC28,Списък!$A$1:$C$209,3,FALSE)</f>
        <v>история</v>
      </c>
      <c r="G259" s="21" t="str">
        <f>VLOOKUP('Програма-кодове'!AC35,Списък!$A$1:$C$209,3,FALSE)</f>
        <v>физкултура</v>
      </c>
    </row>
    <row r="260" spans="1:7">
      <c r="A260" s="397"/>
      <c r="B260" s="43">
        <v>7</v>
      </c>
      <c r="C260" s="21" t="str">
        <f>VLOOKUP('Програма-кодове'!AC8,Списък!$A$1:$C$210,3,FALSE)</f>
        <v>география</v>
      </c>
      <c r="D260" s="21" t="str">
        <f>VLOOKUP('Програма-кодове'!AC15,Списък!$A$1:$C$209,3,FALSE)</f>
        <v>английски език</v>
      </c>
      <c r="E260" s="21" t="s">
        <v>59</v>
      </c>
      <c r="F260" s="21">
        <f>VLOOKUP('Програма-кодове'!AC29,Списък!$A$1:$C$209,3,FALSE)</f>
        <v>0</v>
      </c>
      <c r="G260" s="21">
        <f>VLOOKUP('Програма-кодове'!AC36,Списък!$A$1:$C$209,3,FALSE)</f>
        <v>0</v>
      </c>
    </row>
    <row r="261" spans="1:7" ht="13.5" thickBot="1">
      <c r="A261" s="124"/>
    </row>
    <row r="262" spans="1:7" ht="13.5" thickTop="1">
      <c r="A262" s="114"/>
      <c r="B262" s="115"/>
      <c r="C262" s="116" t="s">
        <v>24</v>
      </c>
      <c r="D262" s="116" t="s">
        <v>25</v>
      </c>
      <c r="E262" s="116" t="s">
        <v>26</v>
      </c>
      <c r="F262" s="116" t="s">
        <v>130</v>
      </c>
      <c r="G262" s="116" t="s">
        <v>28</v>
      </c>
    </row>
    <row r="263" spans="1:7">
      <c r="A263" s="397" t="s">
        <v>156</v>
      </c>
      <c r="B263" s="43">
        <v>1</v>
      </c>
      <c r="C263" s="21" t="str">
        <f>VLOOKUP('Програма-кодове'!AD2,Списък!$A$1:$C$210,3,FALSE)</f>
        <v>биология</v>
      </c>
      <c r="D263" s="21" t="str">
        <f>VLOOKUP('Програма-кодове'!AD9,Списък!$A$1:$C$209,3,FALSE)</f>
        <v>английски език</v>
      </c>
      <c r="E263" s="21" t="str">
        <f>VLOOKUP('Програма-кодове'!AD16,Списък!$A$1:$C$209,3,FALSE)</f>
        <v>физкултура</v>
      </c>
      <c r="F263" s="21" t="str">
        <f>VLOOKUP('Програма-кодове'!AD23,Списък!$A$1:$C$209,3,FALSE)</f>
        <v>биология</v>
      </c>
      <c r="G263" s="21" t="str">
        <f>VLOOKUP('Програма-кодове'!AD30,Списък!$A$1:$C$209,3,FALSE)</f>
        <v>химия</v>
      </c>
    </row>
    <row r="264" spans="1:7">
      <c r="A264" s="397"/>
      <c r="B264" s="43">
        <v>2</v>
      </c>
      <c r="C264" s="21" t="str">
        <f>VLOOKUP('Програма-кодове'!AD3,Списък!$A$1:$C$210,3,FALSE)</f>
        <v>физика</v>
      </c>
      <c r="D264" s="21" t="str">
        <f>VLOOKUP('Програма-кодове'!AD10,Списък!$A$1:$C$209,3,FALSE)</f>
        <v>английски език</v>
      </c>
      <c r="E264" s="21" t="str">
        <f>VLOOKUP('Програма-кодове'!AD17,Списък!$A$1:$C$209,3,FALSE)</f>
        <v>химия</v>
      </c>
      <c r="F264" s="21" t="str">
        <f>VLOOKUP('Програма-кодове'!AD24,Списък!$A$1:$C$209,3,FALSE)</f>
        <v>биология</v>
      </c>
      <c r="G264" s="21" t="str">
        <f>VLOOKUP('Програма-кодове'!AD31,Списък!$A$1:$C$209,3,FALSE)</f>
        <v>бълг. език</v>
      </c>
    </row>
    <row r="265" spans="1:7">
      <c r="A265" s="397"/>
      <c r="B265" s="43">
        <v>3</v>
      </c>
      <c r="C265" s="21" t="str">
        <f>VLOOKUP('Програма-кодове'!AD4,Списък!$A$1:$C$210,3,FALSE)</f>
        <v>бълг. език</v>
      </c>
      <c r="D265" s="21" t="str">
        <f>VLOOKUP('Програма-кодове'!AD11,Списък!$A$1:$C$209,3,FALSE)</f>
        <v>география</v>
      </c>
      <c r="E265" s="21" t="str">
        <f>VLOOKUP('Програма-кодове'!AD18,Списък!$A$1:$C$209,3,FALSE)</f>
        <v>биология</v>
      </c>
      <c r="F265" s="21" t="str">
        <f>VLOOKUP('Програма-кодове'!AD25,Списък!$A$1:$C$209,3,FALSE)</f>
        <v>бълг. език</v>
      </c>
      <c r="G265" s="21" t="str">
        <f>VLOOKUP('Програма-кодове'!AD32,Списък!$A$1:$C$209,3,FALSE)</f>
        <v>английски език</v>
      </c>
    </row>
    <row r="266" spans="1:7">
      <c r="A266" s="397"/>
      <c r="B266" s="43">
        <v>4</v>
      </c>
      <c r="C266" s="21" t="str">
        <f>VLOOKUP('Програма-кодове'!AD5,Списък!$A$1:$C$210,3,FALSE)</f>
        <v>бълг. език</v>
      </c>
      <c r="D266" s="21" t="str">
        <f>VLOOKUP('Програма-кодове'!AD12,Списък!$A$1:$C$209,3,FALSE)</f>
        <v>математика</v>
      </c>
      <c r="E266" s="21" t="str">
        <f>VLOOKUP('Програма-кодове'!AD19,Списък!$A$1:$C$209,3,FALSE)</f>
        <v>биология</v>
      </c>
      <c r="F266" s="21" t="str">
        <f>VLOOKUP('Програма-кодове'!AD26,Списък!$A$1:$C$209,3,FALSE)</f>
        <v>математика</v>
      </c>
      <c r="G266" s="21" t="str">
        <f>VLOOKUP('Програма-кодове'!AD33,Списък!$A$1:$C$209,3,FALSE)</f>
        <v>история</v>
      </c>
    </row>
    <row r="267" spans="1:7">
      <c r="A267" s="397"/>
      <c r="B267" s="43">
        <v>5</v>
      </c>
      <c r="C267" s="21" t="str">
        <f>VLOOKUP('Програма-кодове'!AD6,Списък!$A$1:$C$210,3,FALSE)</f>
        <v>философия</v>
      </c>
      <c r="D267" s="21" t="str">
        <f>VLOOKUP('Програма-кодове'!AD13,Списък!$A$1:$C$209,3,FALSE)</f>
        <v>физкултура</v>
      </c>
      <c r="E267" s="21" t="str">
        <f>VLOOKUP('Програма-кодове'!AD20,Списък!$A$1:$C$209,3,FALSE)</f>
        <v>английски език</v>
      </c>
      <c r="F267" s="21" t="str">
        <f>VLOOKUP('Програма-кодове'!AD27,Списък!$A$1:$C$209,3,FALSE)</f>
        <v>философия</v>
      </c>
      <c r="G267" s="21" t="str">
        <f>VLOOKUP('Програма-кодове'!AD34,Списък!$A$1:$C$209,3,FALSE)</f>
        <v>ІІ - ри чужд език</v>
      </c>
    </row>
    <row r="268" spans="1:7">
      <c r="A268" s="397"/>
      <c r="B268" s="43">
        <v>6</v>
      </c>
      <c r="C268" s="21" t="str">
        <f>VLOOKUP('Програма-кодове'!AD7,Списък!$A$1:$C$210,3,FALSE)</f>
        <v>химия</v>
      </c>
      <c r="D268" s="21" t="str">
        <f>VLOOKUP('Програма-кодове'!AD14,Списък!$A$1:$C$209,3,FALSE)</f>
        <v>история</v>
      </c>
      <c r="E268" s="21" t="str">
        <f>VLOOKUP('Програма-кодове'!AD21,Списък!$A$1:$C$209,3,FALSE)</f>
        <v>английски език</v>
      </c>
      <c r="F268" s="21" t="str">
        <f>VLOOKUP('Програма-кодове'!AD28,Списък!$A$1:$C$209,3,FALSE)</f>
        <v>химия</v>
      </c>
      <c r="G268" s="21" t="str">
        <f>VLOOKUP('Програма-кодове'!AD35,Списък!$A$1:$C$209,3,FALSE)</f>
        <v>ІІ - ри чужд език</v>
      </c>
    </row>
    <row r="269" spans="1:7">
      <c r="A269" s="397"/>
      <c r="B269" s="43">
        <v>7</v>
      </c>
      <c r="C269" s="21" t="str">
        <f>VLOOKUP('Програма-кодове'!AD8,Списък!$A$1:$C$210,3,FALSE)</f>
        <v>химия</v>
      </c>
      <c r="D269" s="21" t="str">
        <f>VLOOKUP('Програма-кодове'!AD15,Списък!$A$1:$C$209,3,FALSE)</f>
        <v>биология</v>
      </c>
      <c r="E269" s="21" t="s">
        <v>59</v>
      </c>
      <c r="F269" s="21">
        <f>VLOOKUP('Програма-кодове'!AD29,Списък!$A$1:$C$209,3,FALSE)</f>
        <v>0</v>
      </c>
      <c r="G269" s="21">
        <f>VLOOKUP('Програма-кодове'!AD36,Списък!$A$1:$C$209,3,FALSE)</f>
        <v>0</v>
      </c>
    </row>
    <row r="272" spans="1:7" ht="45.75" customHeight="1"/>
    <row r="273" spans="1:7">
      <c r="A273" s="338" t="s">
        <v>160</v>
      </c>
      <c r="B273" s="21"/>
    </row>
    <row r="274" spans="1:7">
      <c r="A274" s="21" t="s">
        <v>265</v>
      </c>
      <c r="B274" s="21"/>
    </row>
    <row r="275" spans="1:7">
      <c r="A275" s="21" t="s">
        <v>382</v>
      </c>
      <c r="B275" s="21"/>
    </row>
    <row r="276" spans="1:7">
      <c r="A276" s="21" t="s">
        <v>266</v>
      </c>
      <c r="B276" s="21"/>
    </row>
    <row r="277" spans="1:7" ht="36" customHeight="1">
      <c r="B277" s="21"/>
    </row>
    <row r="278" spans="1:7">
      <c r="A278" s="405" t="s">
        <v>206</v>
      </c>
      <c r="B278" s="405"/>
      <c r="C278" s="405"/>
      <c r="D278" s="405"/>
      <c r="E278" s="405"/>
      <c r="F278" s="405"/>
      <c r="G278" s="405"/>
    </row>
    <row r="279" spans="1:7">
      <c r="A279" s="21" t="s">
        <v>238</v>
      </c>
      <c r="B279" s="21"/>
    </row>
    <row r="280" spans="1:7">
      <c r="A280" s="21" t="s">
        <v>225</v>
      </c>
      <c r="B280" s="21"/>
    </row>
    <row r="281" spans="1:7" ht="37.5" customHeight="1">
      <c r="B281" s="21"/>
    </row>
    <row r="282" spans="1:7" ht="35.25" customHeight="1">
      <c r="B282" s="21"/>
    </row>
    <row r="283" spans="1:7" ht="15.75">
      <c r="A283" s="117"/>
      <c r="B283" s="117"/>
      <c r="C283" s="406" t="s">
        <v>383</v>
      </c>
      <c r="D283" s="406"/>
      <c r="E283" s="406"/>
      <c r="F283" s="406"/>
      <c r="G283" s="406"/>
    </row>
    <row r="284" spans="1:7" ht="15.75" customHeight="1">
      <c r="A284" s="117"/>
      <c r="B284" s="117"/>
      <c r="C284" s="308"/>
      <c r="D284" s="308"/>
      <c r="E284" s="308"/>
      <c r="F284" s="308"/>
      <c r="G284" s="308"/>
    </row>
    <row r="285" spans="1:7" ht="15.75">
      <c r="A285" s="404"/>
      <c r="B285" s="404"/>
      <c r="C285" s="336" t="s">
        <v>24</v>
      </c>
      <c r="D285" s="336" t="s">
        <v>25</v>
      </c>
      <c r="E285" s="336" t="s">
        <v>26</v>
      </c>
      <c r="F285" s="336" t="s">
        <v>27</v>
      </c>
      <c r="G285" s="336" t="s">
        <v>28</v>
      </c>
    </row>
    <row r="286" spans="1:7" ht="45" customHeight="1">
      <c r="A286" s="403" t="s">
        <v>393</v>
      </c>
      <c r="B286" s="403"/>
      <c r="C286" s="337" t="s">
        <v>384</v>
      </c>
      <c r="D286" s="337" t="s">
        <v>385</v>
      </c>
      <c r="E286" s="337" t="s">
        <v>386</v>
      </c>
      <c r="F286" s="337" t="s">
        <v>387</v>
      </c>
      <c r="G286" s="337" t="s">
        <v>2</v>
      </c>
    </row>
    <row r="287" spans="1:7" ht="45" customHeight="1">
      <c r="A287" s="403" t="s">
        <v>394</v>
      </c>
      <c r="B287" s="403"/>
      <c r="C287" s="337" t="s">
        <v>388</v>
      </c>
      <c r="D287" s="337" t="s">
        <v>389</v>
      </c>
      <c r="E287" s="337" t="s">
        <v>390</v>
      </c>
      <c r="F287" s="337" t="s">
        <v>391</v>
      </c>
      <c r="G287" s="337" t="s">
        <v>392</v>
      </c>
    </row>
    <row r="288" spans="1:7">
      <c r="C288" s="335"/>
      <c r="D288" s="335"/>
    </row>
    <row r="289" spans="3:4" ht="15" customHeight="1">
      <c r="C289" s="309"/>
      <c r="D289" s="309"/>
    </row>
    <row r="290" spans="3:4" ht="15" customHeight="1"/>
    <row r="291" spans="3:4" ht="15" customHeight="1"/>
    <row r="293" spans="3:4" ht="15" customHeight="1"/>
  </sheetData>
  <mergeCells count="38">
    <mergeCell ref="A2:G2"/>
    <mergeCell ref="A74:A80"/>
    <mergeCell ref="A20:A27"/>
    <mergeCell ref="A29:A35"/>
    <mergeCell ref="A47:A53"/>
    <mergeCell ref="A56:A62"/>
    <mergeCell ref="A65:A71"/>
    <mergeCell ref="A38:A44"/>
    <mergeCell ref="A146:A152"/>
    <mergeCell ref="A155:A161"/>
    <mergeCell ref="A263:A269"/>
    <mergeCell ref="A227:A233"/>
    <mergeCell ref="A236:A242"/>
    <mergeCell ref="A245:A251"/>
    <mergeCell ref="A182:A188"/>
    <mergeCell ref="A191:A197"/>
    <mergeCell ref="A200:A206"/>
    <mergeCell ref="A209:A215"/>
    <mergeCell ref="A218:A224"/>
    <mergeCell ref="A164:A170"/>
    <mergeCell ref="A173:A179"/>
    <mergeCell ref="A286:B286"/>
    <mergeCell ref="A287:B287"/>
    <mergeCell ref="A285:B285"/>
    <mergeCell ref="A254:A260"/>
    <mergeCell ref="A278:G278"/>
    <mergeCell ref="C283:G283"/>
    <mergeCell ref="A92:A98"/>
    <mergeCell ref="A83:A90"/>
    <mergeCell ref="A128:A134"/>
    <mergeCell ref="A137:A143"/>
    <mergeCell ref="A3:G3"/>
    <mergeCell ref="A11:G11"/>
    <mergeCell ref="A14:G14"/>
    <mergeCell ref="A13:G13"/>
    <mergeCell ref="A101:A107"/>
    <mergeCell ref="A110:A116"/>
    <mergeCell ref="A119:A125"/>
  </mergeCells>
  <phoneticPr fontId="18" type="noConversion"/>
  <printOptions horizontalCentered="1"/>
  <pageMargins left="0.19685039370078741" right="0.19685039370078741" top="0.59055118110236227" bottom="0.19685039370078741" header="0.51181102362204722" footer="0.51181102362204722"/>
  <pageSetup paperSize="9" orientation="portrait" r:id="rId1"/>
  <headerFooter alignWithMargins="0"/>
  <rowBreaks count="4" manualBreakCount="4">
    <brk id="18" max="16383" man="1"/>
    <brk id="81" max="16383" man="1"/>
    <brk id="144" max="16383" man="1"/>
    <brk id="207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8"/>
  <sheetViews>
    <sheetView zoomScale="87" zoomScaleNormal="87" workbookViewId="0">
      <selection activeCell="E7" sqref="E7"/>
    </sheetView>
  </sheetViews>
  <sheetFormatPr defaultRowHeight="12.75"/>
  <cols>
    <col min="1" max="1" width="5.42578125" customWidth="1"/>
    <col min="2" max="2" width="12.42578125" customWidth="1"/>
    <col min="3" max="3" width="13.85546875" customWidth="1"/>
    <col min="4" max="4" width="5.5703125" customWidth="1"/>
    <col min="5" max="5" width="13" customWidth="1"/>
    <col min="6" max="6" width="9.140625" customWidth="1"/>
    <col min="7" max="7" width="8.7109375" customWidth="1"/>
    <col min="8" max="8" width="5.140625" customWidth="1"/>
    <col min="9" max="9" width="5.7109375" customWidth="1"/>
    <col min="10" max="10" width="10.28515625" customWidth="1"/>
    <col min="11" max="11" width="6.140625" customWidth="1"/>
    <col min="12" max="12" width="10.85546875" customWidth="1"/>
    <col min="13" max="13" width="18.28515625" customWidth="1"/>
    <col min="14" max="14" width="5" customWidth="1"/>
    <col min="15" max="15" width="3.85546875" customWidth="1"/>
    <col min="16" max="16" width="5.7109375" customWidth="1"/>
    <col min="17" max="17" width="10" customWidth="1"/>
  </cols>
  <sheetData>
    <row r="1" spans="1:17" ht="30.75" customHeight="1">
      <c r="A1" s="408" t="s">
        <v>70</v>
      </c>
      <c r="B1" s="408"/>
      <c r="C1" s="408"/>
      <c r="D1" s="408"/>
      <c r="E1" s="408"/>
      <c r="F1" s="408"/>
      <c r="G1" s="408"/>
      <c r="H1" s="408"/>
      <c r="I1" s="408"/>
      <c r="J1" s="408"/>
      <c r="K1" s="408"/>
      <c r="L1" s="408"/>
      <c r="M1" s="408"/>
      <c r="N1" s="408"/>
      <c r="O1" s="408"/>
      <c r="P1" s="408"/>
      <c r="Q1" s="408"/>
    </row>
    <row r="2" spans="1:17" ht="19.5" customHeight="1"/>
    <row r="3" spans="1:17">
      <c r="A3" s="8"/>
      <c r="B3" s="8" t="s">
        <v>71</v>
      </c>
      <c r="C3" s="8" t="s">
        <v>72</v>
      </c>
      <c r="D3" s="8" t="s">
        <v>73</v>
      </c>
      <c r="E3" s="8" t="s">
        <v>74</v>
      </c>
      <c r="F3" s="8" t="s">
        <v>75</v>
      </c>
      <c r="G3" s="8" t="s">
        <v>76</v>
      </c>
      <c r="H3" s="8" t="s">
        <v>77</v>
      </c>
      <c r="I3" s="8" t="s">
        <v>78</v>
      </c>
      <c r="J3" s="8" t="s">
        <v>79</v>
      </c>
      <c r="K3" s="8" t="s">
        <v>80</v>
      </c>
      <c r="L3" s="8" t="s">
        <v>81</v>
      </c>
      <c r="M3" s="8" t="s">
        <v>82</v>
      </c>
      <c r="N3" s="8" t="s">
        <v>83</v>
      </c>
      <c r="O3" s="8" t="s">
        <v>114</v>
      </c>
      <c r="P3" s="8" t="s">
        <v>84</v>
      </c>
      <c r="Q3" s="8" t="s">
        <v>85</v>
      </c>
    </row>
    <row r="4" spans="1:17" ht="49.5" customHeight="1">
      <c r="A4" s="8">
        <v>5</v>
      </c>
      <c r="B4" s="65">
        <v>5</v>
      </c>
      <c r="C4" s="201" t="s">
        <v>235</v>
      </c>
      <c r="D4" s="67" t="s">
        <v>54</v>
      </c>
      <c r="E4" s="82" t="s">
        <v>291</v>
      </c>
      <c r="F4" s="67" t="s">
        <v>54</v>
      </c>
      <c r="G4" s="81" t="s">
        <v>292</v>
      </c>
      <c r="H4" s="66" t="s">
        <v>94</v>
      </c>
      <c r="I4" s="65">
        <v>2</v>
      </c>
      <c r="J4" s="216" t="s">
        <v>300</v>
      </c>
      <c r="K4" s="81" t="s">
        <v>122</v>
      </c>
      <c r="L4" s="205"/>
      <c r="M4" s="65"/>
      <c r="N4" s="67">
        <v>2</v>
      </c>
      <c r="O4" s="69">
        <v>2</v>
      </c>
      <c r="P4" s="217" t="s">
        <v>239</v>
      </c>
      <c r="Q4" s="82" t="s">
        <v>294</v>
      </c>
    </row>
    <row r="5" spans="1:17" ht="33.75" customHeight="1">
      <c r="A5" s="8">
        <v>6</v>
      </c>
      <c r="B5" s="65">
        <v>5</v>
      </c>
      <c r="C5" s="201" t="s">
        <v>235</v>
      </c>
      <c r="D5" s="67" t="s">
        <v>54</v>
      </c>
      <c r="E5" s="82" t="s">
        <v>291</v>
      </c>
      <c r="F5" s="67" t="s">
        <v>54</v>
      </c>
      <c r="G5" s="81" t="s">
        <v>292</v>
      </c>
      <c r="H5" s="66" t="s">
        <v>93</v>
      </c>
      <c r="I5" s="65">
        <v>2</v>
      </c>
      <c r="J5" s="206" t="s">
        <v>243</v>
      </c>
      <c r="K5" s="81" t="s">
        <v>123</v>
      </c>
      <c r="L5" s="205"/>
      <c r="M5" s="65"/>
      <c r="N5" s="67">
        <v>2</v>
      </c>
      <c r="O5" s="85" t="s">
        <v>242</v>
      </c>
      <c r="P5" s="217" t="s">
        <v>239</v>
      </c>
      <c r="Q5" s="82" t="s">
        <v>294</v>
      </c>
    </row>
    <row r="6" spans="1:17" ht="43.5" customHeight="1">
      <c r="A6" s="8">
        <v>7</v>
      </c>
      <c r="B6" s="82" t="s">
        <v>350</v>
      </c>
      <c r="C6" s="215">
        <v>3</v>
      </c>
      <c r="D6" s="83" t="s">
        <v>54</v>
      </c>
      <c r="E6" s="82" t="s">
        <v>351</v>
      </c>
      <c r="F6" s="83" t="s">
        <v>54</v>
      </c>
      <c r="G6" s="65">
        <v>1</v>
      </c>
      <c r="H6" s="84" t="s">
        <v>242</v>
      </c>
      <c r="I6" s="84" t="s">
        <v>242</v>
      </c>
      <c r="J6" s="157" t="s">
        <v>285</v>
      </c>
      <c r="K6" s="85" t="s">
        <v>94</v>
      </c>
      <c r="L6" s="85" t="s">
        <v>93</v>
      </c>
      <c r="M6" s="65">
        <v>2</v>
      </c>
      <c r="N6" s="85" t="s">
        <v>93</v>
      </c>
      <c r="O6" s="85" t="s">
        <v>94</v>
      </c>
      <c r="P6" s="67">
        <v>2</v>
      </c>
      <c r="Q6" s="82" t="s">
        <v>295</v>
      </c>
    </row>
    <row r="7" spans="1:17" ht="38.25">
      <c r="A7" s="8">
        <v>8</v>
      </c>
      <c r="B7" s="9">
        <v>4</v>
      </c>
      <c r="C7" s="9">
        <v>18</v>
      </c>
      <c r="D7" s="9" t="s">
        <v>54</v>
      </c>
      <c r="E7" s="82" t="s">
        <v>293</v>
      </c>
      <c r="F7" s="83">
        <v>2</v>
      </c>
      <c r="G7" s="71">
        <v>1</v>
      </c>
      <c r="H7" s="9" t="s">
        <v>54</v>
      </c>
      <c r="I7" s="9" t="s">
        <v>54</v>
      </c>
      <c r="J7" s="9">
        <v>1</v>
      </c>
      <c r="K7" s="9" t="s">
        <v>54</v>
      </c>
      <c r="L7" s="9" t="s">
        <v>54</v>
      </c>
      <c r="M7" s="9" t="s">
        <v>54</v>
      </c>
      <c r="N7" s="113" t="s">
        <v>245</v>
      </c>
      <c r="O7" s="70" t="s">
        <v>244</v>
      </c>
      <c r="P7" s="68">
        <v>2</v>
      </c>
      <c r="Q7" s="82" t="s">
        <v>296</v>
      </c>
    </row>
    <row r="8" spans="1:17" ht="51">
      <c r="A8" s="76">
        <v>9</v>
      </c>
      <c r="B8" s="219" t="s">
        <v>323</v>
      </c>
      <c r="C8" s="220" t="s">
        <v>286</v>
      </c>
      <c r="D8" s="221">
        <v>2</v>
      </c>
      <c r="E8" s="220" t="s">
        <v>322</v>
      </c>
      <c r="F8" s="219" t="s">
        <v>301</v>
      </c>
      <c r="G8" s="219">
        <v>1</v>
      </c>
      <c r="H8" s="220" t="s">
        <v>242</v>
      </c>
      <c r="I8" s="220" t="s">
        <v>286</v>
      </c>
      <c r="J8" s="220" t="s">
        <v>287</v>
      </c>
      <c r="K8" s="222" t="s">
        <v>239</v>
      </c>
      <c r="L8" s="223" t="s">
        <v>288</v>
      </c>
      <c r="M8" s="223" t="s">
        <v>239</v>
      </c>
      <c r="N8" s="71" t="s">
        <v>244</v>
      </c>
      <c r="O8" s="71" t="s">
        <v>245</v>
      </c>
      <c r="P8" s="9">
        <v>2</v>
      </c>
      <c r="Q8" s="82" t="s">
        <v>313</v>
      </c>
    </row>
    <row r="9" spans="1:17" ht="63" customHeight="1">
      <c r="A9" s="8">
        <v>10</v>
      </c>
      <c r="B9" s="71">
        <v>3</v>
      </c>
      <c r="C9" s="71">
        <v>4</v>
      </c>
      <c r="D9" s="71" t="s">
        <v>203</v>
      </c>
      <c r="E9" s="71" t="s">
        <v>250</v>
      </c>
      <c r="F9" s="71" t="s">
        <v>252</v>
      </c>
      <c r="G9" s="72" t="s">
        <v>253</v>
      </c>
      <c r="H9" s="70" t="s">
        <v>93</v>
      </c>
      <c r="I9" s="71">
        <v>2</v>
      </c>
      <c r="J9" s="70" t="s">
        <v>94</v>
      </c>
      <c r="K9" s="71">
        <v>2</v>
      </c>
      <c r="L9" s="71" t="s">
        <v>86</v>
      </c>
      <c r="M9" s="71" t="s">
        <v>87</v>
      </c>
      <c r="N9" s="71" t="s">
        <v>54</v>
      </c>
      <c r="O9" s="71" t="s">
        <v>54</v>
      </c>
      <c r="P9" s="71">
        <v>2</v>
      </c>
      <c r="Q9" s="82" t="s">
        <v>297</v>
      </c>
    </row>
    <row r="10" spans="1:17" ht="52.5" customHeight="1">
      <c r="A10" s="8">
        <v>11</v>
      </c>
      <c r="B10" s="9">
        <v>3</v>
      </c>
      <c r="C10" s="9">
        <v>5</v>
      </c>
      <c r="D10" s="71" t="s">
        <v>203</v>
      </c>
      <c r="E10" s="71" t="s">
        <v>251</v>
      </c>
      <c r="F10" s="71" t="s">
        <v>255</v>
      </c>
      <c r="G10" s="71" t="s">
        <v>254</v>
      </c>
      <c r="H10" s="70" t="s">
        <v>94</v>
      </c>
      <c r="I10" s="71">
        <v>2</v>
      </c>
      <c r="J10" s="70" t="s">
        <v>93</v>
      </c>
      <c r="K10" s="71">
        <v>2</v>
      </c>
      <c r="L10" s="71" t="s">
        <v>87</v>
      </c>
      <c r="M10" s="71" t="s">
        <v>88</v>
      </c>
      <c r="N10" s="71" t="s">
        <v>54</v>
      </c>
      <c r="O10" s="9" t="s">
        <v>54</v>
      </c>
      <c r="P10" s="9">
        <v>2</v>
      </c>
      <c r="Q10" s="82" t="s">
        <v>298</v>
      </c>
    </row>
    <row r="11" spans="1:17" ht="54.75" customHeight="1">
      <c r="A11" s="8">
        <v>12</v>
      </c>
      <c r="B11" s="9">
        <v>4</v>
      </c>
      <c r="C11" s="9">
        <v>5</v>
      </c>
      <c r="D11" s="192" t="s">
        <v>257</v>
      </c>
      <c r="E11" s="71" t="s">
        <v>256</v>
      </c>
      <c r="F11" s="71" t="s">
        <v>290</v>
      </c>
      <c r="G11" s="71" t="s">
        <v>289</v>
      </c>
      <c r="H11" s="9">
        <v>1</v>
      </c>
      <c r="I11" s="9">
        <v>2</v>
      </c>
      <c r="J11" s="9" t="s">
        <v>202</v>
      </c>
      <c r="K11" s="9">
        <v>1</v>
      </c>
      <c r="L11" s="71" t="s">
        <v>109</v>
      </c>
      <c r="M11" s="9" t="s">
        <v>110</v>
      </c>
      <c r="N11" s="9" t="s">
        <v>54</v>
      </c>
      <c r="O11" s="9" t="s">
        <v>54</v>
      </c>
      <c r="P11" s="9">
        <v>2</v>
      </c>
      <c r="Q11" s="82" t="s">
        <v>299</v>
      </c>
    </row>
    <row r="13" spans="1:17">
      <c r="A13" s="95" t="s">
        <v>163</v>
      </c>
    </row>
    <row r="14" spans="1:17">
      <c r="A14" t="s">
        <v>241</v>
      </c>
      <c r="F14" s="80"/>
    </row>
    <row r="15" spans="1:17">
      <c r="A15" s="95" t="s">
        <v>319</v>
      </c>
    </row>
    <row r="17" spans="1:13">
      <c r="A17" s="95" t="s">
        <v>164</v>
      </c>
    </row>
    <row r="18" spans="1:13">
      <c r="A18" s="95" t="s">
        <v>247</v>
      </c>
    </row>
    <row r="19" spans="1:13">
      <c r="A19" s="95" t="s">
        <v>320</v>
      </c>
    </row>
    <row r="21" spans="1:13" ht="15">
      <c r="B21" s="409" t="s">
        <v>302</v>
      </c>
      <c r="C21" s="409"/>
      <c r="D21" s="95" t="s">
        <v>305</v>
      </c>
      <c r="F21" s="410" t="s">
        <v>326</v>
      </c>
      <c r="G21" s="410"/>
      <c r="H21" s="410"/>
      <c r="L21" s="411" t="s">
        <v>327</v>
      </c>
      <c r="M21" s="411"/>
    </row>
    <row r="22" spans="1:13">
      <c r="B22" s="218" t="s">
        <v>303</v>
      </c>
      <c r="C22" s="218" t="s">
        <v>304</v>
      </c>
      <c r="D22" s="95" t="s">
        <v>303</v>
      </c>
      <c r="F22" s="205"/>
      <c r="G22" s="205" t="s">
        <v>328</v>
      </c>
      <c r="H22" s="205" t="s">
        <v>329</v>
      </c>
      <c r="L22" s="225" t="s">
        <v>328</v>
      </c>
      <c r="M22" s="225" t="s">
        <v>329</v>
      </c>
    </row>
    <row r="23" spans="1:13">
      <c r="A23" s="95" t="s">
        <v>5</v>
      </c>
      <c r="B23" s="218" t="s">
        <v>75</v>
      </c>
      <c r="C23" s="218" t="s">
        <v>71</v>
      </c>
      <c r="F23" s="205" t="s">
        <v>5</v>
      </c>
      <c r="G23" s="205">
        <v>19</v>
      </c>
      <c r="H23" s="205">
        <v>7</v>
      </c>
      <c r="K23" s="225">
        <v>1</v>
      </c>
      <c r="L23" t="s">
        <v>330</v>
      </c>
      <c r="M23" t="s">
        <v>331</v>
      </c>
    </row>
    <row r="24" spans="1:13">
      <c r="A24" s="95" t="s">
        <v>6</v>
      </c>
      <c r="B24" s="218" t="s">
        <v>74</v>
      </c>
      <c r="C24" s="218" t="s">
        <v>71</v>
      </c>
      <c r="D24" s="95" t="s">
        <v>75</v>
      </c>
      <c r="F24" s="205" t="s">
        <v>6</v>
      </c>
      <c r="G24" s="205">
        <v>17</v>
      </c>
      <c r="H24" s="205">
        <v>10</v>
      </c>
      <c r="K24" s="225">
        <v>2</v>
      </c>
      <c r="L24" t="s">
        <v>332</v>
      </c>
      <c r="M24" t="s">
        <v>333</v>
      </c>
    </row>
    <row r="25" spans="1:13">
      <c r="A25" s="95" t="s">
        <v>7</v>
      </c>
      <c r="B25" s="218" t="s">
        <v>75</v>
      </c>
      <c r="C25" s="218" t="s">
        <v>74</v>
      </c>
      <c r="F25" s="205" t="s">
        <v>7</v>
      </c>
      <c r="G25" s="205">
        <v>15</v>
      </c>
      <c r="H25" s="205">
        <v>11</v>
      </c>
      <c r="K25" s="225">
        <v>3</v>
      </c>
      <c r="L25" t="s">
        <v>334</v>
      </c>
      <c r="M25" t="s">
        <v>335</v>
      </c>
    </row>
    <row r="26" spans="1:13">
      <c r="A26" s="95" t="s">
        <v>8</v>
      </c>
      <c r="B26" s="218" t="s">
        <v>75</v>
      </c>
      <c r="C26" s="218" t="s">
        <v>74</v>
      </c>
      <c r="F26" s="205" t="s">
        <v>8</v>
      </c>
      <c r="G26" s="205">
        <v>16</v>
      </c>
      <c r="H26" s="205">
        <v>10</v>
      </c>
    </row>
    <row r="27" spans="1:13">
      <c r="A27" s="95" t="s">
        <v>9</v>
      </c>
      <c r="B27" s="218" t="s">
        <v>74</v>
      </c>
      <c r="C27" s="218" t="s">
        <v>71</v>
      </c>
      <c r="F27" s="205" t="s">
        <v>9</v>
      </c>
      <c r="G27" s="205">
        <v>6</v>
      </c>
      <c r="H27" s="205">
        <v>20</v>
      </c>
    </row>
    <row r="28" spans="1:13" ht="15">
      <c r="G28">
        <f>SUM(G23:G27)</f>
        <v>73</v>
      </c>
      <c r="H28">
        <f>SUM(H23:H27)</f>
        <v>58</v>
      </c>
      <c r="L28" s="411" t="s">
        <v>336</v>
      </c>
      <c r="M28" s="411"/>
    </row>
    <row r="29" spans="1:13">
      <c r="K29" s="225">
        <v>1</v>
      </c>
      <c r="L29" t="s">
        <v>337</v>
      </c>
      <c r="M29" s="412" t="s">
        <v>338</v>
      </c>
    </row>
    <row r="30" spans="1:13">
      <c r="K30" s="225">
        <v>2</v>
      </c>
      <c r="L30" t="s">
        <v>339</v>
      </c>
      <c r="M30" s="412"/>
    </row>
    <row r="31" spans="1:13">
      <c r="K31" s="225">
        <v>3</v>
      </c>
      <c r="L31" t="s">
        <v>340</v>
      </c>
      <c r="M31" s="225" t="s">
        <v>341</v>
      </c>
    </row>
    <row r="32" spans="1:13">
      <c r="K32" s="225">
        <v>4</v>
      </c>
      <c r="L32" t="s">
        <v>342</v>
      </c>
      <c r="M32" s="225" t="s">
        <v>343</v>
      </c>
    </row>
    <row r="34" spans="11:14">
      <c r="L34" t="s">
        <v>344</v>
      </c>
    </row>
    <row r="35" spans="11:14">
      <c r="K35" s="225">
        <v>1</v>
      </c>
      <c r="L35" t="s">
        <v>337</v>
      </c>
      <c r="M35" s="407" t="s">
        <v>338</v>
      </c>
    </row>
    <row r="36" spans="11:14">
      <c r="K36" s="225">
        <v>2</v>
      </c>
      <c r="L36" t="s">
        <v>339</v>
      </c>
      <c r="M36" s="407"/>
    </row>
    <row r="37" spans="11:14">
      <c r="K37" s="225">
        <v>3</v>
      </c>
      <c r="L37" t="s">
        <v>345</v>
      </c>
      <c r="M37" t="s">
        <v>346</v>
      </c>
      <c r="N37" t="s">
        <v>324</v>
      </c>
    </row>
    <row r="38" spans="11:14">
      <c r="K38" s="225">
        <v>4</v>
      </c>
      <c r="L38" t="s">
        <v>347</v>
      </c>
      <c r="M38" t="s">
        <v>348</v>
      </c>
    </row>
  </sheetData>
  <mergeCells count="7">
    <mergeCell ref="M35:M36"/>
    <mergeCell ref="A1:Q1"/>
    <mergeCell ref="B21:C21"/>
    <mergeCell ref="F21:H21"/>
    <mergeCell ref="L21:M21"/>
    <mergeCell ref="L28:M28"/>
    <mergeCell ref="M29:M30"/>
  </mergeCells>
  <phoneticPr fontId="4" type="noConversion"/>
  <printOptions horizontalCentered="1"/>
  <pageMargins left="0.19685039370078741" right="0.19685039370078741" top="0.98425196850393704" bottom="0.98425196850393704" header="0.51181102362204722" footer="0.51181102362204722"/>
  <pageSetup paperSize="9" orientation="landscape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Списък</vt:lpstr>
      <vt:lpstr>Програма-предмети</vt:lpstr>
      <vt:lpstr>Програма-кодове</vt:lpstr>
      <vt:lpstr>Седмична заетост</vt:lpstr>
      <vt:lpstr>Кабинети</vt:lpstr>
      <vt:lpstr>Програма-имена+кабинети</vt:lpstr>
      <vt:lpstr>По класове</vt:lpstr>
      <vt:lpstr>Седмична заетост-обр</vt:lpstr>
      <vt:lpstr>коеф</vt:lpstr>
      <vt:lpstr>ХЕИ</vt:lpstr>
      <vt:lpstr>Общо</vt:lpstr>
      <vt:lpstr>'Програма-кодове'!Print_Area</vt:lpstr>
      <vt:lpstr>'Програма-предмети'!Print_Area</vt:lpstr>
      <vt:lpstr>'Седмична заетост'!Print_Area</vt:lpstr>
      <vt:lpstr>'Седмична заетост-обр'!Print_Area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Kolia Petrova</dc:creator>
  <cp:lastModifiedBy>Teacher - KK1</cp:lastModifiedBy>
  <cp:lastPrinted>2019-01-31T09:44:33Z</cp:lastPrinted>
  <dcterms:created xsi:type="dcterms:W3CDTF">1999-09-10T11:45:05Z</dcterms:created>
  <dcterms:modified xsi:type="dcterms:W3CDTF">2019-02-11T06:54:44Z</dcterms:modified>
</cp:coreProperties>
</file>